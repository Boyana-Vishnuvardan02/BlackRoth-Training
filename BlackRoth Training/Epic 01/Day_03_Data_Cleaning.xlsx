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T Computers\Documents\"/>
    </mc:Choice>
  </mc:AlternateContent>
  <xr:revisionPtr revIDLastSave="0" documentId="13_ncr:1_{FF29A0E3-154D-48E8-8A8F-03DC4F5ADFC6}" xr6:coauthVersionLast="47" xr6:coauthVersionMax="47" xr10:uidLastSave="{00000000-0000-0000-0000-000000000000}"/>
  <bookViews>
    <workbookView xWindow="-110" yWindow="-110" windowWidth="19420" windowHeight="10300" firstSheet="1" activeTab="1" xr2:uid="{9C09894F-B224-4C80-B022-6B4C3A6422EC}"/>
  </bookViews>
  <sheets>
    <sheet name="Original Data" sheetId="2" r:id="rId1"/>
    <sheet name="Uncleaned Data" sheetId="1" r:id="rId2"/>
    <sheet name=" Actions Rquired" sheetId="3" r:id="rId3"/>
    <sheet name="Data Cleaning" sheetId="4" r:id="rId4"/>
    <sheet name="Cleaned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H113" i="4"/>
  <c r="H121" i="5"/>
  <c r="G121" i="5"/>
  <c r="I121" i="5" s="1"/>
  <c r="F121" i="5"/>
  <c r="E121" i="5"/>
  <c r="D121" i="5"/>
  <c r="C121" i="5"/>
  <c r="H120" i="5"/>
  <c r="G120" i="5"/>
  <c r="I120" i="5" s="1"/>
  <c r="F120" i="5"/>
  <c r="E120" i="5"/>
  <c r="D120" i="5"/>
  <c r="C120" i="5"/>
  <c r="I119" i="5"/>
  <c r="H119" i="5"/>
  <c r="G119" i="5"/>
  <c r="F119" i="5"/>
  <c r="E119" i="5"/>
  <c r="D119" i="5"/>
  <c r="C119" i="5"/>
  <c r="H118" i="5"/>
  <c r="I118" i="5" s="1"/>
  <c r="G118" i="5"/>
  <c r="F118" i="5"/>
  <c r="E118" i="5"/>
  <c r="D118" i="5"/>
  <c r="C118" i="5"/>
  <c r="H117" i="5"/>
  <c r="G117" i="5"/>
  <c r="I117" i="5" s="1"/>
  <c r="F117" i="5"/>
  <c r="E117" i="5"/>
  <c r="D117" i="5"/>
  <c r="C117" i="5"/>
  <c r="H116" i="5"/>
  <c r="G116" i="5"/>
  <c r="I116" i="5" s="1"/>
  <c r="F116" i="5"/>
  <c r="E116" i="5"/>
  <c r="D116" i="5"/>
  <c r="C116" i="5"/>
  <c r="I115" i="5"/>
  <c r="H115" i="5"/>
  <c r="G115" i="5"/>
  <c r="F115" i="5"/>
  <c r="E115" i="5"/>
  <c r="D115" i="5"/>
  <c r="C115" i="5"/>
  <c r="H114" i="5"/>
  <c r="I114" i="5" s="1"/>
  <c r="G114" i="5"/>
  <c r="F114" i="5"/>
  <c r="E114" i="5"/>
  <c r="D114" i="5"/>
  <c r="C114" i="5"/>
  <c r="H113" i="5"/>
  <c r="G113" i="5"/>
  <c r="I113" i="5" s="1"/>
  <c r="F113" i="5"/>
  <c r="E113" i="5"/>
  <c r="D113" i="5"/>
  <c r="C113" i="5"/>
  <c r="H112" i="5"/>
  <c r="G112" i="5"/>
  <c r="I112" i="5" s="1"/>
  <c r="F112" i="5"/>
  <c r="E112" i="5"/>
  <c r="D112" i="5"/>
  <c r="C112" i="5"/>
  <c r="I111" i="5"/>
  <c r="H111" i="5"/>
  <c r="G111" i="5"/>
  <c r="F111" i="5"/>
  <c r="E111" i="5"/>
  <c r="D111" i="5"/>
  <c r="C111" i="5"/>
  <c r="H110" i="5"/>
  <c r="I110" i="5" s="1"/>
  <c r="G110" i="5"/>
  <c r="F110" i="5"/>
  <c r="E110" i="5"/>
  <c r="D110" i="5"/>
  <c r="C110" i="5"/>
  <c r="H109" i="5"/>
  <c r="G109" i="5"/>
  <c r="I109" i="5" s="1"/>
  <c r="F109" i="5"/>
  <c r="E109" i="5"/>
  <c r="D109" i="5"/>
  <c r="C109" i="5"/>
  <c r="H108" i="5"/>
  <c r="G108" i="5"/>
  <c r="I108" i="5" s="1"/>
  <c r="F108" i="5"/>
  <c r="E108" i="5"/>
  <c r="D108" i="5"/>
  <c r="C108" i="5"/>
  <c r="I107" i="5"/>
  <c r="H107" i="5"/>
  <c r="G107" i="5"/>
  <c r="F107" i="5"/>
  <c r="E107" i="5"/>
  <c r="D107" i="5"/>
  <c r="C107" i="5"/>
  <c r="H106" i="5"/>
  <c r="I106" i="5" s="1"/>
  <c r="G106" i="5"/>
  <c r="F106" i="5"/>
  <c r="E106" i="5"/>
  <c r="D106" i="5"/>
  <c r="C106" i="5"/>
  <c r="H105" i="5"/>
  <c r="G105" i="5"/>
  <c r="I105" i="5" s="1"/>
  <c r="F105" i="5"/>
  <c r="E105" i="5"/>
  <c r="D105" i="5"/>
  <c r="C105" i="5"/>
  <c r="H104" i="5"/>
  <c r="G104" i="5"/>
  <c r="I104" i="5" s="1"/>
  <c r="F104" i="5"/>
  <c r="E104" i="5"/>
  <c r="D104" i="5"/>
  <c r="C104" i="5"/>
  <c r="I103" i="5"/>
  <c r="H103" i="5"/>
  <c r="G103" i="5"/>
  <c r="F103" i="5"/>
  <c r="E103" i="5"/>
  <c r="D103" i="5"/>
  <c r="C103" i="5"/>
  <c r="H102" i="5"/>
  <c r="I102" i="5" s="1"/>
  <c r="G102" i="5"/>
  <c r="F102" i="5"/>
  <c r="E102" i="5"/>
  <c r="D102" i="5"/>
  <c r="C102" i="5"/>
  <c r="H101" i="5"/>
  <c r="G101" i="5"/>
  <c r="I101" i="5" s="1"/>
  <c r="F101" i="5"/>
  <c r="E101" i="5"/>
  <c r="D101" i="5"/>
  <c r="C101" i="5"/>
  <c r="H100" i="5"/>
  <c r="G100" i="5"/>
  <c r="I100" i="5" s="1"/>
  <c r="F100" i="5"/>
  <c r="E100" i="5"/>
  <c r="D100" i="5"/>
  <c r="C100" i="5"/>
  <c r="I99" i="5"/>
  <c r="H99" i="5"/>
  <c r="G99" i="5"/>
  <c r="F99" i="5"/>
  <c r="E99" i="5"/>
  <c r="D99" i="5"/>
  <c r="C99" i="5"/>
  <c r="H98" i="5"/>
  <c r="I98" i="5" s="1"/>
  <c r="G98" i="5"/>
  <c r="F98" i="5"/>
  <c r="E98" i="5"/>
  <c r="D98" i="5"/>
  <c r="C98" i="5"/>
  <c r="H97" i="5"/>
  <c r="G97" i="5"/>
  <c r="I97" i="5" s="1"/>
  <c r="F97" i="5"/>
  <c r="E97" i="5"/>
  <c r="D97" i="5"/>
  <c r="C97" i="5"/>
  <c r="H96" i="5"/>
  <c r="G96" i="5"/>
  <c r="I96" i="5" s="1"/>
  <c r="F96" i="5"/>
  <c r="E96" i="5"/>
  <c r="D96" i="5"/>
  <c r="C96" i="5"/>
  <c r="I95" i="5"/>
  <c r="H95" i="5"/>
  <c r="G95" i="5"/>
  <c r="F95" i="5"/>
  <c r="E95" i="5"/>
  <c r="D95" i="5"/>
  <c r="C95" i="5"/>
  <c r="H94" i="5"/>
  <c r="I94" i="5" s="1"/>
  <c r="G94" i="5"/>
  <c r="F94" i="5"/>
  <c r="E94" i="5"/>
  <c r="D94" i="5"/>
  <c r="C94" i="5"/>
  <c r="H93" i="5"/>
  <c r="G93" i="5"/>
  <c r="I93" i="5" s="1"/>
  <c r="F93" i="5"/>
  <c r="E93" i="5"/>
  <c r="D93" i="5"/>
  <c r="C93" i="5"/>
  <c r="H92" i="5"/>
  <c r="G92" i="5"/>
  <c r="I92" i="5" s="1"/>
  <c r="F92" i="5"/>
  <c r="E92" i="5"/>
  <c r="D92" i="5"/>
  <c r="C92" i="5"/>
  <c r="I91" i="5"/>
  <c r="H91" i="5"/>
  <c r="G91" i="5"/>
  <c r="F91" i="5"/>
  <c r="E91" i="5"/>
  <c r="D91" i="5"/>
  <c r="C91" i="5"/>
  <c r="H90" i="5"/>
  <c r="I90" i="5" s="1"/>
  <c r="G90" i="5"/>
  <c r="F90" i="5"/>
  <c r="E90" i="5"/>
  <c r="D90" i="5"/>
  <c r="C90" i="5"/>
  <c r="H89" i="5"/>
  <c r="G89" i="5"/>
  <c r="I89" i="5" s="1"/>
  <c r="F89" i="5"/>
  <c r="E89" i="5"/>
  <c r="D89" i="5"/>
  <c r="C89" i="5"/>
  <c r="H88" i="5"/>
  <c r="G88" i="5"/>
  <c r="I88" i="5" s="1"/>
  <c r="F88" i="5"/>
  <c r="E88" i="5"/>
  <c r="D88" i="5"/>
  <c r="C88" i="5"/>
  <c r="I87" i="5"/>
  <c r="H87" i="5"/>
  <c r="G87" i="5"/>
  <c r="F87" i="5"/>
  <c r="E87" i="5"/>
  <c r="D87" i="5"/>
  <c r="C87" i="5"/>
  <c r="H86" i="5"/>
  <c r="I86" i="5" s="1"/>
  <c r="G86" i="5"/>
  <c r="F86" i="5"/>
  <c r="E86" i="5"/>
  <c r="D86" i="5"/>
  <c r="C86" i="5"/>
  <c r="H85" i="5"/>
  <c r="G85" i="5"/>
  <c r="I85" i="5" s="1"/>
  <c r="F85" i="5"/>
  <c r="E85" i="5"/>
  <c r="D85" i="5"/>
  <c r="C85" i="5"/>
  <c r="H84" i="5"/>
  <c r="G84" i="5"/>
  <c r="I84" i="5" s="1"/>
  <c r="F84" i="5"/>
  <c r="E84" i="5"/>
  <c r="D84" i="5"/>
  <c r="C84" i="5"/>
  <c r="I83" i="5"/>
  <c r="H83" i="5"/>
  <c r="G83" i="5"/>
  <c r="F83" i="5"/>
  <c r="E83" i="5"/>
  <c r="D83" i="5"/>
  <c r="C83" i="5"/>
  <c r="H82" i="5"/>
  <c r="I82" i="5" s="1"/>
  <c r="G82" i="5"/>
  <c r="F82" i="5"/>
  <c r="E82" i="5"/>
  <c r="D82" i="5"/>
  <c r="C82" i="5"/>
  <c r="H81" i="5"/>
  <c r="G81" i="5"/>
  <c r="I81" i="5" s="1"/>
  <c r="F81" i="5"/>
  <c r="E81" i="5"/>
  <c r="D81" i="5"/>
  <c r="C81" i="5"/>
  <c r="H80" i="5"/>
  <c r="G80" i="5"/>
  <c r="I80" i="5" s="1"/>
  <c r="F80" i="5"/>
  <c r="E80" i="5"/>
  <c r="D80" i="5"/>
  <c r="C80" i="5"/>
  <c r="I79" i="5"/>
  <c r="H79" i="5"/>
  <c r="G79" i="5"/>
  <c r="F79" i="5"/>
  <c r="E79" i="5"/>
  <c r="D79" i="5"/>
  <c r="C79" i="5"/>
  <c r="H78" i="5"/>
  <c r="I78" i="5" s="1"/>
  <c r="G78" i="5"/>
  <c r="F78" i="5"/>
  <c r="E78" i="5"/>
  <c r="D78" i="5"/>
  <c r="C78" i="5"/>
  <c r="H77" i="5"/>
  <c r="G77" i="5"/>
  <c r="I77" i="5" s="1"/>
  <c r="F77" i="5"/>
  <c r="E77" i="5"/>
  <c r="D77" i="5"/>
  <c r="C77" i="5"/>
  <c r="H76" i="5"/>
  <c r="G76" i="5"/>
  <c r="I76" i="5" s="1"/>
  <c r="F76" i="5"/>
  <c r="E76" i="5"/>
  <c r="D76" i="5"/>
  <c r="C76" i="5"/>
  <c r="I75" i="5"/>
  <c r="H75" i="5"/>
  <c r="G75" i="5"/>
  <c r="F75" i="5"/>
  <c r="E75" i="5"/>
  <c r="D75" i="5"/>
  <c r="C75" i="5"/>
  <c r="H74" i="5"/>
  <c r="I74" i="5" s="1"/>
  <c r="G74" i="5"/>
  <c r="F74" i="5"/>
  <c r="E74" i="5"/>
  <c r="D74" i="5"/>
  <c r="C74" i="5"/>
  <c r="H73" i="5"/>
  <c r="G73" i="5"/>
  <c r="I73" i="5" s="1"/>
  <c r="F73" i="5"/>
  <c r="E73" i="5"/>
  <c r="D73" i="5"/>
  <c r="C73" i="5"/>
  <c r="H72" i="5"/>
  <c r="G72" i="5"/>
  <c r="I72" i="5" s="1"/>
  <c r="F72" i="5"/>
  <c r="E72" i="5"/>
  <c r="D72" i="5"/>
  <c r="C72" i="5"/>
  <c r="I71" i="5"/>
  <c r="H71" i="5"/>
  <c r="G71" i="5"/>
  <c r="F71" i="5"/>
  <c r="E71" i="5"/>
  <c r="D71" i="5"/>
  <c r="C71" i="5"/>
  <c r="H70" i="5"/>
  <c r="I70" i="5" s="1"/>
  <c r="G70" i="5"/>
  <c r="F70" i="5"/>
  <c r="E70" i="5"/>
  <c r="D70" i="5"/>
  <c r="C70" i="5"/>
  <c r="H69" i="5"/>
  <c r="G69" i="5"/>
  <c r="I69" i="5" s="1"/>
  <c r="F69" i="5"/>
  <c r="E69" i="5"/>
  <c r="D69" i="5"/>
  <c r="C69" i="5"/>
  <c r="H68" i="5"/>
  <c r="G68" i="5"/>
  <c r="I68" i="5" s="1"/>
  <c r="F68" i="5"/>
  <c r="E68" i="5"/>
  <c r="D68" i="5"/>
  <c r="C68" i="5"/>
  <c r="I67" i="5"/>
  <c r="H67" i="5"/>
  <c r="G67" i="5"/>
  <c r="F67" i="5"/>
  <c r="E67" i="5"/>
  <c r="D67" i="5"/>
  <c r="C67" i="5"/>
  <c r="H66" i="5"/>
  <c r="I66" i="5" s="1"/>
  <c r="G66" i="5"/>
  <c r="F66" i="5"/>
  <c r="E66" i="5"/>
  <c r="D66" i="5"/>
  <c r="C66" i="5"/>
  <c r="H65" i="5"/>
  <c r="G65" i="5"/>
  <c r="I65" i="5" s="1"/>
  <c r="F65" i="5"/>
  <c r="E65" i="5"/>
  <c r="D65" i="5"/>
  <c r="C65" i="5"/>
  <c r="H64" i="5"/>
  <c r="G64" i="5"/>
  <c r="I64" i="5" s="1"/>
  <c r="F64" i="5"/>
  <c r="E64" i="5"/>
  <c r="D64" i="5"/>
  <c r="C64" i="5"/>
  <c r="I63" i="5"/>
  <c r="H63" i="5"/>
  <c r="G63" i="5"/>
  <c r="F63" i="5"/>
  <c r="E63" i="5"/>
  <c r="D63" i="5"/>
  <c r="C63" i="5"/>
  <c r="H62" i="5"/>
  <c r="I62" i="5" s="1"/>
  <c r="G62" i="5"/>
  <c r="F62" i="5"/>
  <c r="E62" i="5"/>
  <c r="D62" i="5"/>
  <c r="C62" i="5"/>
  <c r="H61" i="5"/>
  <c r="G61" i="5"/>
  <c r="I61" i="5" s="1"/>
  <c r="F61" i="5"/>
  <c r="E61" i="5"/>
  <c r="D61" i="5"/>
  <c r="C61" i="5"/>
  <c r="H60" i="5"/>
  <c r="G60" i="5"/>
  <c r="I60" i="5" s="1"/>
  <c r="F60" i="5"/>
  <c r="E60" i="5"/>
  <c r="D60" i="5"/>
  <c r="C60" i="5"/>
  <c r="I59" i="5"/>
  <c r="H59" i="5"/>
  <c r="G59" i="5"/>
  <c r="F59" i="5"/>
  <c r="E59" i="5"/>
  <c r="D59" i="5"/>
  <c r="C59" i="5"/>
  <c r="H58" i="5"/>
  <c r="I58" i="5" s="1"/>
  <c r="G58" i="5"/>
  <c r="F58" i="5"/>
  <c r="E58" i="5"/>
  <c r="D58" i="5"/>
  <c r="C58" i="5"/>
  <c r="H57" i="5"/>
  <c r="G57" i="5"/>
  <c r="I57" i="5" s="1"/>
  <c r="F57" i="5"/>
  <c r="E57" i="5"/>
  <c r="D57" i="5"/>
  <c r="C57" i="5"/>
  <c r="H56" i="5"/>
  <c r="G56" i="5"/>
  <c r="I56" i="5" s="1"/>
  <c r="F56" i="5"/>
  <c r="E56" i="5"/>
  <c r="D56" i="5"/>
  <c r="C56" i="5"/>
  <c r="I55" i="5"/>
  <c r="H55" i="5"/>
  <c r="G55" i="5"/>
  <c r="F55" i="5"/>
  <c r="E55" i="5"/>
  <c r="D55" i="5"/>
  <c r="C55" i="5"/>
  <c r="H54" i="5"/>
  <c r="I54" i="5" s="1"/>
  <c r="G54" i="5"/>
  <c r="F54" i="5"/>
  <c r="E54" i="5"/>
  <c r="D54" i="5"/>
  <c r="C54" i="5"/>
  <c r="H53" i="5"/>
  <c r="G53" i="5"/>
  <c r="I53" i="5" s="1"/>
  <c r="F53" i="5"/>
  <c r="E53" i="5"/>
  <c r="D53" i="5"/>
  <c r="C53" i="5"/>
  <c r="H52" i="5"/>
  <c r="G52" i="5"/>
  <c r="I52" i="5" s="1"/>
  <c r="F52" i="5"/>
  <c r="E52" i="5"/>
  <c r="D52" i="5"/>
  <c r="C52" i="5"/>
  <c r="I51" i="5"/>
  <c r="H51" i="5"/>
  <c r="G51" i="5"/>
  <c r="F51" i="5"/>
  <c r="E51" i="5"/>
  <c r="D51" i="5"/>
  <c r="C51" i="5"/>
  <c r="H50" i="5"/>
  <c r="I50" i="5" s="1"/>
  <c r="G50" i="5"/>
  <c r="F50" i="5"/>
  <c r="E50" i="5"/>
  <c r="D50" i="5"/>
  <c r="C50" i="5"/>
  <c r="H49" i="5"/>
  <c r="G49" i="5"/>
  <c r="I49" i="5" s="1"/>
  <c r="F49" i="5"/>
  <c r="E49" i="5"/>
  <c r="D49" i="5"/>
  <c r="C49" i="5"/>
  <c r="H48" i="5"/>
  <c r="G48" i="5"/>
  <c r="I48" i="5" s="1"/>
  <c r="F48" i="5"/>
  <c r="E48" i="5"/>
  <c r="D48" i="5"/>
  <c r="C48" i="5"/>
  <c r="I47" i="5"/>
  <c r="H47" i="5"/>
  <c r="G47" i="5"/>
  <c r="F47" i="5"/>
  <c r="E47" i="5"/>
  <c r="D47" i="5"/>
  <c r="C47" i="5"/>
  <c r="H46" i="5"/>
  <c r="I46" i="5" s="1"/>
  <c r="G46" i="5"/>
  <c r="F46" i="5"/>
  <c r="E46" i="5"/>
  <c r="D46" i="5"/>
  <c r="C46" i="5"/>
  <c r="H45" i="5"/>
  <c r="G45" i="5"/>
  <c r="I45" i="5" s="1"/>
  <c r="F45" i="5"/>
  <c r="E45" i="5"/>
  <c r="D45" i="5"/>
  <c r="C45" i="5"/>
  <c r="H44" i="5"/>
  <c r="G44" i="5"/>
  <c r="I44" i="5" s="1"/>
  <c r="F44" i="5"/>
  <c r="E44" i="5"/>
  <c r="D44" i="5"/>
  <c r="C44" i="5"/>
  <c r="I43" i="5"/>
  <c r="H43" i="5"/>
  <c r="G43" i="5"/>
  <c r="F43" i="5"/>
  <c r="E43" i="5"/>
  <c r="D43" i="5"/>
  <c r="C43" i="5"/>
  <c r="H42" i="5"/>
  <c r="I42" i="5" s="1"/>
  <c r="G42" i="5"/>
  <c r="F42" i="5"/>
  <c r="E42" i="5"/>
  <c r="D42" i="5"/>
  <c r="C42" i="5"/>
  <c r="H41" i="5"/>
  <c r="G41" i="5"/>
  <c r="I41" i="5" s="1"/>
  <c r="F41" i="5"/>
  <c r="E41" i="5"/>
  <c r="D41" i="5"/>
  <c r="C41" i="5"/>
  <c r="H40" i="5"/>
  <c r="G40" i="5"/>
  <c r="I40" i="5" s="1"/>
  <c r="F40" i="5"/>
  <c r="E40" i="5"/>
  <c r="D40" i="5"/>
  <c r="C40" i="5"/>
  <c r="I39" i="5"/>
  <c r="H39" i="5"/>
  <c r="G39" i="5"/>
  <c r="F39" i="5"/>
  <c r="E39" i="5"/>
  <c r="D39" i="5"/>
  <c r="C39" i="5"/>
  <c r="H38" i="5"/>
  <c r="I38" i="5" s="1"/>
  <c r="G38" i="5"/>
  <c r="F38" i="5"/>
  <c r="E38" i="5"/>
  <c r="D38" i="5"/>
  <c r="C38" i="5"/>
  <c r="H37" i="5"/>
  <c r="G37" i="5"/>
  <c r="I37" i="5" s="1"/>
  <c r="F37" i="5"/>
  <c r="E37" i="5"/>
  <c r="D37" i="5"/>
  <c r="C37" i="5"/>
  <c r="H36" i="5"/>
  <c r="G36" i="5"/>
  <c r="I36" i="5" s="1"/>
  <c r="F36" i="5"/>
  <c r="E36" i="5"/>
  <c r="D36" i="5"/>
  <c r="C36" i="5"/>
  <c r="I35" i="5"/>
  <c r="H35" i="5"/>
  <c r="G35" i="5"/>
  <c r="F35" i="5"/>
  <c r="E35" i="5"/>
  <c r="D35" i="5"/>
  <c r="C35" i="5"/>
  <c r="H34" i="5"/>
  <c r="I34" i="5" s="1"/>
  <c r="G34" i="5"/>
  <c r="F34" i="5"/>
  <c r="E34" i="5"/>
  <c r="D34" i="5"/>
  <c r="C34" i="5"/>
  <c r="H33" i="5"/>
  <c r="G33" i="5"/>
  <c r="I33" i="5" s="1"/>
  <c r="F33" i="5"/>
  <c r="E33" i="5"/>
  <c r="D33" i="5"/>
  <c r="C33" i="5"/>
  <c r="H32" i="5"/>
  <c r="G32" i="5"/>
  <c r="I32" i="5" s="1"/>
  <c r="F32" i="5"/>
  <c r="E32" i="5"/>
  <c r="D32" i="5"/>
  <c r="C32" i="5"/>
  <c r="I31" i="5"/>
  <c r="H31" i="5"/>
  <c r="G31" i="5"/>
  <c r="F31" i="5"/>
  <c r="E31" i="5"/>
  <c r="D31" i="5"/>
  <c r="C31" i="5"/>
  <c r="H30" i="5"/>
  <c r="I30" i="5" s="1"/>
  <c r="G30" i="5"/>
  <c r="F30" i="5"/>
  <c r="E30" i="5"/>
  <c r="D30" i="5"/>
  <c r="C30" i="5"/>
  <c r="H29" i="5"/>
  <c r="G29" i="5"/>
  <c r="I29" i="5" s="1"/>
  <c r="F29" i="5"/>
  <c r="E29" i="5"/>
  <c r="D29" i="5"/>
  <c r="C29" i="5"/>
  <c r="H28" i="5"/>
  <c r="G28" i="5"/>
  <c r="I28" i="5" s="1"/>
  <c r="F28" i="5"/>
  <c r="E28" i="5"/>
  <c r="D28" i="5"/>
  <c r="C28" i="5"/>
  <c r="I27" i="5"/>
  <c r="H27" i="5"/>
  <c r="G27" i="5"/>
  <c r="F27" i="5"/>
  <c r="E27" i="5"/>
  <c r="D27" i="5"/>
  <c r="C27" i="5"/>
  <c r="H26" i="5"/>
  <c r="I26" i="5" s="1"/>
  <c r="G26" i="5"/>
  <c r="F26" i="5"/>
  <c r="E26" i="5"/>
  <c r="D26" i="5"/>
  <c r="C26" i="5"/>
  <c r="H25" i="5"/>
  <c r="G25" i="5"/>
  <c r="I25" i="5" s="1"/>
  <c r="F25" i="5"/>
  <c r="E25" i="5"/>
  <c r="D25" i="5"/>
  <c r="C25" i="5"/>
  <c r="H24" i="5"/>
  <c r="G24" i="5"/>
  <c r="I24" i="5" s="1"/>
  <c r="F24" i="5"/>
  <c r="E24" i="5"/>
  <c r="D24" i="5"/>
  <c r="C24" i="5"/>
  <c r="I23" i="5"/>
  <c r="H23" i="5"/>
  <c r="G23" i="5"/>
  <c r="F23" i="5"/>
  <c r="E23" i="5"/>
  <c r="D23" i="5"/>
  <c r="C23" i="5"/>
  <c r="H22" i="5"/>
  <c r="I22" i="5" s="1"/>
  <c r="G22" i="5"/>
  <c r="F22" i="5"/>
  <c r="E22" i="5"/>
  <c r="D22" i="5"/>
  <c r="C22" i="5"/>
  <c r="H21" i="5"/>
  <c r="G21" i="5"/>
  <c r="I21" i="5" s="1"/>
  <c r="F21" i="5"/>
  <c r="E21" i="5"/>
  <c r="D21" i="5"/>
  <c r="C21" i="5"/>
  <c r="H20" i="5"/>
  <c r="G20" i="5"/>
  <c r="I20" i="5" s="1"/>
  <c r="F20" i="5"/>
  <c r="E20" i="5"/>
  <c r="D20" i="5"/>
  <c r="C20" i="5"/>
  <c r="I19" i="5"/>
  <c r="H19" i="5"/>
  <c r="G19" i="5"/>
  <c r="F19" i="5"/>
  <c r="E19" i="5"/>
  <c r="D19" i="5"/>
  <c r="C19" i="5"/>
  <c r="H18" i="5"/>
  <c r="I18" i="5" s="1"/>
  <c r="G18" i="5"/>
  <c r="F18" i="5"/>
  <c r="E18" i="5"/>
  <c r="D18" i="5"/>
  <c r="C18" i="5"/>
  <c r="H17" i="5"/>
  <c r="G17" i="5"/>
  <c r="I17" i="5" s="1"/>
  <c r="F17" i="5"/>
  <c r="E17" i="5"/>
  <c r="D17" i="5"/>
  <c r="C17" i="5"/>
  <c r="H16" i="5"/>
  <c r="G16" i="5"/>
  <c r="I16" i="5" s="1"/>
  <c r="F16" i="5"/>
  <c r="E16" i="5"/>
  <c r="D16" i="5"/>
  <c r="C16" i="5"/>
  <c r="I15" i="5"/>
  <c r="H15" i="5"/>
  <c r="G15" i="5"/>
  <c r="F15" i="5"/>
  <c r="E15" i="5"/>
  <c r="D15" i="5"/>
  <c r="C15" i="5"/>
  <c r="H14" i="5"/>
  <c r="I14" i="5" s="1"/>
  <c r="G14" i="5"/>
  <c r="F14" i="5"/>
  <c r="E14" i="5"/>
  <c r="D14" i="5"/>
  <c r="C14" i="5"/>
  <c r="H13" i="5"/>
  <c r="G13" i="5"/>
  <c r="I13" i="5" s="1"/>
  <c r="F13" i="5"/>
  <c r="E13" i="5"/>
  <c r="D13" i="5"/>
  <c r="C13" i="5"/>
  <c r="H12" i="5"/>
  <c r="G12" i="5"/>
  <c r="I12" i="5" s="1"/>
  <c r="F12" i="5"/>
  <c r="E12" i="5"/>
  <c r="D12" i="5"/>
  <c r="C12" i="5"/>
  <c r="I11" i="5"/>
  <c r="H11" i="5"/>
  <c r="G11" i="5"/>
  <c r="F11" i="5"/>
  <c r="E11" i="5"/>
  <c r="D11" i="5"/>
  <c r="C11" i="5"/>
  <c r="H10" i="5"/>
  <c r="I10" i="5" s="1"/>
  <c r="G10" i="5"/>
  <c r="F10" i="5"/>
  <c r="E10" i="5"/>
  <c r="D10" i="5"/>
  <c r="C10" i="5"/>
  <c r="H9" i="5"/>
  <c r="G9" i="5"/>
  <c r="I9" i="5" s="1"/>
  <c r="F9" i="5"/>
  <c r="E9" i="5"/>
  <c r="D9" i="5"/>
  <c r="C9" i="5"/>
  <c r="H8" i="5"/>
  <c r="G8" i="5"/>
  <c r="I8" i="5" s="1"/>
  <c r="F8" i="5"/>
  <c r="E8" i="5"/>
  <c r="D8" i="5"/>
  <c r="C8" i="5"/>
  <c r="I7" i="5"/>
  <c r="H7" i="5"/>
  <c r="G7" i="5"/>
  <c r="F7" i="5"/>
  <c r="E7" i="5"/>
  <c r="D7" i="5"/>
  <c r="C7" i="5"/>
  <c r="H6" i="5"/>
  <c r="I6" i="5" s="1"/>
  <c r="G6" i="5"/>
  <c r="F6" i="5"/>
  <c r="E6" i="5"/>
  <c r="D6" i="5"/>
  <c r="C6" i="5"/>
  <c r="H5" i="5"/>
  <c r="G5" i="5"/>
  <c r="I5" i="5" s="1"/>
  <c r="F5" i="5"/>
  <c r="E5" i="5"/>
  <c r="D5" i="5"/>
  <c r="C5" i="5"/>
  <c r="H4" i="5"/>
  <c r="G4" i="5"/>
  <c r="I4" i="5" s="1"/>
  <c r="F4" i="5"/>
  <c r="E4" i="5"/>
  <c r="D4" i="5"/>
  <c r="C4" i="5"/>
  <c r="I3" i="5"/>
  <c r="H3" i="5"/>
  <c r="G3" i="5"/>
  <c r="F3" i="5"/>
  <c r="E3" i="5"/>
  <c r="D3" i="5"/>
  <c r="C3" i="5"/>
  <c r="H2" i="5"/>
  <c r="I2" i="5" s="1"/>
  <c r="G2" i="5"/>
  <c r="F2" i="5"/>
  <c r="D2" i="5"/>
  <c r="C2" i="5"/>
  <c r="I18" i="4"/>
  <c r="I50" i="4"/>
  <c r="I66" i="4"/>
  <c r="I8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4" i="4"/>
  <c r="H115" i="4"/>
  <c r="H116" i="4"/>
  <c r="H117" i="4"/>
  <c r="H118" i="4"/>
  <c r="H119" i="4"/>
  <c r="H120" i="4"/>
  <c r="H121" i="4"/>
  <c r="H2" i="4"/>
  <c r="G3" i="4"/>
  <c r="I3" i="4" s="1"/>
  <c r="G4" i="4"/>
  <c r="I4" i="4" s="1"/>
  <c r="G5" i="4"/>
  <c r="G6" i="4"/>
  <c r="G7" i="4"/>
  <c r="I7" i="4" s="1"/>
  <c r="G8" i="4"/>
  <c r="I8" i="4" s="1"/>
  <c r="G9" i="4"/>
  <c r="G10" i="4"/>
  <c r="G11" i="4"/>
  <c r="I11" i="4" s="1"/>
  <c r="G12" i="4"/>
  <c r="I12" i="4" s="1"/>
  <c r="G13" i="4"/>
  <c r="G14" i="4"/>
  <c r="G15" i="4"/>
  <c r="I15" i="4" s="1"/>
  <c r="G16" i="4"/>
  <c r="I16" i="4" s="1"/>
  <c r="G17" i="4"/>
  <c r="G18" i="4"/>
  <c r="G19" i="4"/>
  <c r="I19" i="4" s="1"/>
  <c r="G20" i="4"/>
  <c r="I20" i="4" s="1"/>
  <c r="G21" i="4"/>
  <c r="G22" i="4"/>
  <c r="G23" i="4"/>
  <c r="I23" i="4" s="1"/>
  <c r="G24" i="4"/>
  <c r="I24" i="4" s="1"/>
  <c r="G25" i="4"/>
  <c r="G26" i="4"/>
  <c r="G27" i="4"/>
  <c r="I27" i="4" s="1"/>
  <c r="G28" i="4"/>
  <c r="I28" i="4" s="1"/>
  <c r="G29" i="4"/>
  <c r="G30" i="4"/>
  <c r="G31" i="4"/>
  <c r="I31" i="4" s="1"/>
  <c r="G32" i="4"/>
  <c r="I32" i="4" s="1"/>
  <c r="G33" i="4"/>
  <c r="G34" i="4"/>
  <c r="I34" i="4" s="1"/>
  <c r="G35" i="4"/>
  <c r="I35" i="4" s="1"/>
  <c r="G36" i="4"/>
  <c r="I36" i="4" s="1"/>
  <c r="G37" i="4"/>
  <c r="G38" i="4"/>
  <c r="G39" i="4"/>
  <c r="I39" i="4" s="1"/>
  <c r="G40" i="4"/>
  <c r="I40" i="4" s="1"/>
  <c r="G41" i="4"/>
  <c r="G42" i="4"/>
  <c r="G43" i="4"/>
  <c r="I43" i="4" s="1"/>
  <c r="G44" i="4"/>
  <c r="I44" i="4" s="1"/>
  <c r="G45" i="4"/>
  <c r="G46" i="4"/>
  <c r="G47" i="4"/>
  <c r="I47" i="4" s="1"/>
  <c r="G48" i="4"/>
  <c r="I48" i="4" s="1"/>
  <c r="G49" i="4"/>
  <c r="G50" i="4"/>
  <c r="G51" i="4"/>
  <c r="I51" i="4" s="1"/>
  <c r="G52" i="4"/>
  <c r="I52" i="4" s="1"/>
  <c r="G53" i="4"/>
  <c r="G54" i="4"/>
  <c r="G55" i="4"/>
  <c r="I55" i="4" s="1"/>
  <c r="G56" i="4"/>
  <c r="I56" i="4" s="1"/>
  <c r="G57" i="4"/>
  <c r="G58" i="4"/>
  <c r="G59" i="4"/>
  <c r="I59" i="4" s="1"/>
  <c r="G60" i="4"/>
  <c r="I60" i="4" s="1"/>
  <c r="G61" i="4"/>
  <c r="G62" i="4"/>
  <c r="G63" i="4"/>
  <c r="I63" i="4" s="1"/>
  <c r="G64" i="4"/>
  <c r="I64" i="4" s="1"/>
  <c r="G65" i="4"/>
  <c r="G66" i="4"/>
  <c r="G67" i="4"/>
  <c r="I67" i="4" s="1"/>
  <c r="G68" i="4"/>
  <c r="I68" i="4" s="1"/>
  <c r="G69" i="4"/>
  <c r="G70" i="4"/>
  <c r="G71" i="4"/>
  <c r="I71" i="4" s="1"/>
  <c r="G72" i="4"/>
  <c r="I72" i="4" s="1"/>
  <c r="G73" i="4"/>
  <c r="G74" i="4"/>
  <c r="G75" i="4"/>
  <c r="I75" i="4" s="1"/>
  <c r="G76" i="4"/>
  <c r="I76" i="4" s="1"/>
  <c r="G77" i="4"/>
  <c r="G78" i="4"/>
  <c r="G79" i="4"/>
  <c r="I79" i="4" s="1"/>
  <c r="G80" i="4"/>
  <c r="I80" i="4" s="1"/>
  <c r="G81" i="4"/>
  <c r="G82" i="4"/>
  <c r="G83" i="4"/>
  <c r="I83" i="4" s="1"/>
  <c r="G84" i="4"/>
  <c r="I84" i="4" s="1"/>
  <c r="G85" i="4"/>
  <c r="G86" i="4"/>
  <c r="G87" i="4"/>
  <c r="I87" i="4" s="1"/>
  <c r="G88" i="4"/>
  <c r="I88" i="4" s="1"/>
  <c r="G89" i="4"/>
  <c r="G90" i="4"/>
  <c r="G91" i="4"/>
  <c r="I91" i="4" s="1"/>
  <c r="G92" i="4"/>
  <c r="I92" i="4" s="1"/>
  <c r="G93" i="4"/>
  <c r="G94" i="4"/>
  <c r="G95" i="4"/>
  <c r="I95" i="4" s="1"/>
  <c r="G96" i="4"/>
  <c r="I96" i="4" s="1"/>
  <c r="G97" i="4"/>
  <c r="I97" i="4" s="1"/>
  <c r="G98" i="4"/>
  <c r="G99" i="4"/>
  <c r="I99" i="4" s="1"/>
  <c r="G100" i="4"/>
  <c r="I100" i="4" s="1"/>
  <c r="G101" i="4"/>
  <c r="G102" i="4"/>
  <c r="G103" i="4"/>
  <c r="I103" i="4" s="1"/>
  <c r="G104" i="4"/>
  <c r="I104" i="4" s="1"/>
  <c r="G105" i="4"/>
  <c r="I105" i="4" s="1"/>
  <c r="G106" i="4"/>
  <c r="G107" i="4"/>
  <c r="I107" i="4" s="1"/>
  <c r="G108" i="4"/>
  <c r="I108" i="4" s="1"/>
  <c r="G109" i="4"/>
  <c r="G110" i="4"/>
  <c r="G111" i="4"/>
  <c r="I111" i="4" s="1"/>
  <c r="G112" i="4"/>
  <c r="I112" i="4" s="1"/>
  <c r="G113" i="4"/>
  <c r="I113" i="4" s="1"/>
  <c r="G114" i="4"/>
  <c r="G115" i="4"/>
  <c r="I115" i="4" s="1"/>
  <c r="G116" i="4"/>
  <c r="I116" i="4" s="1"/>
  <c r="G117" i="4"/>
  <c r="G118" i="4"/>
  <c r="G119" i="4"/>
  <c r="I119" i="4" s="1"/>
  <c r="G120" i="4"/>
  <c r="I120" i="4" s="1"/>
  <c r="G121" i="4"/>
  <c r="I121" i="4" s="1"/>
  <c r="G2" i="4"/>
  <c r="I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2" i="4"/>
  <c r="I117" i="4" l="1"/>
  <c r="I109" i="4"/>
  <c r="I101" i="4"/>
  <c r="I93" i="4"/>
  <c r="I89" i="4"/>
  <c r="I81" i="4"/>
  <c r="I73" i="4"/>
  <c r="I65" i="4"/>
  <c r="I57" i="4"/>
  <c r="I49" i="4"/>
  <c r="I5" i="4"/>
  <c r="I85" i="4"/>
  <c r="I77" i="4"/>
  <c r="I69" i="4"/>
  <c r="I61" i="4"/>
  <c r="I53" i="4"/>
  <c r="I45" i="4"/>
  <c r="I41" i="4"/>
  <c r="I37" i="4"/>
  <c r="I33" i="4"/>
  <c r="I29" i="4"/>
  <c r="I25" i="4"/>
  <c r="I21" i="4"/>
  <c r="I17" i="4"/>
  <c r="I13" i="4"/>
  <c r="I9" i="4"/>
  <c r="I118" i="4"/>
  <c r="I114" i="4"/>
  <c r="I110" i="4"/>
  <c r="I106" i="4"/>
  <c r="I102" i="4"/>
  <c r="I98" i="4"/>
  <c r="I94" i="4"/>
  <c r="I90" i="4"/>
  <c r="I86" i="4"/>
  <c r="I78" i="4"/>
  <c r="I74" i="4"/>
  <c r="I70" i="4"/>
  <c r="I62" i="4"/>
  <c r="I58" i="4"/>
  <c r="I54" i="4"/>
  <c r="I46" i="4"/>
  <c r="I42" i="4"/>
  <c r="I38" i="4"/>
  <c r="I30" i="4"/>
  <c r="I26" i="4"/>
  <c r="I22" i="4"/>
  <c r="I14" i="4"/>
  <c r="I10" i="4"/>
  <c r="I6" i="4"/>
</calcChain>
</file>

<file path=xl/sharedStrings.xml><?xml version="1.0" encoding="utf-8"?>
<sst xmlns="http://schemas.openxmlformats.org/spreadsheetml/2006/main" count="1535" uniqueCount="206">
  <si>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</si>
  <si>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</si>
  <si>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</si>
  <si>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</si>
  <si>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</si>
  <si>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</si>
  <si>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</si>
  <si>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</si>
  <si>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Revenue</t>
  </si>
  <si>
    <t>ORD0001</t>
  </si>
  <si>
    <t>Meena Joshi</t>
  </si>
  <si>
    <t>Smartphone</t>
  </si>
  <si>
    <t>Electronics</t>
  </si>
  <si>
    <t>South</t>
  </si>
  <si>
    <t>ORD0002</t>
  </si>
  <si>
    <t>Priya Reddy</t>
  </si>
  <si>
    <t>North</t>
  </si>
  <si>
    <t>ORD0003</t>
  </si>
  <si>
    <t>Rahul Sharma</t>
  </si>
  <si>
    <t>SMARTPHONE</t>
  </si>
  <si>
    <t>Central</t>
  </si>
  <si>
    <t>ORD0004</t>
  </si>
  <si>
    <t>Nikhil Jain</t>
  </si>
  <si>
    <t>Monitor</t>
  </si>
  <si>
    <t>East</t>
  </si>
  <si>
    <t>ORD0005</t>
  </si>
  <si>
    <t>Rohit Verma</t>
  </si>
  <si>
    <t>ORD0006</t>
  </si>
  <si>
    <t>Sneha Patel</t>
  </si>
  <si>
    <t>ORD0007</t>
  </si>
  <si>
    <t>Manoj Reddy</t>
  </si>
  <si>
    <t xml:space="preserve">  Mouse  </t>
  </si>
  <si>
    <t>Accessories</t>
  </si>
  <si>
    <t>ORD0008</t>
  </si>
  <si>
    <t>Lakshmi Devi</t>
  </si>
  <si>
    <t>ORD0009</t>
  </si>
  <si>
    <t>Printer</t>
  </si>
  <si>
    <t>ORD0010</t>
  </si>
  <si>
    <t>West</t>
  </si>
  <si>
    <t>ORD0011</t>
  </si>
  <si>
    <t>Mouse</t>
  </si>
  <si>
    <t>ORD0012</t>
  </si>
  <si>
    <t>Ananya Rao</t>
  </si>
  <si>
    <t>ORD0013</t>
  </si>
  <si>
    <t>Swathi Das</t>
  </si>
  <si>
    <t>Office Chair</t>
  </si>
  <si>
    <t>Furniture</t>
  </si>
  <si>
    <t>ORD0014</t>
  </si>
  <si>
    <t>Suresh Nair</t>
  </si>
  <si>
    <t>ORD0015</t>
  </si>
  <si>
    <t>Keyboard</t>
  </si>
  <si>
    <t>ORD0016</t>
  </si>
  <si>
    <t>ORD0017</t>
  </si>
  <si>
    <t>ORD0018</t>
  </si>
  <si>
    <t>Pooja Iyer</t>
  </si>
  <si>
    <t>ORD0019</t>
  </si>
  <si>
    <t>HEADPHONES</t>
  </si>
  <si>
    <t>ORD0020</t>
  </si>
  <si>
    <t>Headphones</t>
  </si>
  <si>
    <t>ORD0021</t>
  </si>
  <si>
    <t>Ravi Kumar</t>
  </si>
  <si>
    <t>ORD0022</t>
  </si>
  <si>
    <t>Backpack</t>
  </si>
  <si>
    <t>ORD0023</t>
  </si>
  <si>
    <t>ORD0024</t>
  </si>
  <si>
    <t>ORD0025</t>
  </si>
  <si>
    <t>ORD0026</t>
  </si>
  <si>
    <t>ORD0027</t>
  </si>
  <si>
    <t>ORD0028</t>
  </si>
  <si>
    <t>ORD0029</t>
  </si>
  <si>
    <t>electronics</t>
  </si>
  <si>
    <t>ORD0030</t>
  </si>
  <si>
    <t>ORD0031</t>
  </si>
  <si>
    <t>ORD0032</t>
  </si>
  <si>
    <t>Arjun Kumar</t>
  </si>
  <si>
    <t xml:space="preserve">  Backpack  </t>
  </si>
  <si>
    <t>ORD0033</t>
  </si>
  <si>
    <t>Laptop</t>
  </si>
  <si>
    <t>ORD0034</t>
  </si>
  <si>
    <t>ORD0035</t>
  </si>
  <si>
    <t>Kavya Rao</t>
  </si>
  <si>
    <t>ORD0036</t>
  </si>
  <si>
    <t>ORD0037</t>
  </si>
  <si>
    <t>Divya Menon</t>
  </si>
  <si>
    <t>Desk</t>
  </si>
  <si>
    <t>ORD0038</t>
  </si>
  <si>
    <t>ORD0039</t>
  </si>
  <si>
    <t>ORD0040</t>
  </si>
  <si>
    <t>ORD0041</t>
  </si>
  <si>
    <t>ORD0042</t>
  </si>
  <si>
    <t xml:space="preserve">Furniture   </t>
  </si>
  <si>
    <t>ORD0043</t>
  </si>
  <si>
    <t>ORD0044</t>
  </si>
  <si>
    <t>Kiran Das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</si>
  <si>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</si>
  <si>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</si>
  <si>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</si>
  <si>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</si>
  <si>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</si>
  <si>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</si>
  <si>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</si>
  <si>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</si>
  <si>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</si>
  <si>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</si>
  <si>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</si>
  <si>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</si>
  <si>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BACKPACK</t>
  </si>
  <si>
    <t>ORD0057</t>
  </si>
  <si>
    <t>ORD0058</t>
  </si>
  <si>
    <t>ORD0059</t>
  </si>
  <si>
    <t>ORD0060</t>
  </si>
  <si>
    <t>ORD0061</t>
  </si>
  <si>
    <t>ORD0062</t>
  </si>
  <si>
    <t>Vikram Singh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</si>
  <si>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</si>
  <si>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</si>
  <si>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</si>
  <si>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</si>
  <si>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</si>
  <si>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</si>
  <si>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</si>
  <si>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</si>
  <si>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</si>
  <si>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</si>
  <si>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</si>
  <si>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</si>
  <si>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accessories</t>
  </si>
  <si>
    <t>ORD0075</t>
  </si>
  <si>
    <t>ORD0076</t>
  </si>
  <si>
    <t>ORD0077</t>
  </si>
  <si>
    <t>Amit Shah</t>
  </si>
  <si>
    <t xml:space="preserve">  Office Chair  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</si>
  <si>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</si>
  <si>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</si>
  <si>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</si>
  <si>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</si>
  <si>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</si>
  <si>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</si>
  <si>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</si>
  <si>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</si>
  <si>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</si>
  <si>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</si>
  <si>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</si>
  <si>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 xml:space="preserve">Electronics   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</si>
  <si>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</si>
  <si>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</si>
  <si>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</si>
  <si>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</si>
  <si>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</si>
  <si>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</si>
  <si>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</si>
  <si>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</si>
  <si>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</si>
  <si>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Neha Gupta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</si>
  <si>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</si>
  <si>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</si>
  <si>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</si>
  <si>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</si>
  <si>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</si>
  <si>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</si>
  <si>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</si>
  <si>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</si>
  <si>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</si>
  <si>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</si>
  <si>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</si>
  <si>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</si>
  <si>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</si>
  <si>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</si>
  <si>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</si>
  <si>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</si>
  <si>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</si>
  <si>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</si>
  <si>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</si>
  <si>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</si>
  <si>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</si>
  <si>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</si>
  <si>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</si>
  <si>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Issue</t>
  </si>
  <si>
    <t>Column</t>
  </si>
  <si>
    <t>Formula/Method</t>
  </si>
  <si>
    <t>Action</t>
  </si>
  <si>
    <t>Blank values</t>
  </si>
  <si>
    <t>COUNTBLANK</t>
  </si>
  <si>
    <t>Fill/Remove</t>
  </si>
  <si>
    <t>Fill</t>
  </si>
  <si>
    <t>Duplicate records</t>
  </si>
  <si>
    <t>All columns</t>
  </si>
  <si>
    <t>Remove</t>
  </si>
  <si>
    <t>Extra spaces</t>
  </si>
  <si>
    <t>TRIM</t>
  </si>
  <si>
    <t>Clean</t>
  </si>
  <si>
    <t>Incorrect capitalization</t>
  </si>
  <si>
    <t>PROPER</t>
  </si>
  <si>
    <t>Standardize</t>
  </si>
  <si>
    <t>Invalid quantity</t>
  </si>
  <si>
    <t>COUNTIF</t>
  </si>
  <si>
    <t>Correct</t>
  </si>
  <si>
    <t>Missing category</t>
  </si>
  <si>
    <t>Outliers</t>
  </si>
  <si>
    <t>MAX/MIN</t>
  </si>
  <si>
    <t>Investigate</t>
  </si>
  <si>
    <t>Missing Customer Name</t>
  </si>
  <si>
    <t>Fill/Unknown</t>
  </si>
  <si>
    <t>Missing Revenue</t>
  </si>
  <si>
    <t>Recalculate</t>
  </si>
  <si>
    <t>Conditional formating(To Highlet Duplicates)/Remove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</si>
</sst>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0" xfId="1" applyFont="1"/>
    <xf numFmtId="164" fontId="0" fillId="0" borderId="0" xfId="0" applyNumberFormat="1"/>
  </cellXfs>
  <cellStyles count="2">
    <cellStyle name="Accent5" xfId="1" builtinId="45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61F8-9BFF-4D4E-A704-48CDFDDA0982}">
  <dimension ref="A1:I121"/>
  <sheetViews>
    <sheetView workbookViewId="0">
      <selection activeCell="B1" sqref="B1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8.26953125" bestFit="1" customWidth="1"/>
    <col min="4" max="4" width="11.36328125" bestFit="1" customWidth="1"/>
    <col min="5" max="5" width="10.453125" bestFit="1" customWidth="1"/>
    <col min="6" max="6" width="8.26953125" bestFit="1" customWidth="1"/>
    <col min="7" max="7" width="10.36328125" bestFit="1" customWidth="1"/>
    <col min="8" max="8" width="11.36328125" bestFit="1" customWidth="1"/>
    <col min="9" max="9" width="10.1796875" bestFit="1" customWidth="1"/>
  </cols>
  <sheetData>
    <row r="1" spans="1: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76</v>
      </c>
      <c r="B2" s="2">
        <v>46173</v>
      </c>
      <c r="C2" t="s">
        <v>10</v>
      </c>
      <c r="D2" t="s">
        <v>77</v>
      </c>
      <c r="E2" t="s">
        <v>12</v>
      </c>
      <c r="F2" t="s">
        <v>16</v>
      </c>
      <c r="G2">
        <v>5</v>
      </c>
      <c r="H2">
        <v>55593.14</v>
      </c>
      <c r="I2">
        <v>277965.7</v>
      </c>
    </row>
    <row r="3" spans="1:9" x14ac:dyDescent="0.35">
      <c r="A3" t="s">
        <v>147</v>
      </c>
      <c r="B3" s="2">
        <v>46240</v>
      </c>
      <c r="C3" t="s">
        <v>28</v>
      </c>
      <c r="D3" t="s">
        <v>77</v>
      </c>
      <c r="E3" t="s">
        <v>12</v>
      </c>
      <c r="F3" t="s">
        <v>38</v>
      </c>
      <c r="G3">
        <v>5</v>
      </c>
      <c r="H3">
        <v>52241.18</v>
      </c>
      <c r="I3">
        <v>261205.9</v>
      </c>
    </row>
    <row r="4" spans="1:9" x14ac:dyDescent="0.35">
      <c r="A4" t="s">
        <v>122</v>
      </c>
      <c r="B4" s="2">
        <v>46232</v>
      </c>
      <c r="C4" t="s">
        <v>30</v>
      </c>
      <c r="D4" t="s">
        <v>77</v>
      </c>
      <c r="E4" t="s">
        <v>12</v>
      </c>
      <c r="F4" t="s">
        <v>24</v>
      </c>
      <c r="G4">
        <v>4</v>
      </c>
      <c r="H4">
        <v>51946.77</v>
      </c>
      <c r="I4">
        <v>207787.08</v>
      </c>
    </row>
    <row r="5" spans="1:9" x14ac:dyDescent="0.35">
      <c r="A5" t="s">
        <v>116</v>
      </c>
      <c r="B5" s="2">
        <v>46060</v>
      </c>
      <c r="C5" t="s">
        <v>83</v>
      </c>
      <c r="D5" t="s">
        <v>77</v>
      </c>
      <c r="E5" t="s">
        <v>12</v>
      </c>
      <c r="F5" t="s">
        <v>13</v>
      </c>
      <c r="G5">
        <v>3</v>
      </c>
      <c r="H5">
        <v>55907.61</v>
      </c>
      <c r="I5">
        <v>167722.82999999999</v>
      </c>
    </row>
    <row r="6" spans="1:9" x14ac:dyDescent="0.35">
      <c r="A6" t="s">
        <v>117</v>
      </c>
      <c r="B6" s="2">
        <v>46261</v>
      </c>
      <c r="C6" t="s">
        <v>15</v>
      </c>
      <c r="D6" t="s">
        <v>77</v>
      </c>
      <c r="E6" t="s">
        <v>12</v>
      </c>
      <c r="F6" t="s">
        <v>24</v>
      </c>
      <c r="G6">
        <v>3</v>
      </c>
      <c r="H6">
        <v>53511.17</v>
      </c>
      <c r="I6">
        <v>160533.51</v>
      </c>
    </row>
    <row r="7" spans="1:9" x14ac:dyDescent="0.35">
      <c r="A7" t="s">
        <v>167</v>
      </c>
      <c r="B7" s="2">
        <v>46040</v>
      </c>
      <c r="C7" t="s">
        <v>15</v>
      </c>
      <c r="D7" t="s">
        <v>77</v>
      </c>
      <c r="E7" t="s">
        <v>12</v>
      </c>
      <c r="F7" t="s">
        <v>16</v>
      </c>
      <c r="G7">
        <v>3</v>
      </c>
      <c r="H7">
        <v>51966.44</v>
      </c>
      <c r="I7">
        <v>155899.32</v>
      </c>
    </row>
    <row r="8" spans="1:9" x14ac:dyDescent="0.35">
      <c r="A8" t="s">
        <v>97</v>
      </c>
      <c r="B8" s="2">
        <v>46172</v>
      </c>
      <c r="C8" t="s">
        <v>80</v>
      </c>
      <c r="D8" t="s">
        <v>77</v>
      </c>
      <c r="E8" t="s">
        <v>12</v>
      </c>
      <c r="F8" t="s">
        <v>20</v>
      </c>
      <c r="G8">
        <v>3</v>
      </c>
      <c r="H8">
        <v>50128.82</v>
      </c>
      <c r="I8">
        <v>150386.46</v>
      </c>
    </row>
    <row r="9" spans="1:9" x14ac:dyDescent="0.35">
      <c r="A9" t="s">
        <v>100</v>
      </c>
      <c r="B9" s="2">
        <v>46175</v>
      </c>
      <c r="C9" t="s">
        <v>15</v>
      </c>
      <c r="D9" t="s">
        <v>11</v>
      </c>
      <c r="E9" t="s">
        <v>12</v>
      </c>
      <c r="F9" t="s">
        <v>20</v>
      </c>
      <c r="G9">
        <v>5</v>
      </c>
      <c r="H9">
        <v>26578.81</v>
      </c>
      <c r="I9">
        <v>132894.04999999999</v>
      </c>
    </row>
    <row r="10" spans="1:9" x14ac:dyDescent="0.35">
      <c r="A10" t="s">
        <v>79</v>
      </c>
      <c r="B10" s="2">
        <v>46194</v>
      </c>
      <c r="C10" t="s">
        <v>80</v>
      </c>
      <c r="D10" t="s">
        <v>11</v>
      </c>
      <c r="E10" t="s">
        <v>12</v>
      </c>
      <c r="F10" t="s">
        <v>13</v>
      </c>
      <c r="G10">
        <v>5</v>
      </c>
      <c r="H10">
        <v>26532.83</v>
      </c>
      <c r="I10">
        <v>132664.15</v>
      </c>
    </row>
    <row r="11" spans="1:9" x14ac:dyDescent="0.35">
      <c r="A11" t="s">
        <v>14</v>
      </c>
      <c r="B11" s="2">
        <v>46131</v>
      </c>
      <c r="C11" t="s">
        <v>15</v>
      </c>
      <c r="D11" t="s">
        <v>11</v>
      </c>
      <c r="E11" t="s">
        <v>12</v>
      </c>
      <c r="F11" t="s">
        <v>16</v>
      </c>
      <c r="G11">
        <v>5</v>
      </c>
      <c r="H11">
        <v>25686.86</v>
      </c>
      <c r="I11">
        <v>128434.3</v>
      </c>
    </row>
    <row r="12" spans="1:9" x14ac:dyDescent="0.35">
      <c r="A12" t="s">
        <v>99</v>
      </c>
      <c r="B12" s="2">
        <v>46243</v>
      </c>
      <c r="C12" t="s">
        <v>10</v>
      </c>
      <c r="D12" t="s">
        <v>11</v>
      </c>
      <c r="E12" t="s">
        <v>12</v>
      </c>
      <c r="F12" t="s">
        <v>38</v>
      </c>
      <c r="G12">
        <v>5</v>
      </c>
      <c r="H12">
        <v>25580.58</v>
      </c>
      <c r="I12">
        <v>127902.9</v>
      </c>
    </row>
    <row r="13" spans="1:9" x14ac:dyDescent="0.35">
      <c r="A13" t="s">
        <v>68</v>
      </c>
      <c r="B13" s="2">
        <v>46217</v>
      </c>
      <c r="C13" t="s">
        <v>44</v>
      </c>
      <c r="D13" t="s">
        <v>11</v>
      </c>
      <c r="E13" t="s">
        <v>12</v>
      </c>
      <c r="F13" t="s">
        <v>13</v>
      </c>
      <c r="G13">
        <v>4</v>
      </c>
      <c r="H13">
        <v>29769.73</v>
      </c>
      <c r="I13">
        <v>119078.92</v>
      </c>
    </row>
    <row r="14" spans="1:9" x14ac:dyDescent="0.35">
      <c r="A14" t="s">
        <v>101</v>
      </c>
      <c r="B14" s="2">
        <v>46167</v>
      </c>
      <c r="C14" t="s">
        <v>60</v>
      </c>
      <c r="D14" t="s">
        <v>11</v>
      </c>
      <c r="E14" t="s">
        <v>12</v>
      </c>
      <c r="F14" t="s">
        <v>24</v>
      </c>
      <c r="G14">
        <v>4</v>
      </c>
      <c r="H14">
        <v>28881.29</v>
      </c>
      <c r="I14">
        <v>115525.16</v>
      </c>
    </row>
    <row r="15" spans="1:9" x14ac:dyDescent="0.35">
      <c r="A15" t="s">
        <v>25</v>
      </c>
      <c r="B15" s="2">
        <v>46110</v>
      </c>
      <c r="C15" t="s">
        <v>26</v>
      </c>
      <c r="D15" t="s">
        <v>77</v>
      </c>
      <c r="E15" t="s">
        <v>12</v>
      </c>
      <c r="F15" t="s">
        <v>13</v>
      </c>
      <c r="G15">
        <v>2</v>
      </c>
      <c r="H15">
        <v>57179.53</v>
      </c>
      <c r="I15">
        <v>114359.06</v>
      </c>
    </row>
    <row r="16" spans="1:9" x14ac:dyDescent="0.35">
      <c r="A16" t="s">
        <v>94</v>
      </c>
      <c r="B16" s="2">
        <v>46122</v>
      </c>
      <c r="C16" t="s">
        <v>26</v>
      </c>
      <c r="D16" t="s">
        <v>77</v>
      </c>
      <c r="E16" t="s">
        <v>12</v>
      </c>
      <c r="F16" t="s">
        <v>38</v>
      </c>
      <c r="G16">
        <v>2</v>
      </c>
      <c r="H16">
        <v>53668.7</v>
      </c>
      <c r="I16">
        <v>107337.4</v>
      </c>
    </row>
    <row r="17" spans="1:9" x14ac:dyDescent="0.35">
      <c r="A17" t="s">
        <v>33</v>
      </c>
      <c r="B17" s="2">
        <v>46098</v>
      </c>
      <c r="C17" t="s">
        <v>34</v>
      </c>
      <c r="D17" t="s">
        <v>11</v>
      </c>
      <c r="E17" t="s">
        <v>12</v>
      </c>
      <c r="F17" t="s">
        <v>24</v>
      </c>
      <c r="G17">
        <v>4</v>
      </c>
      <c r="H17">
        <v>25641.279999999999</v>
      </c>
      <c r="I17">
        <v>102565.12</v>
      </c>
    </row>
    <row r="18" spans="1:9" x14ac:dyDescent="0.35">
      <c r="A18" t="s">
        <v>88</v>
      </c>
      <c r="B18" s="2">
        <v>46131</v>
      </c>
      <c r="C18" t="s">
        <v>42</v>
      </c>
      <c r="D18" t="s">
        <v>23</v>
      </c>
      <c r="E18" t="s">
        <v>12</v>
      </c>
      <c r="F18" t="s">
        <v>24</v>
      </c>
      <c r="G18">
        <v>5</v>
      </c>
      <c r="H18">
        <v>14845.84</v>
      </c>
      <c r="I18">
        <v>74229.2</v>
      </c>
    </row>
    <row r="19" spans="1:9" x14ac:dyDescent="0.35">
      <c r="A19" t="s">
        <v>21</v>
      </c>
      <c r="B19" s="2">
        <v>46137</v>
      </c>
      <c r="C19" t="s">
        <v>22</v>
      </c>
      <c r="D19" t="s">
        <v>23</v>
      </c>
      <c r="E19" t="s">
        <v>12</v>
      </c>
      <c r="F19" t="s">
        <v>24</v>
      </c>
      <c r="G19">
        <v>5</v>
      </c>
      <c r="H19">
        <v>14758.56</v>
      </c>
      <c r="I19">
        <v>73792.800000000003</v>
      </c>
    </row>
    <row r="20" spans="1:9" x14ac:dyDescent="0.35">
      <c r="A20" t="s">
        <v>149</v>
      </c>
      <c r="B20" s="2">
        <v>46251</v>
      </c>
      <c r="C20" t="s">
        <v>60</v>
      </c>
      <c r="D20" t="s">
        <v>84</v>
      </c>
      <c r="E20" t="s">
        <v>46</v>
      </c>
      <c r="F20" t="s">
        <v>38</v>
      </c>
      <c r="G20">
        <v>5</v>
      </c>
      <c r="H20">
        <v>12756.02</v>
      </c>
      <c r="I20">
        <v>63780.1</v>
      </c>
    </row>
    <row r="21" spans="1:9" x14ac:dyDescent="0.35">
      <c r="A21" t="s">
        <v>136</v>
      </c>
      <c r="B21" s="2">
        <v>46120</v>
      </c>
      <c r="C21" t="s">
        <v>42</v>
      </c>
      <c r="D21" t="s">
        <v>23</v>
      </c>
      <c r="E21" t="s">
        <v>12</v>
      </c>
      <c r="F21" t="s">
        <v>20</v>
      </c>
      <c r="G21">
        <v>4</v>
      </c>
      <c r="H21">
        <v>15494.79</v>
      </c>
      <c r="I21">
        <v>61979.16</v>
      </c>
    </row>
    <row r="22" spans="1:9" x14ac:dyDescent="0.35">
      <c r="A22" t="s">
        <v>163</v>
      </c>
      <c r="B22" s="2">
        <v>46044</v>
      </c>
      <c r="C22" t="s">
        <v>83</v>
      </c>
      <c r="D22" t="s">
        <v>36</v>
      </c>
      <c r="E22" t="s">
        <v>12</v>
      </c>
      <c r="F22" t="s">
        <v>13</v>
      </c>
      <c r="G22">
        <v>5</v>
      </c>
      <c r="H22">
        <v>12391.2</v>
      </c>
      <c r="I22">
        <v>61956</v>
      </c>
    </row>
    <row r="23" spans="1:9" x14ac:dyDescent="0.35">
      <c r="A23" t="s">
        <v>37</v>
      </c>
      <c r="B23" s="2">
        <v>46120</v>
      </c>
      <c r="C23" t="s">
        <v>26</v>
      </c>
      <c r="D23" t="s">
        <v>11</v>
      </c>
      <c r="E23" t="s">
        <v>12</v>
      </c>
      <c r="F23" t="s">
        <v>38</v>
      </c>
      <c r="G23">
        <v>2</v>
      </c>
      <c r="H23">
        <v>30052.31</v>
      </c>
      <c r="I23">
        <v>60104.62</v>
      </c>
    </row>
    <row r="24" spans="1:9" x14ac:dyDescent="0.35">
      <c r="A24" t="s">
        <v>127</v>
      </c>
      <c r="B24" s="2">
        <v>46089</v>
      </c>
      <c r="C24" t="s">
        <v>42</v>
      </c>
      <c r="D24" t="s">
        <v>77</v>
      </c>
      <c r="E24" t="s">
        <v>12</v>
      </c>
      <c r="F24" t="s">
        <v>20</v>
      </c>
      <c r="G24">
        <v>1</v>
      </c>
      <c r="H24">
        <v>59147.42</v>
      </c>
      <c r="I24">
        <v>59147.42</v>
      </c>
    </row>
    <row r="25" spans="1:9" x14ac:dyDescent="0.35">
      <c r="A25" t="s">
        <v>51</v>
      </c>
      <c r="B25" s="2">
        <v>46257</v>
      </c>
      <c r="C25" t="s">
        <v>30</v>
      </c>
      <c r="D25" t="s">
        <v>23</v>
      </c>
      <c r="E25" t="s">
        <v>12</v>
      </c>
      <c r="F25" t="s">
        <v>13</v>
      </c>
      <c r="G25">
        <v>4</v>
      </c>
      <c r="H25">
        <v>14686.9</v>
      </c>
      <c r="I25">
        <v>58747.6</v>
      </c>
    </row>
    <row r="26" spans="1:9" x14ac:dyDescent="0.35">
      <c r="A26" t="s">
        <v>157</v>
      </c>
      <c r="B26" s="2">
        <v>46220</v>
      </c>
      <c r="C26" t="s">
        <v>22</v>
      </c>
      <c r="D26" t="s">
        <v>23</v>
      </c>
      <c r="E26" t="s">
        <v>12</v>
      </c>
      <c r="F26" t="s">
        <v>16</v>
      </c>
      <c r="G26">
        <v>4</v>
      </c>
      <c r="H26">
        <v>14668.43</v>
      </c>
      <c r="I26">
        <v>58673.72</v>
      </c>
    </row>
    <row r="27" spans="1:9" x14ac:dyDescent="0.35">
      <c r="A27" t="s">
        <v>141</v>
      </c>
      <c r="B27" s="2">
        <v>46080</v>
      </c>
      <c r="C27" t="s">
        <v>93</v>
      </c>
      <c r="D27" t="s">
        <v>11</v>
      </c>
      <c r="E27" t="s">
        <v>12</v>
      </c>
      <c r="F27" t="s">
        <v>13</v>
      </c>
      <c r="G27">
        <v>2</v>
      </c>
      <c r="H27">
        <v>28967.66</v>
      </c>
      <c r="I27">
        <v>57935.32</v>
      </c>
    </row>
    <row r="28" spans="1:9" x14ac:dyDescent="0.35">
      <c r="A28" t="s">
        <v>160</v>
      </c>
      <c r="B28" s="2">
        <v>46134</v>
      </c>
      <c r="C28" t="s">
        <v>80</v>
      </c>
      <c r="D28" t="s">
        <v>23</v>
      </c>
      <c r="E28" t="s">
        <v>12</v>
      </c>
      <c r="F28" t="s">
        <v>16</v>
      </c>
      <c r="G28">
        <v>4</v>
      </c>
      <c r="H28">
        <v>14158.26</v>
      </c>
      <c r="I28">
        <v>56633.04</v>
      </c>
    </row>
    <row r="29" spans="1:9" x14ac:dyDescent="0.35">
      <c r="A29" t="s">
        <v>108</v>
      </c>
      <c r="B29" s="2">
        <v>46232</v>
      </c>
      <c r="C29" t="s">
        <v>44</v>
      </c>
      <c r="D29" t="s">
        <v>36</v>
      </c>
      <c r="E29" t="s">
        <v>12</v>
      </c>
      <c r="F29" t="s">
        <v>24</v>
      </c>
      <c r="G29">
        <v>5</v>
      </c>
      <c r="H29">
        <v>10818.78</v>
      </c>
      <c r="I29">
        <v>54093.9</v>
      </c>
    </row>
    <row r="30" spans="1:9" x14ac:dyDescent="0.35">
      <c r="A30" t="s">
        <v>109</v>
      </c>
      <c r="B30" s="2">
        <v>46250</v>
      </c>
      <c r="C30" t="s">
        <v>28</v>
      </c>
      <c r="D30" t="s">
        <v>11</v>
      </c>
      <c r="E30" t="s">
        <v>12</v>
      </c>
      <c r="F30" t="s">
        <v>20</v>
      </c>
      <c r="G30">
        <v>2</v>
      </c>
      <c r="H30">
        <v>26681.01</v>
      </c>
      <c r="I30">
        <v>53362.02</v>
      </c>
    </row>
    <row r="31" spans="1:9" x14ac:dyDescent="0.35">
      <c r="A31" t="s">
        <v>17</v>
      </c>
      <c r="B31" s="2">
        <v>46177</v>
      </c>
      <c r="C31" t="s">
        <v>18</v>
      </c>
      <c r="D31" t="s">
        <v>11</v>
      </c>
      <c r="E31" t="s">
        <v>12</v>
      </c>
      <c r="F31" t="s">
        <v>20</v>
      </c>
      <c r="G31">
        <v>2</v>
      </c>
      <c r="H31">
        <v>26502.9</v>
      </c>
      <c r="I31">
        <v>53005.8</v>
      </c>
    </row>
    <row r="32" spans="1:9" x14ac:dyDescent="0.35">
      <c r="A32" t="s">
        <v>71</v>
      </c>
      <c r="B32" s="2">
        <v>46260</v>
      </c>
      <c r="C32" t="s">
        <v>44</v>
      </c>
      <c r="D32" t="s">
        <v>36</v>
      </c>
      <c r="E32" t="s">
        <v>12</v>
      </c>
      <c r="F32" t="s">
        <v>13</v>
      </c>
      <c r="G32">
        <v>4</v>
      </c>
      <c r="H32">
        <v>13114.47</v>
      </c>
      <c r="I32">
        <v>52457.88</v>
      </c>
    </row>
    <row r="33" spans="1:9" x14ac:dyDescent="0.35">
      <c r="A33" t="s">
        <v>142</v>
      </c>
      <c r="B33" s="2">
        <v>46144</v>
      </c>
      <c r="C33" t="s">
        <v>34</v>
      </c>
      <c r="D33" t="s">
        <v>77</v>
      </c>
      <c r="E33" t="s">
        <v>12</v>
      </c>
      <c r="F33" t="s">
        <v>16</v>
      </c>
      <c r="G33">
        <v>1</v>
      </c>
      <c r="H33">
        <v>52193.27</v>
      </c>
      <c r="I33">
        <v>52193.27</v>
      </c>
    </row>
    <row r="34" spans="1:9" x14ac:dyDescent="0.35">
      <c r="A34" t="s">
        <v>53</v>
      </c>
      <c r="B34" s="2">
        <v>46125</v>
      </c>
      <c r="C34" t="s">
        <v>54</v>
      </c>
      <c r="D34" t="s">
        <v>36</v>
      </c>
      <c r="E34" t="s">
        <v>12</v>
      </c>
      <c r="F34" t="s">
        <v>13</v>
      </c>
      <c r="G34">
        <v>4</v>
      </c>
      <c r="H34">
        <v>12954.77</v>
      </c>
      <c r="I34">
        <v>51819.08</v>
      </c>
    </row>
    <row r="35" spans="1:9" x14ac:dyDescent="0.35">
      <c r="A35" t="s">
        <v>144</v>
      </c>
      <c r="B35" s="2">
        <v>46170</v>
      </c>
      <c r="C35" t="s">
        <v>93</v>
      </c>
      <c r="D35" t="s">
        <v>84</v>
      </c>
      <c r="E35" t="s">
        <v>46</v>
      </c>
      <c r="F35" t="s">
        <v>38</v>
      </c>
      <c r="G35">
        <v>4</v>
      </c>
      <c r="H35">
        <v>12926.73</v>
      </c>
      <c r="I35">
        <v>51706.92</v>
      </c>
    </row>
    <row r="36" spans="1:9" x14ac:dyDescent="0.35">
      <c r="A36" t="s">
        <v>158</v>
      </c>
      <c r="B36" s="2">
        <v>46264</v>
      </c>
      <c r="C36" t="s">
        <v>54</v>
      </c>
      <c r="D36" t="s">
        <v>36</v>
      </c>
      <c r="E36" t="s">
        <v>12</v>
      </c>
      <c r="F36" t="s">
        <v>24</v>
      </c>
      <c r="G36">
        <v>4</v>
      </c>
      <c r="H36">
        <v>11944.75</v>
      </c>
      <c r="I36">
        <v>47779</v>
      </c>
    </row>
    <row r="37" spans="1:9" x14ac:dyDescent="0.35">
      <c r="A37" t="s">
        <v>139</v>
      </c>
      <c r="B37" s="2">
        <v>46077</v>
      </c>
      <c r="C37" t="s">
        <v>60</v>
      </c>
      <c r="D37" t="s">
        <v>84</v>
      </c>
      <c r="E37" t="s">
        <v>46</v>
      </c>
      <c r="F37" t="s">
        <v>38</v>
      </c>
      <c r="G37">
        <v>4</v>
      </c>
      <c r="H37">
        <v>11861.18</v>
      </c>
      <c r="I37">
        <v>47444.72</v>
      </c>
    </row>
    <row r="38" spans="1:9" x14ac:dyDescent="0.35">
      <c r="A38" t="s">
        <v>129</v>
      </c>
      <c r="B38" s="2">
        <v>46052</v>
      </c>
      <c r="C38" t="s">
        <v>130</v>
      </c>
      <c r="D38" t="s">
        <v>45</v>
      </c>
      <c r="E38" t="s">
        <v>46</v>
      </c>
      <c r="F38" t="s">
        <v>20</v>
      </c>
      <c r="G38">
        <v>5</v>
      </c>
      <c r="H38">
        <v>9323.2000000000007</v>
      </c>
      <c r="I38">
        <v>46616</v>
      </c>
    </row>
    <row r="39" spans="1:9" x14ac:dyDescent="0.35">
      <c r="A39" t="s">
        <v>145</v>
      </c>
      <c r="B39" s="2">
        <v>46190</v>
      </c>
      <c r="C39" t="s">
        <v>18</v>
      </c>
      <c r="D39" t="s">
        <v>84</v>
      </c>
      <c r="E39" t="s">
        <v>46</v>
      </c>
      <c r="F39" t="s">
        <v>16</v>
      </c>
      <c r="G39">
        <v>4</v>
      </c>
      <c r="H39">
        <v>11385.56</v>
      </c>
      <c r="I39">
        <v>45542.239999999998</v>
      </c>
    </row>
    <row r="40" spans="1:9" x14ac:dyDescent="0.35">
      <c r="A40" t="s">
        <v>152</v>
      </c>
      <c r="B40" s="2">
        <v>46205</v>
      </c>
      <c r="C40" t="s">
        <v>153</v>
      </c>
      <c r="D40" t="s">
        <v>23</v>
      </c>
      <c r="E40" t="s">
        <v>12</v>
      </c>
      <c r="F40" t="s">
        <v>13</v>
      </c>
      <c r="G40">
        <v>3</v>
      </c>
      <c r="H40">
        <v>14819.62</v>
      </c>
      <c r="I40">
        <v>44458.86</v>
      </c>
    </row>
    <row r="41" spans="1:9" x14ac:dyDescent="0.35">
      <c r="A41" t="s">
        <v>107</v>
      </c>
      <c r="B41" s="2">
        <v>46135</v>
      </c>
      <c r="C41" t="s">
        <v>44</v>
      </c>
      <c r="D41" t="s">
        <v>23</v>
      </c>
      <c r="E41" t="s">
        <v>12</v>
      </c>
      <c r="F41" t="s">
        <v>24</v>
      </c>
      <c r="G41">
        <v>3</v>
      </c>
      <c r="H41">
        <v>14354.96</v>
      </c>
      <c r="I41">
        <v>43064.88</v>
      </c>
    </row>
    <row r="42" spans="1:9" x14ac:dyDescent="0.35">
      <c r="A42" t="s">
        <v>121</v>
      </c>
      <c r="B42" s="2">
        <v>46202</v>
      </c>
      <c r="C42" t="s">
        <v>28</v>
      </c>
      <c r="D42" t="s">
        <v>23</v>
      </c>
      <c r="E42" t="s">
        <v>12</v>
      </c>
      <c r="F42" t="s">
        <v>38</v>
      </c>
      <c r="G42">
        <v>3</v>
      </c>
      <c r="H42">
        <v>13977.59</v>
      </c>
      <c r="I42">
        <v>41932.769999999997</v>
      </c>
    </row>
    <row r="43" spans="1:9" x14ac:dyDescent="0.35">
      <c r="A43" t="s">
        <v>27</v>
      </c>
      <c r="B43" s="2">
        <v>46120</v>
      </c>
      <c r="C43" t="s">
        <v>28</v>
      </c>
      <c r="D43" t="s">
        <v>23</v>
      </c>
      <c r="E43" t="s">
        <v>12</v>
      </c>
      <c r="F43" t="s">
        <v>24</v>
      </c>
      <c r="G43">
        <v>3</v>
      </c>
      <c r="H43">
        <v>13806.63</v>
      </c>
      <c r="I43">
        <v>41419.89</v>
      </c>
    </row>
    <row r="44" spans="1:9" x14ac:dyDescent="0.35">
      <c r="A44" t="s">
        <v>132</v>
      </c>
      <c r="B44" s="2">
        <v>46134</v>
      </c>
      <c r="C44" t="s">
        <v>18</v>
      </c>
      <c r="D44" t="s">
        <v>23</v>
      </c>
      <c r="E44" t="s">
        <v>12</v>
      </c>
      <c r="F44" t="s">
        <v>20</v>
      </c>
      <c r="G44">
        <v>3</v>
      </c>
      <c r="H44">
        <v>13633.16</v>
      </c>
      <c r="I44">
        <v>40899.480000000003</v>
      </c>
    </row>
    <row r="45" spans="1:9" x14ac:dyDescent="0.35">
      <c r="A45" t="s">
        <v>172</v>
      </c>
      <c r="B45" s="2">
        <v>46073</v>
      </c>
      <c r="C45" t="s">
        <v>74</v>
      </c>
      <c r="D45" t="s">
        <v>45</v>
      </c>
      <c r="E45" t="s">
        <v>46</v>
      </c>
      <c r="F45" t="s">
        <v>20</v>
      </c>
      <c r="G45">
        <v>4</v>
      </c>
      <c r="H45">
        <v>9250.5</v>
      </c>
      <c r="I45">
        <v>37002</v>
      </c>
    </row>
    <row r="46" spans="1:9" x14ac:dyDescent="0.35">
      <c r="A46" t="s">
        <v>137</v>
      </c>
      <c r="B46" s="2">
        <v>46236</v>
      </c>
      <c r="C46" t="s">
        <v>18</v>
      </c>
      <c r="D46" t="s">
        <v>36</v>
      </c>
      <c r="E46" t="s">
        <v>12</v>
      </c>
      <c r="F46" t="s">
        <v>24</v>
      </c>
      <c r="G46">
        <v>3</v>
      </c>
      <c r="H46">
        <v>11774.58</v>
      </c>
      <c r="I46">
        <v>35323.74</v>
      </c>
    </row>
    <row r="47" spans="1:9" x14ac:dyDescent="0.35">
      <c r="A47" t="s">
        <v>165</v>
      </c>
      <c r="B47" s="2">
        <v>46248</v>
      </c>
      <c r="C47" t="s">
        <v>130</v>
      </c>
      <c r="D47" t="s">
        <v>84</v>
      </c>
      <c r="E47" t="s">
        <v>46</v>
      </c>
      <c r="F47" t="s">
        <v>24</v>
      </c>
      <c r="G47">
        <v>3</v>
      </c>
      <c r="H47">
        <v>11610</v>
      </c>
      <c r="I47">
        <v>34830</v>
      </c>
    </row>
    <row r="48" spans="1:9" x14ac:dyDescent="0.35">
      <c r="A48" t="s">
        <v>59</v>
      </c>
      <c r="B48" s="2">
        <v>46142</v>
      </c>
      <c r="C48" t="s">
        <v>60</v>
      </c>
      <c r="D48" t="s">
        <v>45</v>
      </c>
      <c r="E48" t="s">
        <v>46</v>
      </c>
      <c r="F48" t="s">
        <v>24</v>
      </c>
      <c r="G48">
        <v>4</v>
      </c>
      <c r="H48">
        <v>8663.01</v>
      </c>
      <c r="I48">
        <v>34652.04</v>
      </c>
    </row>
    <row r="49" spans="1:9" x14ac:dyDescent="0.35">
      <c r="A49" t="s">
        <v>159</v>
      </c>
      <c r="B49" s="2">
        <v>46211</v>
      </c>
      <c r="C49" t="s">
        <v>44</v>
      </c>
      <c r="D49" t="s">
        <v>45</v>
      </c>
      <c r="E49" t="s">
        <v>46</v>
      </c>
      <c r="F49" t="s">
        <v>20</v>
      </c>
      <c r="G49">
        <v>4</v>
      </c>
      <c r="H49">
        <v>8564.9699999999993</v>
      </c>
      <c r="I49">
        <v>34259.879999999997</v>
      </c>
    </row>
    <row r="50" spans="1:9" x14ac:dyDescent="0.35">
      <c r="A50" t="s">
        <v>156</v>
      </c>
      <c r="B50" s="2">
        <v>46142</v>
      </c>
      <c r="C50" t="s">
        <v>83</v>
      </c>
      <c r="D50" t="s">
        <v>45</v>
      </c>
      <c r="E50" t="s">
        <v>46</v>
      </c>
      <c r="F50" t="s">
        <v>16</v>
      </c>
      <c r="G50">
        <v>4</v>
      </c>
      <c r="H50">
        <v>8212.5</v>
      </c>
      <c r="I50">
        <v>32850</v>
      </c>
    </row>
    <row r="51" spans="1:9" x14ac:dyDescent="0.35">
      <c r="A51" t="s">
        <v>168</v>
      </c>
      <c r="B51" s="2">
        <v>46182</v>
      </c>
      <c r="C51" t="s">
        <v>113</v>
      </c>
      <c r="D51" t="s">
        <v>23</v>
      </c>
      <c r="E51" t="s">
        <v>12</v>
      </c>
      <c r="F51" t="s">
        <v>13</v>
      </c>
      <c r="G51">
        <v>2</v>
      </c>
      <c r="H51">
        <v>16017.69</v>
      </c>
      <c r="I51">
        <v>32035.38</v>
      </c>
    </row>
    <row r="52" spans="1:9" x14ac:dyDescent="0.35">
      <c r="A52" t="s">
        <v>118</v>
      </c>
      <c r="B52" s="2">
        <v>46113</v>
      </c>
      <c r="C52" t="s">
        <v>44</v>
      </c>
      <c r="D52" t="s">
        <v>23</v>
      </c>
      <c r="E52" t="s">
        <v>12</v>
      </c>
      <c r="F52" t="s">
        <v>38</v>
      </c>
      <c r="G52">
        <v>2</v>
      </c>
      <c r="H52">
        <v>15500.8</v>
      </c>
      <c r="I52">
        <v>31001.599999999999</v>
      </c>
    </row>
    <row r="53" spans="1:9" x14ac:dyDescent="0.35">
      <c r="A53" t="s">
        <v>115</v>
      </c>
      <c r="B53" s="2">
        <v>46199</v>
      </c>
      <c r="C53" t="s">
        <v>113</v>
      </c>
      <c r="D53" t="s">
        <v>11</v>
      </c>
      <c r="E53" t="s">
        <v>12</v>
      </c>
      <c r="F53" t="s">
        <v>20</v>
      </c>
      <c r="G53">
        <v>1</v>
      </c>
      <c r="H53">
        <v>30492.29</v>
      </c>
      <c r="I53">
        <v>30492.29</v>
      </c>
    </row>
    <row r="54" spans="1:9" x14ac:dyDescent="0.35">
      <c r="A54" t="s">
        <v>92</v>
      </c>
      <c r="B54" s="2">
        <v>46146</v>
      </c>
      <c r="C54" t="s">
        <v>93</v>
      </c>
      <c r="D54" t="s">
        <v>23</v>
      </c>
      <c r="E54" t="s">
        <v>12</v>
      </c>
      <c r="F54" t="s">
        <v>38</v>
      </c>
      <c r="G54">
        <v>2</v>
      </c>
      <c r="H54">
        <v>14719.24</v>
      </c>
      <c r="I54">
        <v>29438.48</v>
      </c>
    </row>
    <row r="55" spans="1:9" x14ac:dyDescent="0.35">
      <c r="A55" t="s">
        <v>9</v>
      </c>
      <c r="B55" s="2">
        <v>46085</v>
      </c>
      <c r="C55" t="s">
        <v>10</v>
      </c>
      <c r="D55" t="s">
        <v>11</v>
      </c>
      <c r="E55" t="s">
        <v>12</v>
      </c>
      <c r="F55" t="s">
        <v>13</v>
      </c>
      <c r="G55">
        <v>1</v>
      </c>
      <c r="H55">
        <v>29352.68</v>
      </c>
      <c r="I55">
        <v>29352.68</v>
      </c>
    </row>
    <row r="56" spans="1:9" x14ac:dyDescent="0.35">
      <c r="A56" t="s">
        <v>85</v>
      </c>
      <c r="B56" s="2">
        <v>46113</v>
      </c>
      <c r="C56" t="s">
        <v>83</v>
      </c>
      <c r="D56" t="s">
        <v>11</v>
      </c>
      <c r="E56" t="s">
        <v>12</v>
      </c>
      <c r="F56" t="s">
        <v>38</v>
      </c>
      <c r="G56">
        <v>1</v>
      </c>
      <c r="H56">
        <v>28890.3</v>
      </c>
      <c r="I56">
        <v>28890.3</v>
      </c>
    </row>
    <row r="57" spans="1:9" x14ac:dyDescent="0.35">
      <c r="A57" t="s">
        <v>91</v>
      </c>
      <c r="B57" s="2">
        <v>46161</v>
      </c>
      <c r="C57" t="s">
        <v>18</v>
      </c>
      <c r="D57" t="s">
        <v>11</v>
      </c>
      <c r="E57" t="s">
        <v>12</v>
      </c>
      <c r="F57" t="s">
        <v>16</v>
      </c>
      <c r="G57">
        <v>1</v>
      </c>
      <c r="H57">
        <v>28852.01</v>
      </c>
      <c r="I57">
        <v>28852.01</v>
      </c>
    </row>
    <row r="58" spans="1:9" x14ac:dyDescent="0.35">
      <c r="A58" t="s">
        <v>43</v>
      </c>
      <c r="B58" s="2">
        <v>46186</v>
      </c>
      <c r="C58" t="s">
        <v>44</v>
      </c>
      <c r="D58" t="s">
        <v>45</v>
      </c>
      <c r="E58" t="s">
        <v>46</v>
      </c>
      <c r="F58" t="s">
        <v>13</v>
      </c>
      <c r="G58">
        <v>3</v>
      </c>
      <c r="H58">
        <v>9332.19</v>
      </c>
      <c r="I58">
        <v>27996.57</v>
      </c>
    </row>
    <row r="59" spans="1:9" x14ac:dyDescent="0.35">
      <c r="A59" t="s">
        <v>104</v>
      </c>
      <c r="B59" s="2">
        <v>46167</v>
      </c>
      <c r="C59" t="s">
        <v>28</v>
      </c>
      <c r="D59" t="s">
        <v>11</v>
      </c>
      <c r="E59" t="s">
        <v>12</v>
      </c>
      <c r="F59" t="s">
        <v>16</v>
      </c>
      <c r="G59">
        <v>1</v>
      </c>
      <c r="H59">
        <v>27766.400000000001</v>
      </c>
      <c r="I59">
        <v>27766.400000000001</v>
      </c>
    </row>
    <row r="60" spans="1:9" x14ac:dyDescent="0.35">
      <c r="A60" t="s">
        <v>166</v>
      </c>
      <c r="B60" s="2">
        <v>46143</v>
      </c>
      <c r="C60" t="s">
        <v>18</v>
      </c>
      <c r="D60" t="s">
        <v>45</v>
      </c>
      <c r="E60" t="s">
        <v>46</v>
      </c>
      <c r="F60" t="s">
        <v>20</v>
      </c>
      <c r="G60">
        <v>3</v>
      </c>
      <c r="H60">
        <v>9069.35</v>
      </c>
      <c r="I60">
        <v>27208.05</v>
      </c>
    </row>
    <row r="61" spans="1:9" x14ac:dyDescent="0.35">
      <c r="A61" t="s">
        <v>87</v>
      </c>
      <c r="B61" s="2">
        <v>46050</v>
      </c>
      <c r="C61" t="s">
        <v>10</v>
      </c>
      <c r="D61" t="s">
        <v>45</v>
      </c>
      <c r="E61" t="s">
        <v>46</v>
      </c>
      <c r="F61" t="s">
        <v>13</v>
      </c>
      <c r="G61">
        <v>3</v>
      </c>
      <c r="H61">
        <v>9011.01</v>
      </c>
      <c r="I61">
        <v>27033.03</v>
      </c>
    </row>
    <row r="62" spans="1:9" x14ac:dyDescent="0.35">
      <c r="A62" t="s">
        <v>78</v>
      </c>
      <c r="B62" s="2">
        <v>46254</v>
      </c>
      <c r="C62" t="s">
        <v>15</v>
      </c>
      <c r="D62" t="s">
        <v>11</v>
      </c>
      <c r="E62" t="s">
        <v>12</v>
      </c>
      <c r="F62" t="s">
        <v>24</v>
      </c>
      <c r="G62">
        <v>1</v>
      </c>
      <c r="H62">
        <v>26482.07</v>
      </c>
      <c r="I62">
        <v>26482.07</v>
      </c>
    </row>
    <row r="63" spans="1:9" x14ac:dyDescent="0.35">
      <c r="A63" t="s">
        <v>161</v>
      </c>
      <c r="B63" s="2">
        <v>46227</v>
      </c>
      <c r="C63" t="s">
        <v>130</v>
      </c>
      <c r="D63" t="s">
        <v>45</v>
      </c>
      <c r="E63" t="s">
        <v>46</v>
      </c>
      <c r="F63" t="s">
        <v>13</v>
      </c>
      <c r="G63">
        <v>3</v>
      </c>
      <c r="H63">
        <v>8787.09</v>
      </c>
      <c r="I63">
        <v>26361.27</v>
      </c>
    </row>
    <row r="64" spans="1:9" x14ac:dyDescent="0.35">
      <c r="A64" t="s">
        <v>162</v>
      </c>
      <c r="B64" s="2">
        <v>46159</v>
      </c>
      <c r="C64" t="s">
        <v>18</v>
      </c>
      <c r="D64" t="s">
        <v>84</v>
      </c>
      <c r="E64" t="s">
        <v>46</v>
      </c>
      <c r="F64" t="s">
        <v>38</v>
      </c>
      <c r="G64">
        <v>2</v>
      </c>
      <c r="H64">
        <v>13153.73</v>
      </c>
      <c r="I64">
        <v>26307.46</v>
      </c>
    </row>
    <row r="65" spans="1:9" x14ac:dyDescent="0.35">
      <c r="A65" t="s">
        <v>176</v>
      </c>
      <c r="B65" s="2">
        <v>46235</v>
      </c>
      <c r="C65" t="s">
        <v>30</v>
      </c>
      <c r="D65" t="s">
        <v>45</v>
      </c>
      <c r="E65" t="s">
        <v>46</v>
      </c>
      <c r="F65" t="s">
        <v>13</v>
      </c>
      <c r="G65">
        <v>3</v>
      </c>
      <c r="H65">
        <v>8730.49</v>
      </c>
      <c r="I65">
        <v>26191.47</v>
      </c>
    </row>
    <row r="66" spans="1:9" x14ac:dyDescent="0.35">
      <c r="A66" t="s">
        <v>119</v>
      </c>
      <c r="B66" s="2">
        <v>46083</v>
      </c>
      <c r="C66" t="s">
        <v>42</v>
      </c>
      <c r="D66" t="s">
        <v>36</v>
      </c>
      <c r="E66" t="s">
        <v>12</v>
      </c>
      <c r="F66" t="s">
        <v>13</v>
      </c>
      <c r="G66">
        <v>2</v>
      </c>
      <c r="H66">
        <v>13021.83</v>
      </c>
      <c r="I66">
        <v>26043.66</v>
      </c>
    </row>
    <row r="67" spans="1:9" x14ac:dyDescent="0.35">
      <c r="A67" t="s">
        <v>89</v>
      </c>
      <c r="B67" s="2">
        <v>46042</v>
      </c>
      <c r="C67" t="s">
        <v>30</v>
      </c>
      <c r="D67" t="s">
        <v>84</v>
      </c>
      <c r="E67" t="s">
        <v>46</v>
      </c>
      <c r="F67" t="s">
        <v>20</v>
      </c>
      <c r="G67">
        <v>2</v>
      </c>
      <c r="H67">
        <v>12898.77</v>
      </c>
      <c r="I67">
        <v>25797.54</v>
      </c>
    </row>
    <row r="68" spans="1:9" x14ac:dyDescent="0.35">
      <c r="A68" t="s">
        <v>82</v>
      </c>
      <c r="B68" s="2">
        <v>46229</v>
      </c>
      <c r="C68" t="s">
        <v>83</v>
      </c>
      <c r="D68" t="s">
        <v>84</v>
      </c>
      <c r="E68" t="s">
        <v>46</v>
      </c>
      <c r="F68" t="s">
        <v>13</v>
      </c>
      <c r="G68">
        <v>2</v>
      </c>
      <c r="H68">
        <v>12683.09</v>
      </c>
      <c r="I68">
        <v>25366.18</v>
      </c>
    </row>
    <row r="69" spans="1:9" x14ac:dyDescent="0.35">
      <c r="A69" t="s">
        <v>135</v>
      </c>
      <c r="B69" s="2">
        <v>46098</v>
      </c>
      <c r="C69" t="s">
        <v>44</v>
      </c>
      <c r="D69" t="s">
        <v>45</v>
      </c>
      <c r="E69" t="s">
        <v>46</v>
      </c>
      <c r="F69" t="s">
        <v>13</v>
      </c>
      <c r="G69">
        <v>3</v>
      </c>
      <c r="H69">
        <v>8334.08</v>
      </c>
      <c r="I69">
        <v>25002.240000000002</v>
      </c>
    </row>
    <row r="70" spans="1:9" x14ac:dyDescent="0.35">
      <c r="A70" t="s">
        <v>35</v>
      </c>
      <c r="B70" s="2">
        <v>46034</v>
      </c>
      <c r="C70" t="s">
        <v>10</v>
      </c>
      <c r="D70" t="s">
        <v>36</v>
      </c>
      <c r="E70" t="s">
        <v>12</v>
      </c>
      <c r="F70" t="s">
        <v>24</v>
      </c>
      <c r="G70">
        <v>2</v>
      </c>
      <c r="H70">
        <v>12490.97</v>
      </c>
      <c r="I70">
        <v>24981.94</v>
      </c>
    </row>
    <row r="71" spans="1:9" x14ac:dyDescent="0.35">
      <c r="A71" t="s">
        <v>41</v>
      </c>
      <c r="B71" s="2">
        <v>46085</v>
      </c>
      <c r="C71" t="s">
        <v>42</v>
      </c>
      <c r="D71" t="s">
        <v>36</v>
      </c>
      <c r="E71" t="s">
        <v>12</v>
      </c>
      <c r="F71" t="s">
        <v>38</v>
      </c>
      <c r="G71">
        <v>2</v>
      </c>
      <c r="H71">
        <v>12081.94</v>
      </c>
      <c r="I71">
        <v>24163.88</v>
      </c>
    </row>
    <row r="72" spans="1:9" x14ac:dyDescent="0.35">
      <c r="A72" t="s">
        <v>112</v>
      </c>
      <c r="B72" s="2">
        <v>46108</v>
      </c>
      <c r="C72" t="s">
        <v>113</v>
      </c>
      <c r="D72" t="s">
        <v>45</v>
      </c>
      <c r="E72" t="s">
        <v>46</v>
      </c>
      <c r="F72" t="s">
        <v>24</v>
      </c>
      <c r="G72">
        <v>3</v>
      </c>
      <c r="H72">
        <v>7724.95</v>
      </c>
      <c r="I72">
        <v>23174.85</v>
      </c>
    </row>
    <row r="73" spans="1:9" x14ac:dyDescent="0.35">
      <c r="A73" t="s">
        <v>164</v>
      </c>
      <c r="B73" s="2">
        <v>46120</v>
      </c>
      <c r="C73" t="s">
        <v>48</v>
      </c>
      <c r="D73" t="s">
        <v>84</v>
      </c>
      <c r="E73" t="s">
        <v>46</v>
      </c>
      <c r="F73" t="s">
        <v>13</v>
      </c>
      <c r="G73">
        <v>2</v>
      </c>
      <c r="H73">
        <v>10920.68</v>
      </c>
      <c r="I73">
        <v>21841.360000000001</v>
      </c>
    </row>
    <row r="74" spans="1:9" x14ac:dyDescent="0.35">
      <c r="A74" t="s">
        <v>103</v>
      </c>
      <c r="B74" s="2">
        <v>46099</v>
      </c>
      <c r="C74" t="s">
        <v>30</v>
      </c>
      <c r="D74" t="s">
        <v>45</v>
      </c>
      <c r="E74" t="s">
        <v>46</v>
      </c>
      <c r="F74" t="s">
        <v>24</v>
      </c>
      <c r="G74">
        <v>2</v>
      </c>
      <c r="H74">
        <v>8791.8700000000008</v>
      </c>
      <c r="I74">
        <v>17583.740000000002</v>
      </c>
    </row>
    <row r="75" spans="1:9" x14ac:dyDescent="0.35">
      <c r="A75" t="s">
        <v>146</v>
      </c>
      <c r="B75" s="2">
        <v>46201</v>
      </c>
      <c r="C75" t="s">
        <v>60</v>
      </c>
      <c r="D75" t="s">
        <v>45</v>
      </c>
      <c r="E75" t="s">
        <v>46</v>
      </c>
      <c r="F75" t="s">
        <v>38</v>
      </c>
      <c r="G75">
        <v>2</v>
      </c>
      <c r="H75">
        <v>7949.01</v>
      </c>
      <c r="I75">
        <v>15898.02</v>
      </c>
    </row>
    <row r="76" spans="1:9" x14ac:dyDescent="0.35">
      <c r="A76" t="s">
        <v>173</v>
      </c>
      <c r="B76" s="2">
        <v>46100</v>
      </c>
      <c r="C76" t="s">
        <v>34</v>
      </c>
      <c r="D76" t="s">
        <v>23</v>
      </c>
      <c r="E76" t="s">
        <v>12</v>
      </c>
      <c r="F76" t="s">
        <v>16</v>
      </c>
      <c r="G76">
        <v>1</v>
      </c>
      <c r="H76">
        <v>15591.58</v>
      </c>
      <c r="I76">
        <v>15591.58</v>
      </c>
    </row>
    <row r="77" spans="1:9" x14ac:dyDescent="0.35">
      <c r="A77" t="s">
        <v>55</v>
      </c>
      <c r="B77" s="2">
        <v>46216</v>
      </c>
      <c r="C77" t="s">
        <v>15</v>
      </c>
      <c r="D77" t="s">
        <v>58</v>
      </c>
      <c r="E77" t="s">
        <v>12</v>
      </c>
      <c r="F77" t="s">
        <v>16</v>
      </c>
      <c r="G77">
        <v>5</v>
      </c>
      <c r="H77">
        <v>2496.7600000000002</v>
      </c>
      <c r="I77">
        <v>12483.8</v>
      </c>
    </row>
    <row r="78" spans="1:9" x14ac:dyDescent="0.35">
      <c r="A78" t="s">
        <v>86</v>
      </c>
      <c r="B78" s="2">
        <v>46188</v>
      </c>
      <c r="C78" t="s">
        <v>28</v>
      </c>
      <c r="D78" t="s">
        <v>84</v>
      </c>
      <c r="E78" t="s">
        <v>46</v>
      </c>
      <c r="F78" t="s">
        <v>16</v>
      </c>
      <c r="G78">
        <v>1</v>
      </c>
      <c r="H78">
        <v>12416.07</v>
      </c>
      <c r="I78">
        <v>12416.07</v>
      </c>
    </row>
    <row r="79" spans="1:9" x14ac:dyDescent="0.35">
      <c r="A79" t="s">
        <v>174</v>
      </c>
      <c r="B79" s="2">
        <v>46132</v>
      </c>
      <c r="C79" t="s">
        <v>54</v>
      </c>
      <c r="D79" t="s">
        <v>36</v>
      </c>
      <c r="E79" t="s">
        <v>12</v>
      </c>
      <c r="F79" t="s">
        <v>16</v>
      </c>
      <c r="G79">
        <v>1</v>
      </c>
      <c r="H79">
        <v>11633.29</v>
      </c>
      <c r="I79">
        <v>11633.29</v>
      </c>
    </row>
    <row r="80" spans="1:9" x14ac:dyDescent="0.35">
      <c r="A80" t="s">
        <v>69</v>
      </c>
      <c r="B80" s="2">
        <v>46065</v>
      </c>
      <c r="C80" t="s">
        <v>26</v>
      </c>
      <c r="D80" t="s">
        <v>58</v>
      </c>
      <c r="E80" t="s">
        <v>12</v>
      </c>
      <c r="F80" t="s">
        <v>20</v>
      </c>
      <c r="G80">
        <v>4</v>
      </c>
      <c r="H80">
        <v>2723.42</v>
      </c>
      <c r="I80">
        <v>10893.68</v>
      </c>
    </row>
    <row r="81" spans="1:9" x14ac:dyDescent="0.35">
      <c r="A81" t="s">
        <v>169</v>
      </c>
      <c r="B81" s="2">
        <v>46167</v>
      </c>
      <c r="C81" t="s">
        <v>93</v>
      </c>
      <c r="D81" t="s">
        <v>58</v>
      </c>
      <c r="E81" t="s">
        <v>12</v>
      </c>
      <c r="F81" t="s">
        <v>38</v>
      </c>
      <c r="G81">
        <v>4</v>
      </c>
      <c r="H81">
        <v>2584.73</v>
      </c>
      <c r="I81">
        <v>10338.92</v>
      </c>
    </row>
    <row r="82" spans="1:9" x14ac:dyDescent="0.35">
      <c r="A82" t="s">
        <v>65</v>
      </c>
      <c r="B82" s="2">
        <v>46118</v>
      </c>
      <c r="C82" t="s">
        <v>42</v>
      </c>
      <c r="D82" t="s">
        <v>62</v>
      </c>
      <c r="E82" t="s">
        <v>32</v>
      </c>
      <c r="F82" t="s">
        <v>20</v>
      </c>
      <c r="G82">
        <v>5</v>
      </c>
      <c r="H82">
        <v>2067.52</v>
      </c>
      <c r="I82">
        <v>10337.6</v>
      </c>
    </row>
    <row r="83" spans="1:9" x14ac:dyDescent="0.35">
      <c r="A83" t="s">
        <v>148</v>
      </c>
      <c r="B83" s="2">
        <v>46166</v>
      </c>
      <c r="C83" t="s">
        <v>34</v>
      </c>
      <c r="D83" t="s">
        <v>58</v>
      </c>
      <c r="E83" t="s">
        <v>12</v>
      </c>
      <c r="F83" t="s">
        <v>24</v>
      </c>
      <c r="G83">
        <v>4</v>
      </c>
      <c r="H83">
        <v>2583.79</v>
      </c>
      <c r="I83">
        <v>10335.16</v>
      </c>
    </row>
    <row r="84" spans="1:9" x14ac:dyDescent="0.35">
      <c r="A84" t="s">
        <v>114</v>
      </c>
      <c r="B84" s="2">
        <v>46132</v>
      </c>
      <c r="C84" t="s">
        <v>44</v>
      </c>
      <c r="D84" t="s">
        <v>58</v>
      </c>
      <c r="E84" t="s">
        <v>12</v>
      </c>
      <c r="F84" t="s">
        <v>16</v>
      </c>
      <c r="G84">
        <v>4</v>
      </c>
      <c r="H84">
        <v>2525.84</v>
      </c>
      <c r="I84">
        <v>10103.36</v>
      </c>
    </row>
    <row r="85" spans="1:9" x14ac:dyDescent="0.35">
      <c r="A85" t="s">
        <v>150</v>
      </c>
      <c r="B85" s="2">
        <v>46213</v>
      </c>
      <c r="C85" t="s">
        <v>80</v>
      </c>
      <c r="D85" t="s">
        <v>62</v>
      </c>
      <c r="E85" t="s">
        <v>32</v>
      </c>
      <c r="F85" t="s">
        <v>38</v>
      </c>
      <c r="G85">
        <v>4</v>
      </c>
      <c r="H85">
        <v>2374.77</v>
      </c>
      <c r="I85">
        <v>9499.08</v>
      </c>
    </row>
    <row r="86" spans="1:9" x14ac:dyDescent="0.35">
      <c r="A86" t="s">
        <v>64</v>
      </c>
      <c r="B86" s="2">
        <v>46152</v>
      </c>
      <c r="C86" t="s">
        <v>28</v>
      </c>
      <c r="D86" t="s">
        <v>50</v>
      </c>
      <c r="E86" t="s">
        <v>32</v>
      </c>
      <c r="F86" t="s">
        <v>24</v>
      </c>
      <c r="G86">
        <v>5</v>
      </c>
      <c r="H86">
        <v>1894.31</v>
      </c>
      <c r="I86">
        <v>9471.5499999999993</v>
      </c>
    </row>
    <row r="87" spans="1:9" x14ac:dyDescent="0.35">
      <c r="A87" t="s">
        <v>125</v>
      </c>
      <c r="B87" s="2">
        <v>46238</v>
      </c>
      <c r="C87" t="s">
        <v>44</v>
      </c>
      <c r="D87" t="s">
        <v>62</v>
      </c>
      <c r="E87" t="s">
        <v>32</v>
      </c>
      <c r="F87" t="s">
        <v>24</v>
      </c>
      <c r="G87">
        <v>4</v>
      </c>
      <c r="H87">
        <v>2278.9899999999998</v>
      </c>
      <c r="I87">
        <v>9115.9599999999991</v>
      </c>
    </row>
    <row r="88" spans="1:9" x14ac:dyDescent="0.35">
      <c r="A88" t="s">
        <v>111</v>
      </c>
      <c r="B88" s="2">
        <v>46254</v>
      </c>
      <c r="C88" t="s">
        <v>15</v>
      </c>
      <c r="D88" t="s">
        <v>50</v>
      </c>
      <c r="E88" t="s">
        <v>32</v>
      </c>
      <c r="F88" t="s">
        <v>16</v>
      </c>
      <c r="G88">
        <v>5</v>
      </c>
      <c r="H88">
        <v>1795.87</v>
      </c>
      <c r="I88">
        <v>8979.35</v>
      </c>
    </row>
    <row r="89" spans="1:9" x14ac:dyDescent="0.35">
      <c r="A89" t="s">
        <v>73</v>
      </c>
      <c r="B89" s="2">
        <v>46080</v>
      </c>
      <c r="C89" t="s">
        <v>74</v>
      </c>
      <c r="D89" t="s">
        <v>62</v>
      </c>
      <c r="E89" t="s">
        <v>32</v>
      </c>
      <c r="F89" t="s">
        <v>24</v>
      </c>
      <c r="G89">
        <v>4</v>
      </c>
      <c r="H89">
        <v>2033.24</v>
      </c>
      <c r="I89">
        <v>8132.96</v>
      </c>
    </row>
    <row r="90" spans="1:9" x14ac:dyDescent="0.35">
      <c r="A90" t="s">
        <v>120</v>
      </c>
      <c r="B90" s="2">
        <v>46259</v>
      </c>
      <c r="C90" t="s">
        <v>48</v>
      </c>
      <c r="D90" t="s">
        <v>45</v>
      </c>
      <c r="E90" t="s">
        <v>46</v>
      </c>
      <c r="F90" t="s">
        <v>38</v>
      </c>
      <c r="G90">
        <v>1</v>
      </c>
      <c r="H90">
        <v>7954.91</v>
      </c>
      <c r="I90">
        <v>7954.91</v>
      </c>
    </row>
    <row r="91" spans="1:9" x14ac:dyDescent="0.35">
      <c r="A91" t="s">
        <v>72</v>
      </c>
      <c r="B91" s="2">
        <v>46189</v>
      </c>
      <c r="C91" t="s">
        <v>54</v>
      </c>
      <c r="D91" t="s">
        <v>50</v>
      </c>
      <c r="E91" t="s">
        <v>32</v>
      </c>
      <c r="F91" t="s">
        <v>38</v>
      </c>
      <c r="G91">
        <v>4</v>
      </c>
      <c r="H91">
        <v>1978.25</v>
      </c>
      <c r="I91">
        <v>7913</v>
      </c>
    </row>
    <row r="92" spans="1:9" x14ac:dyDescent="0.35">
      <c r="A92" t="s">
        <v>95</v>
      </c>
      <c r="B92" s="2">
        <v>46210</v>
      </c>
      <c r="C92" t="s">
        <v>44</v>
      </c>
      <c r="D92" t="s">
        <v>50</v>
      </c>
      <c r="E92" t="s">
        <v>32</v>
      </c>
      <c r="F92" t="s">
        <v>38</v>
      </c>
      <c r="G92">
        <v>4</v>
      </c>
      <c r="H92">
        <v>1870.77</v>
      </c>
      <c r="I92">
        <v>7483.08</v>
      </c>
    </row>
    <row r="93" spans="1:9" x14ac:dyDescent="0.35">
      <c r="A93" t="s">
        <v>110</v>
      </c>
      <c r="B93" s="2">
        <v>46076</v>
      </c>
      <c r="C93" t="s">
        <v>48</v>
      </c>
      <c r="D93" t="s">
        <v>58</v>
      </c>
      <c r="E93" t="s">
        <v>12</v>
      </c>
      <c r="F93" t="s">
        <v>13</v>
      </c>
      <c r="G93">
        <v>3</v>
      </c>
      <c r="H93">
        <v>2390.88</v>
      </c>
      <c r="I93">
        <v>7172.64</v>
      </c>
    </row>
    <row r="94" spans="1:9" x14ac:dyDescent="0.35">
      <c r="A94" t="s">
        <v>175</v>
      </c>
      <c r="B94" s="2">
        <v>46130</v>
      </c>
      <c r="C94" t="s">
        <v>80</v>
      </c>
      <c r="D94" t="s">
        <v>62</v>
      </c>
      <c r="E94" t="s">
        <v>32</v>
      </c>
      <c r="F94" t="s">
        <v>16</v>
      </c>
      <c r="G94">
        <v>3</v>
      </c>
      <c r="H94">
        <v>1985.57</v>
      </c>
      <c r="I94">
        <v>5956.71</v>
      </c>
    </row>
    <row r="95" spans="1:9" x14ac:dyDescent="0.35">
      <c r="A95" t="s">
        <v>57</v>
      </c>
      <c r="B95" s="2">
        <v>46131</v>
      </c>
      <c r="C95" t="s">
        <v>34</v>
      </c>
      <c r="D95" t="s">
        <v>58</v>
      </c>
      <c r="E95" t="s">
        <v>12</v>
      </c>
      <c r="F95" t="s">
        <v>16</v>
      </c>
      <c r="G95">
        <v>2</v>
      </c>
      <c r="H95">
        <v>2646.04</v>
      </c>
      <c r="I95">
        <v>5292.08</v>
      </c>
    </row>
    <row r="96" spans="1:9" x14ac:dyDescent="0.35">
      <c r="A96" t="s">
        <v>154</v>
      </c>
      <c r="B96" s="2">
        <v>46161</v>
      </c>
      <c r="C96" t="s">
        <v>74</v>
      </c>
      <c r="D96" t="s">
        <v>50</v>
      </c>
      <c r="E96" t="s">
        <v>32</v>
      </c>
      <c r="F96" t="s">
        <v>13</v>
      </c>
      <c r="G96">
        <v>3</v>
      </c>
      <c r="H96">
        <v>1735.1</v>
      </c>
      <c r="I96">
        <v>5205.3</v>
      </c>
    </row>
    <row r="97" spans="1:9" x14ac:dyDescent="0.35">
      <c r="A97" t="s">
        <v>170</v>
      </c>
      <c r="B97" s="2">
        <v>46178</v>
      </c>
      <c r="C97" t="s">
        <v>28</v>
      </c>
      <c r="D97" t="s">
        <v>50</v>
      </c>
      <c r="E97" t="s">
        <v>32</v>
      </c>
      <c r="F97" t="s">
        <v>13</v>
      </c>
      <c r="G97">
        <v>3</v>
      </c>
      <c r="H97">
        <v>1680.4</v>
      </c>
      <c r="I97">
        <v>5041.2</v>
      </c>
    </row>
    <row r="98" spans="1:9" x14ac:dyDescent="0.35">
      <c r="A98" t="s">
        <v>155</v>
      </c>
      <c r="B98" s="2">
        <v>46062</v>
      </c>
      <c r="C98" t="s">
        <v>93</v>
      </c>
      <c r="D98" t="s">
        <v>58</v>
      </c>
      <c r="E98" t="s">
        <v>12</v>
      </c>
      <c r="F98" t="s">
        <v>16</v>
      </c>
      <c r="G98">
        <v>2</v>
      </c>
      <c r="H98">
        <v>2441.52</v>
      </c>
      <c r="I98">
        <v>4883.04</v>
      </c>
    </row>
    <row r="99" spans="1:9" x14ac:dyDescent="0.35">
      <c r="A99" t="s">
        <v>96</v>
      </c>
      <c r="B99" s="2">
        <v>46037</v>
      </c>
      <c r="C99" t="s">
        <v>22</v>
      </c>
      <c r="D99" t="s">
        <v>58</v>
      </c>
      <c r="E99" t="s">
        <v>12</v>
      </c>
      <c r="F99" t="s">
        <v>20</v>
      </c>
      <c r="G99">
        <v>2</v>
      </c>
      <c r="H99">
        <v>2398.35</v>
      </c>
      <c r="I99">
        <v>4796.7</v>
      </c>
    </row>
    <row r="100" spans="1:9" x14ac:dyDescent="0.35">
      <c r="A100" t="s">
        <v>81</v>
      </c>
      <c r="B100" s="2">
        <v>46248</v>
      </c>
      <c r="C100" t="s">
        <v>22</v>
      </c>
      <c r="D100" t="s">
        <v>62</v>
      </c>
      <c r="E100" t="s">
        <v>32</v>
      </c>
      <c r="F100" t="s">
        <v>20</v>
      </c>
      <c r="G100">
        <v>2</v>
      </c>
      <c r="H100">
        <v>2298.2800000000002</v>
      </c>
      <c r="I100">
        <v>4596.5600000000004</v>
      </c>
    </row>
    <row r="101" spans="1:9" x14ac:dyDescent="0.35">
      <c r="A101" t="s">
        <v>105</v>
      </c>
      <c r="B101" s="2">
        <v>46056</v>
      </c>
      <c r="C101" t="s">
        <v>54</v>
      </c>
      <c r="D101" t="s">
        <v>62</v>
      </c>
      <c r="E101" t="s">
        <v>32</v>
      </c>
      <c r="F101" t="s">
        <v>16</v>
      </c>
      <c r="G101">
        <v>2</v>
      </c>
      <c r="H101">
        <v>2202.59</v>
      </c>
      <c r="I101">
        <v>4405.18</v>
      </c>
    </row>
    <row r="102" spans="1:9" x14ac:dyDescent="0.35">
      <c r="A102" t="s">
        <v>29</v>
      </c>
      <c r="B102" s="2">
        <v>46034</v>
      </c>
      <c r="C102" t="s">
        <v>30</v>
      </c>
      <c r="D102" t="s">
        <v>40</v>
      </c>
      <c r="E102" t="s">
        <v>32</v>
      </c>
      <c r="F102" t="s">
        <v>20</v>
      </c>
      <c r="G102">
        <v>5</v>
      </c>
      <c r="H102">
        <v>857.61</v>
      </c>
      <c r="I102">
        <v>4288.05</v>
      </c>
    </row>
    <row r="103" spans="1:9" x14ac:dyDescent="0.35">
      <c r="A103" t="s">
        <v>133</v>
      </c>
      <c r="B103" s="2">
        <v>46040</v>
      </c>
      <c r="C103" t="s">
        <v>48</v>
      </c>
      <c r="D103" t="s">
        <v>62</v>
      </c>
      <c r="E103" t="s">
        <v>32</v>
      </c>
      <c r="F103" t="s">
        <v>20</v>
      </c>
      <c r="G103">
        <v>2</v>
      </c>
      <c r="H103">
        <v>2140.2600000000002</v>
      </c>
      <c r="I103">
        <v>4280.5200000000004</v>
      </c>
    </row>
    <row r="104" spans="1:9" x14ac:dyDescent="0.35">
      <c r="A104" t="s">
        <v>98</v>
      </c>
      <c r="B104" s="2">
        <v>46153</v>
      </c>
      <c r="C104" t="s">
        <v>74</v>
      </c>
      <c r="D104" t="s">
        <v>62</v>
      </c>
      <c r="E104" t="s">
        <v>32</v>
      </c>
      <c r="F104" t="s">
        <v>13</v>
      </c>
      <c r="G104">
        <v>2</v>
      </c>
      <c r="H104">
        <v>2005.03</v>
      </c>
      <c r="I104">
        <v>4010.06</v>
      </c>
    </row>
    <row r="105" spans="1:9" x14ac:dyDescent="0.35">
      <c r="A105" t="s">
        <v>151</v>
      </c>
      <c r="B105" s="2">
        <v>46093</v>
      </c>
      <c r="C105" t="s">
        <v>60</v>
      </c>
      <c r="D105" t="s">
        <v>50</v>
      </c>
      <c r="E105" t="s">
        <v>32</v>
      </c>
      <c r="F105" t="s">
        <v>38</v>
      </c>
      <c r="G105">
        <v>2</v>
      </c>
      <c r="H105">
        <v>1922.35</v>
      </c>
      <c r="I105">
        <v>3844.7</v>
      </c>
    </row>
    <row r="106" spans="1:9" x14ac:dyDescent="0.35">
      <c r="A106" t="s">
        <v>102</v>
      </c>
      <c r="B106" s="2">
        <v>46103</v>
      </c>
      <c r="C106" t="s">
        <v>10</v>
      </c>
      <c r="D106" t="s">
        <v>50</v>
      </c>
      <c r="E106" t="s">
        <v>32</v>
      </c>
      <c r="F106" t="s">
        <v>24</v>
      </c>
      <c r="G106">
        <v>2</v>
      </c>
      <c r="H106">
        <v>1861.1</v>
      </c>
      <c r="I106">
        <v>3722.2</v>
      </c>
    </row>
    <row r="107" spans="1:9" x14ac:dyDescent="0.35">
      <c r="A107" t="s">
        <v>138</v>
      </c>
      <c r="B107" s="2">
        <v>46171</v>
      </c>
      <c r="C107" t="s">
        <v>34</v>
      </c>
      <c r="D107" t="s">
        <v>50</v>
      </c>
      <c r="E107" t="s">
        <v>32</v>
      </c>
      <c r="F107" t="s">
        <v>24</v>
      </c>
      <c r="G107">
        <v>2</v>
      </c>
      <c r="H107">
        <v>1774.76</v>
      </c>
      <c r="I107">
        <v>3549.52</v>
      </c>
    </row>
    <row r="108" spans="1:9" x14ac:dyDescent="0.35">
      <c r="A108" t="s">
        <v>52</v>
      </c>
      <c r="B108" s="2">
        <v>46166</v>
      </c>
      <c r="C108" t="s">
        <v>44</v>
      </c>
      <c r="D108" t="s">
        <v>50</v>
      </c>
      <c r="E108" t="s">
        <v>32</v>
      </c>
      <c r="F108" t="s">
        <v>24</v>
      </c>
      <c r="G108">
        <v>2</v>
      </c>
      <c r="H108">
        <v>1708.79</v>
      </c>
      <c r="I108">
        <v>3417.58</v>
      </c>
    </row>
    <row r="109" spans="1:9" x14ac:dyDescent="0.35">
      <c r="A109" t="s">
        <v>123</v>
      </c>
      <c r="B109" s="2">
        <v>46191</v>
      </c>
      <c r="C109" t="s">
        <v>93</v>
      </c>
      <c r="D109" t="s">
        <v>50</v>
      </c>
      <c r="E109" t="s">
        <v>32</v>
      </c>
      <c r="F109" t="s">
        <v>38</v>
      </c>
      <c r="G109">
        <v>2</v>
      </c>
      <c r="H109">
        <v>1700.25</v>
      </c>
      <c r="I109">
        <v>3400.5</v>
      </c>
    </row>
    <row r="110" spans="1:9" x14ac:dyDescent="0.35">
      <c r="A110" t="s">
        <v>124</v>
      </c>
      <c r="B110" s="2">
        <v>46220</v>
      </c>
      <c r="C110" t="s">
        <v>26</v>
      </c>
      <c r="D110" t="s">
        <v>40</v>
      </c>
      <c r="E110" t="s">
        <v>32</v>
      </c>
      <c r="F110" t="s">
        <v>24</v>
      </c>
      <c r="G110">
        <v>3</v>
      </c>
      <c r="H110">
        <v>965.58</v>
      </c>
      <c r="I110">
        <v>2896.74</v>
      </c>
    </row>
    <row r="111" spans="1:9" x14ac:dyDescent="0.35">
      <c r="A111" t="s">
        <v>67</v>
      </c>
      <c r="B111" s="2">
        <v>46084</v>
      </c>
      <c r="C111" t="s">
        <v>22</v>
      </c>
      <c r="D111" t="s">
        <v>40</v>
      </c>
      <c r="E111" t="s">
        <v>32</v>
      </c>
      <c r="F111" t="s">
        <v>16</v>
      </c>
      <c r="G111">
        <v>3</v>
      </c>
      <c r="H111">
        <v>853.1</v>
      </c>
      <c r="I111">
        <v>2559.3000000000002</v>
      </c>
    </row>
    <row r="112" spans="1:9" x14ac:dyDescent="0.35">
      <c r="A112" t="s">
        <v>140</v>
      </c>
      <c r="B112" s="2">
        <v>46192</v>
      </c>
      <c r="C112" t="s">
        <v>34</v>
      </c>
      <c r="D112" t="s">
        <v>58</v>
      </c>
      <c r="E112" t="s">
        <v>12</v>
      </c>
      <c r="F112" t="s">
        <v>24</v>
      </c>
      <c r="G112">
        <v>1</v>
      </c>
      <c r="H112">
        <v>2391.89</v>
      </c>
      <c r="I112">
        <v>2391.89</v>
      </c>
    </row>
    <row r="113" spans="1:9" x14ac:dyDescent="0.35">
      <c r="A113" t="s">
        <v>61</v>
      </c>
      <c r="B113" s="2">
        <v>46052</v>
      </c>
      <c r="C113" t="s">
        <v>44</v>
      </c>
      <c r="D113" t="s">
        <v>62</v>
      </c>
      <c r="E113" t="s">
        <v>32</v>
      </c>
      <c r="F113" t="s">
        <v>24</v>
      </c>
      <c r="G113">
        <v>1</v>
      </c>
      <c r="H113">
        <v>2279.3200000000002</v>
      </c>
      <c r="I113">
        <v>2279.3200000000002</v>
      </c>
    </row>
    <row r="114" spans="1:9" x14ac:dyDescent="0.35">
      <c r="A114" t="s">
        <v>66</v>
      </c>
      <c r="B114" s="2">
        <v>46148</v>
      </c>
      <c r="C114" t="s">
        <v>18</v>
      </c>
      <c r="D114" t="s">
        <v>62</v>
      </c>
      <c r="E114" t="s">
        <v>32</v>
      </c>
      <c r="F114" t="s">
        <v>16</v>
      </c>
      <c r="G114">
        <v>1</v>
      </c>
      <c r="H114">
        <v>2243.54</v>
      </c>
      <c r="I114">
        <v>2243.54</v>
      </c>
    </row>
    <row r="115" spans="1:9" x14ac:dyDescent="0.35">
      <c r="A115" t="s">
        <v>171</v>
      </c>
      <c r="B115" s="2">
        <v>46260</v>
      </c>
      <c r="C115" t="s">
        <v>153</v>
      </c>
      <c r="D115" t="s">
        <v>50</v>
      </c>
      <c r="E115" t="s">
        <v>32</v>
      </c>
      <c r="F115" t="s">
        <v>20</v>
      </c>
      <c r="G115">
        <v>1</v>
      </c>
      <c r="H115">
        <v>1828.33</v>
      </c>
      <c r="I115">
        <v>1828.33</v>
      </c>
    </row>
    <row r="116" spans="1:9" x14ac:dyDescent="0.35">
      <c r="A116" t="s">
        <v>39</v>
      </c>
      <c r="B116" s="2">
        <v>46076</v>
      </c>
      <c r="C116" t="s">
        <v>26</v>
      </c>
      <c r="D116" t="s">
        <v>40</v>
      </c>
      <c r="E116" t="s">
        <v>32</v>
      </c>
      <c r="F116" t="s">
        <v>16</v>
      </c>
      <c r="G116">
        <v>2</v>
      </c>
      <c r="H116">
        <v>876.63</v>
      </c>
      <c r="I116">
        <v>1753.26</v>
      </c>
    </row>
    <row r="117" spans="1:9" x14ac:dyDescent="0.35">
      <c r="A117" t="s">
        <v>49</v>
      </c>
      <c r="B117" s="2">
        <v>46264</v>
      </c>
      <c r="C117" t="s">
        <v>22</v>
      </c>
      <c r="D117" t="s">
        <v>50</v>
      </c>
      <c r="E117" t="s">
        <v>32</v>
      </c>
      <c r="F117" t="s">
        <v>24</v>
      </c>
      <c r="G117">
        <v>1</v>
      </c>
      <c r="H117">
        <v>1695.95</v>
      </c>
      <c r="I117">
        <v>1695.95</v>
      </c>
    </row>
    <row r="118" spans="1:9" x14ac:dyDescent="0.35">
      <c r="A118" t="s">
        <v>128</v>
      </c>
      <c r="B118" s="2">
        <v>46134</v>
      </c>
      <c r="C118" t="s">
        <v>54</v>
      </c>
      <c r="D118" t="s">
        <v>50</v>
      </c>
      <c r="E118" t="s">
        <v>32</v>
      </c>
      <c r="F118" t="s">
        <v>24</v>
      </c>
      <c r="G118">
        <v>1</v>
      </c>
      <c r="H118">
        <v>1659.02</v>
      </c>
      <c r="I118">
        <v>1659.02</v>
      </c>
    </row>
    <row r="119" spans="1:9" x14ac:dyDescent="0.35">
      <c r="A119" t="s">
        <v>134</v>
      </c>
      <c r="B119" s="2">
        <v>46099</v>
      </c>
      <c r="C119" t="s">
        <v>60</v>
      </c>
      <c r="D119" t="s">
        <v>40</v>
      </c>
      <c r="E119" t="s">
        <v>32</v>
      </c>
      <c r="F119" t="s">
        <v>24</v>
      </c>
      <c r="G119">
        <v>1</v>
      </c>
      <c r="H119">
        <v>939.56</v>
      </c>
      <c r="I119">
        <v>939.56</v>
      </c>
    </row>
    <row r="120" spans="1:9" x14ac:dyDescent="0.35">
      <c r="A120" t="s">
        <v>63</v>
      </c>
      <c r="B120" s="2">
        <v>46063</v>
      </c>
      <c r="C120" t="s">
        <v>30</v>
      </c>
      <c r="D120" t="s">
        <v>40</v>
      </c>
      <c r="E120" t="s">
        <v>32</v>
      </c>
      <c r="F120" t="s">
        <v>16</v>
      </c>
      <c r="G120">
        <v>1</v>
      </c>
      <c r="H120">
        <v>862.83</v>
      </c>
      <c r="I120">
        <v>862.83</v>
      </c>
    </row>
    <row r="121" spans="1:9" x14ac:dyDescent="0.35">
      <c r="A121" t="s">
        <v>47</v>
      </c>
      <c r="B121" s="2">
        <v>46031</v>
      </c>
      <c r="C121" t="s">
        <v>48</v>
      </c>
      <c r="D121" t="s">
        <v>40</v>
      </c>
      <c r="E121" t="s">
        <v>32</v>
      </c>
      <c r="F121" t="s">
        <v>38</v>
      </c>
      <c r="G121">
        <v>1</v>
      </c>
      <c r="H121">
        <v>851.23</v>
      </c>
      <c r="I121">
        <v>851.23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194-74A1-44EB-9759-5D9EE234BBB5}">
  <dimension ref="A1:I124"/>
  <sheetViews>
    <sheetView tabSelected="1" topLeftCell="A106" workbookViewId="0">
      <selection activeCell="K6" sqref="K6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8.26953125" bestFit="1" customWidth="1"/>
    <col min="4" max="4" width="9.36328125" bestFit="1" customWidth="1"/>
    <col min="5" max="5" width="10.453125" bestFit="1" customWidth="1"/>
    <col min="6" max="6" width="8.26953125" bestFit="1" customWidth="1"/>
    <col min="7" max="7" width="10.36328125" bestFit="1" customWidth="1"/>
    <col min="8" max="8" width="11.36328125" bestFit="1" customWidth="1"/>
    <col min="9" max="9" width="10.1796875" bestFit="1" customWidth="1"/>
  </cols>
  <sheetData>
    <row r="1" spans="1: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46173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29352.68</v>
      </c>
      <c r="I2">
        <v>29352.68</v>
      </c>
    </row>
    <row r="3" spans="1:9" x14ac:dyDescent="0.35">
      <c r="A3" t="s">
        <v>14</v>
      </c>
      <c r="B3" s="2">
        <v>46240</v>
      </c>
      <c r="C3" t="s">
        <v>15</v>
      </c>
      <c r="D3" t="s">
        <v>11</v>
      </c>
      <c r="E3" t="s">
        <v>12</v>
      </c>
      <c r="F3" t="s">
        <v>16</v>
      </c>
      <c r="G3">
        <v>5</v>
      </c>
      <c r="H3">
        <v>25686.86</v>
      </c>
      <c r="I3">
        <v>128434.3</v>
      </c>
    </row>
    <row r="4" spans="1:9" x14ac:dyDescent="0.35">
      <c r="A4" t="s">
        <v>17</v>
      </c>
      <c r="B4" s="2">
        <v>46232</v>
      </c>
      <c r="C4" t="s">
        <v>18</v>
      </c>
      <c r="D4" t="s">
        <v>19</v>
      </c>
      <c r="E4" t="s">
        <v>12</v>
      </c>
      <c r="F4" t="s">
        <v>20</v>
      </c>
      <c r="G4">
        <v>2</v>
      </c>
      <c r="H4">
        <v>26502.9</v>
      </c>
      <c r="I4">
        <v>53005.8</v>
      </c>
    </row>
    <row r="5" spans="1:9" x14ac:dyDescent="0.35">
      <c r="A5" t="s">
        <v>21</v>
      </c>
      <c r="B5" s="2">
        <v>46060</v>
      </c>
      <c r="C5" t="s">
        <v>22</v>
      </c>
      <c r="D5" t="s">
        <v>23</v>
      </c>
      <c r="E5" t="s">
        <v>12</v>
      </c>
      <c r="F5" t="s">
        <v>24</v>
      </c>
      <c r="G5">
        <v>5</v>
      </c>
      <c r="H5">
        <v>14758.56</v>
      </c>
      <c r="I5">
        <v>73792.800000000003</v>
      </c>
    </row>
    <row r="6" spans="1:9" x14ac:dyDescent="0.35">
      <c r="A6" t="s">
        <v>25</v>
      </c>
      <c r="B6" s="2">
        <v>46261</v>
      </c>
      <c r="C6" t="s">
        <v>26</v>
      </c>
      <c r="E6" t="s">
        <v>12</v>
      </c>
      <c r="F6" t="s">
        <v>13</v>
      </c>
      <c r="G6">
        <v>2</v>
      </c>
      <c r="H6">
        <v>57179.53</v>
      </c>
      <c r="I6">
        <v>114359.06</v>
      </c>
    </row>
    <row r="7" spans="1:9" x14ac:dyDescent="0.35">
      <c r="A7" t="s">
        <v>27</v>
      </c>
      <c r="B7" s="2">
        <v>46040</v>
      </c>
      <c r="C7" t="s">
        <v>28</v>
      </c>
      <c r="D7" t="s">
        <v>23</v>
      </c>
      <c r="E7" t="s">
        <v>12</v>
      </c>
      <c r="F7" t="s">
        <v>24</v>
      </c>
      <c r="G7">
        <v>3</v>
      </c>
      <c r="H7">
        <v>13806.63</v>
      </c>
      <c r="I7">
        <v>41419.89</v>
      </c>
    </row>
    <row r="8" spans="1:9" x14ac:dyDescent="0.35">
      <c r="A8" t="s">
        <v>29</v>
      </c>
      <c r="B8" s="2">
        <v>46172</v>
      </c>
      <c r="C8" t="s">
        <v>30</v>
      </c>
      <c r="D8" t="s">
        <v>31</v>
      </c>
      <c r="E8" t="s">
        <v>32</v>
      </c>
      <c r="F8" t="s">
        <v>20</v>
      </c>
      <c r="G8">
        <v>5</v>
      </c>
      <c r="H8">
        <v>857.61</v>
      </c>
      <c r="I8">
        <v>4288.05</v>
      </c>
    </row>
    <row r="9" spans="1:9" x14ac:dyDescent="0.35">
      <c r="A9" t="s">
        <v>33</v>
      </c>
      <c r="B9" s="2">
        <v>46175</v>
      </c>
      <c r="C9" t="s">
        <v>34</v>
      </c>
      <c r="D9" t="s">
        <v>11</v>
      </c>
      <c r="E9" t="s">
        <v>12</v>
      </c>
      <c r="F9" t="s">
        <v>24</v>
      </c>
      <c r="G9">
        <v>4</v>
      </c>
      <c r="H9">
        <v>25641.279999999999</v>
      </c>
      <c r="I9">
        <v>102565.12</v>
      </c>
    </row>
    <row r="10" spans="1:9" x14ac:dyDescent="0.35">
      <c r="A10" t="s">
        <v>35</v>
      </c>
      <c r="B10" s="2">
        <v>46194</v>
      </c>
      <c r="C10" t="s">
        <v>10</v>
      </c>
      <c r="D10" t="s">
        <v>36</v>
      </c>
      <c r="E10" t="s">
        <v>12</v>
      </c>
      <c r="F10" t="s">
        <v>24</v>
      </c>
      <c r="G10">
        <v>2</v>
      </c>
      <c r="H10">
        <v>12490.97</v>
      </c>
      <c r="I10">
        <v>24981.94</v>
      </c>
    </row>
    <row r="11" spans="1:9" x14ac:dyDescent="0.35">
      <c r="A11" t="s">
        <v>37</v>
      </c>
      <c r="B11" s="2">
        <v>46131</v>
      </c>
      <c r="C11" t="s">
        <v>26</v>
      </c>
      <c r="D11" t="s">
        <v>11</v>
      </c>
      <c r="E11" t="s">
        <v>12</v>
      </c>
      <c r="F11" t="s">
        <v>38</v>
      </c>
      <c r="G11">
        <v>2</v>
      </c>
      <c r="H11">
        <v>30052.31</v>
      </c>
      <c r="I11">
        <v>60104.62</v>
      </c>
    </row>
    <row r="12" spans="1:9" x14ac:dyDescent="0.35">
      <c r="A12" t="s">
        <v>39</v>
      </c>
      <c r="B12" s="2">
        <v>46243</v>
      </c>
      <c r="C12" t="s">
        <v>26</v>
      </c>
      <c r="D12" t="s">
        <v>40</v>
      </c>
      <c r="F12" t="s">
        <v>16</v>
      </c>
      <c r="G12">
        <v>2</v>
      </c>
      <c r="H12">
        <v>876.63</v>
      </c>
      <c r="I12">
        <v>1753.26</v>
      </c>
    </row>
    <row r="13" spans="1:9" x14ac:dyDescent="0.35">
      <c r="A13" t="s">
        <v>41</v>
      </c>
      <c r="B13" s="2">
        <v>46217</v>
      </c>
      <c r="C13" t="s">
        <v>42</v>
      </c>
      <c r="D13" t="s">
        <v>36</v>
      </c>
      <c r="E13" t="s">
        <v>12</v>
      </c>
      <c r="F13" t="s">
        <v>38</v>
      </c>
      <c r="G13">
        <v>2</v>
      </c>
      <c r="H13">
        <v>12081.94</v>
      </c>
      <c r="I13">
        <v>24163.88</v>
      </c>
    </row>
    <row r="14" spans="1:9" x14ac:dyDescent="0.35">
      <c r="A14" t="s">
        <v>43</v>
      </c>
      <c r="B14" s="2">
        <v>46167</v>
      </c>
      <c r="C14" t="s">
        <v>44</v>
      </c>
      <c r="D14" t="s">
        <v>45</v>
      </c>
      <c r="E14" t="s">
        <v>46</v>
      </c>
      <c r="F14" t="s">
        <v>13</v>
      </c>
      <c r="G14">
        <v>3</v>
      </c>
      <c r="H14">
        <v>9332.19</v>
      </c>
      <c r="I14">
        <v>27996.57</v>
      </c>
    </row>
    <row r="15" spans="1:9" x14ac:dyDescent="0.35">
      <c r="A15" t="s">
        <v>47</v>
      </c>
      <c r="B15" s="2">
        <v>46110</v>
      </c>
      <c r="C15" t="s">
        <v>48</v>
      </c>
      <c r="D15" t="s">
        <v>40</v>
      </c>
      <c r="E15" t="s">
        <v>32</v>
      </c>
      <c r="F15" t="s">
        <v>38</v>
      </c>
      <c r="G15">
        <v>1</v>
      </c>
      <c r="H15">
        <v>851.23</v>
      </c>
      <c r="I15">
        <v>851.23</v>
      </c>
    </row>
    <row r="16" spans="1:9" x14ac:dyDescent="0.35">
      <c r="A16" t="s">
        <v>49</v>
      </c>
      <c r="B16" s="2">
        <v>46122</v>
      </c>
      <c r="C16" t="s">
        <v>22</v>
      </c>
      <c r="D16" t="s">
        <v>50</v>
      </c>
      <c r="E16" t="s">
        <v>32</v>
      </c>
      <c r="F16" t="s">
        <v>24</v>
      </c>
      <c r="G16">
        <v>1</v>
      </c>
      <c r="H16">
        <v>1695.95</v>
      </c>
      <c r="I16">
        <v>1695.95</v>
      </c>
    </row>
    <row r="17" spans="1:9" x14ac:dyDescent="0.35">
      <c r="A17" t="s">
        <v>51</v>
      </c>
      <c r="B17" s="2">
        <v>46098</v>
      </c>
      <c r="D17" t="s">
        <v>23</v>
      </c>
      <c r="E17" t="s">
        <v>12</v>
      </c>
      <c r="F17" t="s">
        <v>13</v>
      </c>
      <c r="G17">
        <v>4</v>
      </c>
      <c r="H17">
        <v>14686.9</v>
      </c>
      <c r="I17">
        <v>58747.6</v>
      </c>
    </row>
    <row r="18" spans="1:9" x14ac:dyDescent="0.35">
      <c r="A18" t="s">
        <v>52</v>
      </c>
      <c r="B18" s="2">
        <v>46131</v>
      </c>
      <c r="C18" t="s">
        <v>44</v>
      </c>
      <c r="D18" t="s">
        <v>50</v>
      </c>
      <c r="E18" t="s">
        <v>32</v>
      </c>
      <c r="F18" t="s">
        <v>24</v>
      </c>
      <c r="G18">
        <v>2</v>
      </c>
      <c r="H18">
        <v>1708.79</v>
      </c>
      <c r="I18">
        <v>3417.58</v>
      </c>
    </row>
    <row r="19" spans="1:9" x14ac:dyDescent="0.35">
      <c r="A19" t="s">
        <v>53</v>
      </c>
      <c r="B19" s="2">
        <v>46137</v>
      </c>
      <c r="C19" t="s">
        <v>54</v>
      </c>
      <c r="D19" t="s">
        <v>36</v>
      </c>
      <c r="E19" t="s">
        <v>12</v>
      </c>
      <c r="F19" t="s">
        <v>13</v>
      </c>
      <c r="G19">
        <v>4</v>
      </c>
      <c r="H19">
        <v>12954.77</v>
      </c>
      <c r="I19">
        <v>51819.08</v>
      </c>
    </row>
    <row r="20" spans="1:9" x14ac:dyDescent="0.35">
      <c r="A20" t="s">
        <v>55</v>
      </c>
      <c r="B20" s="2">
        <v>46251</v>
      </c>
      <c r="C20" t="s">
        <v>15</v>
      </c>
      <c r="D20" t="s">
        <v>56</v>
      </c>
      <c r="E20" t="s">
        <v>12</v>
      </c>
      <c r="F20" t="s">
        <v>16</v>
      </c>
      <c r="G20">
        <v>5</v>
      </c>
      <c r="H20">
        <v>2496.7600000000002</v>
      </c>
      <c r="I20">
        <v>12483.8</v>
      </c>
    </row>
    <row r="21" spans="1:9" x14ac:dyDescent="0.35">
      <c r="A21" t="s">
        <v>57</v>
      </c>
      <c r="B21" s="2">
        <v>46120</v>
      </c>
      <c r="C21" t="s">
        <v>34</v>
      </c>
      <c r="D21" t="s">
        <v>58</v>
      </c>
      <c r="E21" t="s">
        <v>12</v>
      </c>
      <c r="F21" t="s">
        <v>16</v>
      </c>
      <c r="G21">
        <v>2</v>
      </c>
      <c r="H21">
        <v>2646.04</v>
      </c>
      <c r="I21">
        <v>5292.08</v>
      </c>
    </row>
    <row r="22" spans="1:9" x14ac:dyDescent="0.35">
      <c r="A22" t="s">
        <v>59</v>
      </c>
      <c r="B22" s="2">
        <v>46044</v>
      </c>
      <c r="C22" t="s">
        <v>60</v>
      </c>
      <c r="D22" t="s">
        <v>45</v>
      </c>
      <c r="E22" t="s">
        <v>46</v>
      </c>
      <c r="F22" t="s">
        <v>24</v>
      </c>
      <c r="G22">
        <v>-3</v>
      </c>
      <c r="H22">
        <v>8663.01</v>
      </c>
      <c r="I22">
        <v>34652.04</v>
      </c>
    </row>
    <row r="23" spans="1:9" x14ac:dyDescent="0.35">
      <c r="A23" t="s">
        <v>61</v>
      </c>
      <c r="B23" s="2">
        <v>46120</v>
      </c>
      <c r="C23" t="s">
        <v>44</v>
      </c>
      <c r="D23" t="s">
        <v>62</v>
      </c>
      <c r="E23" t="s">
        <v>32</v>
      </c>
      <c r="F23" t="s">
        <v>24</v>
      </c>
      <c r="G23">
        <v>1</v>
      </c>
      <c r="H23">
        <v>2279.3200000000002</v>
      </c>
      <c r="I23">
        <v>2279.3200000000002</v>
      </c>
    </row>
    <row r="24" spans="1:9" x14ac:dyDescent="0.35">
      <c r="A24" t="s">
        <v>63</v>
      </c>
      <c r="B24" s="2">
        <v>46089</v>
      </c>
      <c r="C24" t="s">
        <v>30</v>
      </c>
      <c r="D24" t="s">
        <v>40</v>
      </c>
      <c r="E24" t="s">
        <v>32</v>
      </c>
      <c r="F24" t="s">
        <v>16</v>
      </c>
      <c r="G24">
        <v>1</v>
      </c>
      <c r="H24">
        <v>862.83</v>
      </c>
      <c r="I24">
        <v>862.83</v>
      </c>
    </row>
    <row r="25" spans="1:9" x14ac:dyDescent="0.35">
      <c r="A25" t="s">
        <v>64</v>
      </c>
      <c r="B25" s="2">
        <v>46257</v>
      </c>
      <c r="C25" t="s">
        <v>28</v>
      </c>
      <c r="D25" t="s">
        <v>50</v>
      </c>
      <c r="E25" t="s">
        <v>32</v>
      </c>
      <c r="F25" t="s">
        <v>24</v>
      </c>
      <c r="G25">
        <v>5</v>
      </c>
      <c r="H25">
        <v>1894.31</v>
      </c>
      <c r="I25">
        <v>9471.5499999999993</v>
      </c>
    </row>
    <row r="26" spans="1:9" x14ac:dyDescent="0.35">
      <c r="A26" t="s">
        <v>65</v>
      </c>
      <c r="B26" s="2">
        <v>46220</v>
      </c>
      <c r="C26" t="s">
        <v>42</v>
      </c>
      <c r="D26" t="s">
        <v>62</v>
      </c>
      <c r="E26" t="s">
        <v>32</v>
      </c>
      <c r="F26" t="s">
        <v>20</v>
      </c>
      <c r="G26">
        <v>5</v>
      </c>
      <c r="H26">
        <v>2067.52</v>
      </c>
      <c r="I26">
        <v>10337.6</v>
      </c>
    </row>
    <row r="27" spans="1:9" x14ac:dyDescent="0.35">
      <c r="A27" t="s">
        <v>66</v>
      </c>
      <c r="B27" s="2">
        <v>46080</v>
      </c>
      <c r="C27" t="s">
        <v>18</v>
      </c>
      <c r="D27" t="s">
        <v>62</v>
      </c>
      <c r="E27" t="s">
        <v>32</v>
      </c>
      <c r="F27" t="s">
        <v>16</v>
      </c>
      <c r="H27">
        <v>2243.54</v>
      </c>
      <c r="I27">
        <v>2243.54</v>
      </c>
    </row>
    <row r="28" spans="1:9" x14ac:dyDescent="0.35">
      <c r="A28" t="s">
        <v>67</v>
      </c>
      <c r="B28" s="2">
        <v>46134</v>
      </c>
      <c r="C28" t="s">
        <v>22</v>
      </c>
      <c r="D28" t="s">
        <v>40</v>
      </c>
      <c r="E28" t="s">
        <v>32</v>
      </c>
      <c r="F28" t="s">
        <v>16</v>
      </c>
      <c r="G28">
        <v>3</v>
      </c>
      <c r="H28">
        <v>853.1</v>
      </c>
      <c r="I28">
        <v>2559.3000000000002</v>
      </c>
    </row>
    <row r="29" spans="1:9" x14ac:dyDescent="0.35">
      <c r="A29" t="s">
        <v>68</v>
      </c>
      <c r="B29" s="2">
        <v>46232</v>
      </c>
      <c r="C29" t="s">
        <v>44</v>
      </c>
      <c r="D29" t="s">
        <v>11</v>
      </c>
      <c r="E29" t="s">
        <v>12</v>
      </c>
      <c r="F29" t="s">
        <v>13</v>
      </c>
      <c r="G29">
        <v>4</v>
      </c>
      <c r="H29">
        <v>29769.73</v>
      </c>
      <c r="I29">
        <v>119078.92</v>
      </c>
    </row>
    <row r="30" spans="1:9" x14ac:dyDescent="0.35">
      <c r="A30" t="s">
        <v>69</v>
      </c>
      <c r="B30" s="2">
        <v>46250</v>
      </c>
      <c r="C30" t="s">
        <v>26</v>
      </c>
      <c r="D30" t="s">
        <v>58</v>
      </c>
      <c r="E30" t="s">
        <v>70</v>
      </c>
      <c r="F30" t="s">
        <v>20</v>
      </c>
      <c r="G30">
        <v>4</v>
      </c>
      <c r="H30">
        <v>2723.42</v>
      </c>
      <c r="I30">
        <v>10893.68</v>
      </c>
    </row>
    <row r="31" spans="1:9" x14ac:dyDescent="0.35">
      <c r="A31" t="s">
        <v>71</v>
      </c>
      <c r="B31" s="2">
        <v>46177</v>
      </c>
      <c r="C31" t="s">
        <v>44</v>
      </c>
      <c r="D31" t="s">
        <v>36</v>
      </c>
      <c r="E31" t="s">
        <v>12</v>
      </c>
      <c r="F31" t="s">
        <v>13</v>
      </c>
      <c r="G31">
        <v>4</v>
      </c>
      <c r="H31">
        <v>13114.47</v>
      </c>
      <c r="I31">
        <v>52457.88</v>
      </c>
    </row>
    <row r="32" spans="1:9" x14ac:dyDescent="0.35">
      <c r="A32" t="s">
        <v>72</v>
      </c>
      <c r="B32" s="2">
        <v>46260</v>
      </c>
      <c r="C32" t="s">
        <v>54</v>
      </c>
      <c r="D32" t="s">
        <v>50</v>
      </c>
      <c r="E32" t="s">
        <v>32</v>
      </c>
      <c r="F32" t="s">
        <v>38</v>
      </c>
      <c r="G32">
        <v>4</v>
      </c>
      <c r="H32">
        <v>1978.25</v>
      </c>
      <c r="I32">
        <v>7913</v>
      </c>
    </row>
    <row r="33" spans="1:9" x14ac:dyDescent="0.35">
      <c r="A33" t="s">
        <v>73</v>
      </c>
      <c r="B33" s="2">
        <v>46144</v>
      </c>
      <c r="C33" t="s">
        <v>74</v>
      </c>
      <c r="D33" t="s">
        <v>75</v>
      </c>
      <c r="E33" t="s">
        <v>32</v>
      </c>
      <c r="F33" t="s">
        <v>24</v>
      </c>
      <c r="G33">
        <v>4</v>
      </c>
      <c r="H33">
        <v>2033.24</v>
      </c>
      <c r="I33">
        <v>8132.96</v>
      </c>
    </row>
    <row r="34" spans="1:9" x14ac:dyDescent="0.35">
      <c r="A34" t="s">
        <v>76</v>
      </c>
      <c r="B34" s="2">
        <v>46125</v>
      </c>
      <c r="C34" t="s">
        <v>10</v>
      </c>
      <c r="D34" t="s">
        <v>77</v>
      </c>
      <c r="E34" t="s">
        <v>12</v>
      </c>
      <c r="F34" t="s">
        <v>16</v>
      </c>
      <c r="G34">
        <v>5</v>
      </c>
      <c r="H34">
        <v>55593.14</v>
      </c>
      <c r="I34">
        <v>277965.7</v>
      </c>
    </row>
    <row r="35" spans="1:9" x14ac:dyDescent="0.35">
      <c r="A35" t="s">
        <v>78</v>
      </c>
      <c r="B35" s="2">
        <v>46170</v>
      </c>
      <c r="C35" t="s">
        <v>15</v>
      </c>
      <c r="D35" t="s">
        <v>11</v>
      </c>
      <c r="E35" t="s">
        <v>12</v>
      </c>
      <c r="F35" t="s">
        <v>24</v>
      </c>
      <c r="G35">
        <v>1</v>
      </c>
      <c r="H35">
        <v>26482.07</v>
      </c>
      <c r="I35">
        <v>26482.07</v>
      </c>
    </row>
    <row r="36" spans="1:9" x14ac:dyDescent="0.35">
      <c r="A36" t="s">
        <v>79</v>
      </c>
      <c r="B36" s="2">
        <v>46264</v>
      </c>
      <c r="C36" t="s">
        <v>80</v>
      </c>
      <c r="D36" t="s">
        <v>11</v>
      </c>
      <c r="E36" t="s">
        <v>12</v>
      </c>
      <c r="F36" t="s">
        <v>13</v>
      </c>
      <c r="G36">
        <v>5</v>
      </c>
      <c r="H36">
        <v>26532.83</v>
      </c>
      <c r="I36">
        <v>132664.15</v>
      </c>
    </row>
    <row r="37" spans="1:9" x14ac:dyDescent="0.35">
      <c r="A37" t="s">
        <v>81</v>
      </c>
      <c r="B37" s="2">
        <v>46077</v>
      </c>
      <c r="C37" t="s">
        <v>22</v>
      </c>
      <c r="D37" t="s">
        <v>62</v>
      </c>
      <c r="E37" t="s">
        <v>32</v>
      </c>
      <c r="F37" t="s">
        <v>20</v>
      </c>
      <c r="G37">
        <v>2</v>
      </c>
      <c r="H37">
        <v>2298.2800000000002</v>
      </c>
      <c r="I37">
        <v>4596.5600000000004</v>
      </c>
    </row>
    <row r="38" spans="1:9" x14ac:dyDescent="0.35">
      <c r="A38" t="s">
        <v>82</v>
      </c>
      <c r="B38" s="2">
        <v>46052</v>
      </c>
      <c r="C38" t="s">
        <v>83</v>
      </c>
      <c r="D38" t="s">
        <v>84</v>
      </c>
      <c r="E38" t="s">
        <v>46</v>
      </c>
      <c r="F38" t="s">
        <v>13</v>
      </c>
      <c r="G38">
        <v>2</v>
      </c>
      <c r="H38">
        <v>12683.09</v>
      </c>
      <c r="I38">
        <v>25366.18</v>
      </c>
    </row>
    <row r="39" spans="1:9" x14ac:dyDescent="0.35">
      <c r="A39" t="s">
        <v>85</v>
      </c>
      <c r="B39" s="2">
        <v>46190</v>
      </c>
      <c r="C39" t="s">
        <v>83</v>
      </c>
      <c r="E39" t="s">
        <v>12</v>
      </c>
      <c r="F39" t="s">
        <v>38</v>
      </c>
      <c r="G39">
        <v>1</v>
      </c>
      <c r="H39">
        <v>28890.3</v>
      </c>
      <c r="I39">
        <v>28890.3</v>
      </c>
    </row>
    <row r="40" spans="1:9" x14ac:dyDescent="0.35">
      <c r="A40" t="s">
        <v>86</v>
      </c>
      <c r="B40" s="2">
        <v>46205</v>
      </c>
      <c r="C40" t="s">
        <v>28</v>
      </c>
      <c r="D40" t="s">
        <v>84</v>
      </c>
      <c r="E40" t="s">
        <v>46</v>
      </c>
      <c r="F40" t="s">
        <v>16</v>
      </c>
      <c r="G40">
        <v>1</v>
      </c>
      <c r="H40">
        <v>12416.07</v>
      </c>
      <c r="I40">
        <v>12416.07</v>
      </c>
    </row>
    <row r="41" spans="1:9" x14ac:dyDescent="0.35">
      <c r="A41" t="s">
        <v>87</v>
      </c>
      <c r="B41" s="2">
        <v>46135</v>
      </c>
      <c r="C41" t="s">
        <v>10</v>
      </c>
      <c r="D41" t="s">
        <v>45</v>
      </c>
      <c r="E41" t="s">
        <v>46</v>
      </c>
      <c r="F41" t="s">
        <v>13</v>
      </c>
      <c r="G41">
        <v>3</v>
      </c>
      <c r="H41">
        <v>9011.01</v>
      </c>
      <c r="I41">
        <v>27033.03</v>
      </c>
    </row>
    <row r="42" spans="1:9" x14ac:dyDescent="0.35">
      <c r="A42" t="s">
        <v>88</v>
      </c>
      <c r="B42" s="2">
        <v>46202</v>
      </c>
      <c r="C42" t="s">
        <v>42</v>
      </c>
      <c r="D42" t="s">
        <v>23</v>
      </c>
      <c r="E42" t="s">
        <v>12</v>
      </c>
      <c r="F42" t="s">
        <v>24</v>
      </c>
      <c r="G42">
        <v>5</v>
      </c>
      <c r="H42">
        <v>14845.84</v>
      </c>
      <c r="I42">
        <v>74229.2</v>
      </c>
    </row>
    <row r="43" spans="1:9" x14ac:dyDescent="0.35">
      <c r="A43" t="s">
        <v>89</v>
      </c>
      <c r="B43" s="2">
        <v>46120</v>
      </c>
      <c r="C43" t="s">
        <v>30</v>
      </c>
      <c r="D43" t="s">
        <v>84</v>
      </c>
      <c r="E43" t="s">
        <v>90</v>
      </c>
      <c r="F43" t="s">
        <v>20</v>
      </c>
      <c r="G43">
        <v>2</v>
      </c>
      <c r="H43">
        <v>12898.77</v>
      </c>
      <c r="I43">
        <v>25797.54</v>
      </c>
    </row>
    <row r="44" spans="1:9" x14ac:dyDescent="0.35">
      <c r="A44" t="s">
        <v>91</v>
      </c>
      <c r="B44" s="2">
        <v>46134</v>
      </c>
      <c r="C44" t="s">
        <v>18</v>
      </c>
      <c r="D44" t="s">
        <v>11</v>
      </c>
      <c r="E44" t="s">
        <v>12</v>
      </c>
      <c r="F44" t="s">
        <v>16</v>
      </c>
      <c r="G44">
        <v>1</v>
      </c>
      <c r="H44">
        <v>28852.01</v>
      </c>
      <c r="I44">
        <v>28852.01</v>
      </c>
    </row>
    <row r="45" spans="1:9" x14ac:dyDescent="0.35">
      <c r="A45" t="s">
        <v>92</v>
      </c>
      <c r="B45" s="2">
        <v>46073</v>
      </c>
      <c r="C45" t="s">
        <v>93</v>
      </c>
      <c r="D45" t="s">
        <v>23</v>
      </c>
      <c r="E45" t="s">
        <v>12</v>
      </c>
      <c r="F45" t="s">
        <v>38</v>
      </c>
      <c r="G45">
        <v>2</v>
      </c>
      <c r="H45">
        <v>14719.24</v>
      </c>
      <c r="I45">
        <v>29438.48</v>
      </c>
    </row>
    <row r="46" spans="1:9" x14ac:dyDescent="0.35">
      <c r="A46" t="s">
        <v>94</v>
      </c>
      <c r="B46" s="2">
        <v>46236</v>
      </c>
      <c r="C46" t="s">
        <v>26</v>
      </c>
      <c r="D46" t="s">
        <v>77</v>
      </c>
      <c r="E46" t="s">
        <v>12</v>
      </c>
      <c r="F46" t="s">
        <v>38</v>
      </c>
      <c r="G46">
        <v>2</v>
      </c>
      <c r="H46">
        <v>53668.7</v>
      </c>
      <c r="I46">
        <v>107337.4</v>
      </c>
    </row>
    <row r="47" spans="1:9" x14ac:dyDescent="0.35">
      <c r="A47" t="s">
        <v>95</v>
      </c>
      <c r="B47" s="2">
        <v>46248</v>
      </c>
      <c r="C47" t="s">
        <v>44</v>
      </c>
      <c r="D47" t="s">
        <v>50</v>
      </c>
      <c r="E47" t="s">
        <v>32</v>
      </c>
      <c r="F47" t="s">
        <v>38</v>
      </c>
      <c r="G47">
        <v>4</v>
      </c>
      <c r="H47">
        <v>1870.77</v>
      </c>
      <c r="I47">
        <v>7483.08</v>
      </c>
    </row>
    <row r="48" spans="1:9" x14ac:dyDescent="0.35">
      <c r="A48" t="s">
        <v>96</v>
      </c>
      <c r="B48" s="2">
        <v>46142</v>
      </c>
      <c r="C48" t="s">
        <v>22</v>
      </c>
      <c r="D48" t="s">
        <v>58</v>
      </c>
      <c r="E48" t="s">
        <v>12</v>
      </c>
      <c r="F48" t="s">
        <v>20</v>
      </c>
      <c r="G48">
        <v>2</v>
      </c>
      <c r="H48">
        <v>2398.35</v>
      </c>
      <c r="I48">
        <v>4796.7</v>
      </c>
    </row>
    <row r="49" spans="1:9" x14ac:dyDescent="0.35">
      <c r="A49" t="s">
        <v>97</v>
      </c>
      <c r="B49" s="2">
        <v>46211</v>
      </c>
      <c r="C49" t="s">
        <v>80</v>
      </c>
      <c r="D49" t="s">
        <v>77</v>
      </c>
      <c r="E49" t="s">
        <v>12</v>
      </c>
      <c r="F49" t="s">
        <v>20</v>
      </c>
      <c r="G49">
        <v>3</v>
      </c>
      <c r="H49">
        <v>50128.82</v>
      </c>
      <c r="I49">
        <v>150386.46</v>
      </c>
    </row>
    <row r="50" spans="1:9" x14ac:dyDescent="0.35">
      <c r="A50" t="s">
        <v>98</v>
      </c>
      <c r="B50" s="2">
        <v>46142</v>
      </c>
      <c r="C50" t="s">
        <v>74</v>
      </c>
      <c r="D50" t="s">
        <v>62</v>
      </c>
      <c r="E50" t="s">
        <v>32</v>
      </c>
      <c r="F50" t="s">
        <v>13</v>
      </c>
      <c r="G50">
        <v>2</v>
      </c>
      <c r="H50">
        <v>2005.03</v>
      </c>
      <c r="I50">
        <v>4010.06</v>
      </c>
    </row>
    <row r="51" spans="1:9" x14ac:dyDescent="0.35">
      <c r="A51" t="s">
        <v>99</v>
      </c>
      <c r="B51" s="2">
        <v>46182</v>
      </c>
      <c r="C51" t="s">
        <v>10</v>
      </c>
      <c r="D51" t="s">
        <v>11</v>
      </c>
      <c r="E51" t="s">
        <v>12</v>
      </c>
      <c r="F51" t="s">
        <v>38</v>
      </c>
      <c r="G51">
        <v>5</v>
      </c>
      <c r="H51">
        <v>25580.58</v>
      </c>
      <c r="I51">
        <v>127902.9</v>
      </c>
    </row>
    <row r="52" spans="1:9" x14ac:dyDescent="0.35">
      <c r="A52" t="s">
        <v>100</v>
      </c>
      <c r="B52" s="2">
        <v>46113</v>
      </c>
      <c r="C52" t="s">
        <v>15</v>
      </c>
      <c r="D52" t="s">
        <v>11</v>
      </c>
      <c r="E52" t="s">
        <v>12</v>
      </c>
      <c r="F52" t="s">
        <v>20</v>
      </c>
      <c r="G52">
        <v>5</v>
      </c>
      <c r="H52">
        <v>26578.81</v>
      </c>
      <c r="I52">
        <v>132894.04999999999</v>
      </c>
    </row>
    <row r="53" spans="1:9" x14ac:dyDescent="0.35">
      <c r="A53" t="s">
        <v>101</v>
      </c>
      <c r="B53" s="2">
        <v>46199</v>
      </c>
      <c r="C53" t="s">
        <v>60</v>
      </c>
      <c r="D53" t="s">
        <v>11</v>
      </c>
      <c r="E53" t="s">
        <v>12</v>
      </c>
      <c r="F53" t="s">
        <v>24</v>
      </c>
      <c r="G53">
        <v>4</v>
      </c>
      <c r="H53">
        <v>28881.29</v>
      </c>
      <c r="I53">
        <v>115525.16</v>
      </c>
    </row>
    <row r="54" spans="1:9" x14ac:dyDescent="0.35">
      <c r="A54" t="s">
        <v>102</v>
      </c>
      <c r="B54" s="2">
        <v>46146</v>
      </c>
      <c r="C54" t="s">
        <v>10</v>
      </c>
      <c r="D54" t="s">
        <v>50</v>
      </c>
      <c r="E54" t="s">
        <v>32</v>
      </c>
      <c r="F54" t="s">
        <v>24</v>
      </c>
      <c r="G54">
        <v>2</v>
      </c>
      <c r="H54">
        <v>1861.1</v>
      </c>
      <c r="I54">
        <v>3722.2</v>
      </c>
    </row>
    <row r="55" spans="1:9" x14ac:dyDescent="0.35">
      <c r="A55" t="s">
        <v>103</v>
      </c>
      <c r="B55" s="2">
        <v>46085</v>
      </c>
      <c r="C55" t="s">
        <v>30</v>
      </c>
      <c r="D55" t="s">
        <v>45</v>
      </c>
      <c r="E55" t="s">
        <v>46</v>
      </c>
      <c r="F55" t="s">
        <v>24</v>
      </c>
      <c r="G55">
        <v>2</v>
      </c>
      <c r="H55">
        <v>8791.8700000000008</v>
      </c>
      <c r="I55">
        <v>17583.740000000002</v>
      </c>
    </row>
    <row r="56" spans="1:9" x14ac:dyDescent="0.35">
      <c r="A56" t="s">
        <v>104</v>
      </c>
      <c r="B56" s="2">
        <v>46113</v>
      </c>
      <c r="C56" t="s">
        <v>28</v>
      </c>
      <c r="D56" t="s">
        <v>11</v>
      </c>
      <c r="E56" t="s">
        <v>12</v>
      </c>
      <c r="F56" t="s">
        <v>16</v>
      </c>
      <c r="G56">
        <v>1</v>
      </c>
      <c r="H56">
        <v>27766.400000000001</v>
      </c>
      <c r="I56">
        <v>27766.400000000001</v>
      </c>
    </row>
    <row r="57" spans="1:9" x14ac:dyDescent="0.35">
      <c r="A57" t="s">
        <v>105</v>
      </c>
      <c r="B57" s="2">
        <v>46161</v>
      </c>
      <c r="C57" t="s">
        <v>54</v>
      </c>
      <c r="D57" t="s">
        <v>106</v>
      </c>
      <c r="E57" t="s">
        <v>32</v>
      </c>
      <c r="F57" t="s">
        <v>16</v>
      </c>
      <c r="G57">
        <v>2</v>
      </c>
      <c r="H57">
        <v>2202.59</v>
      </c>
      <c r="I57">
        <v>4405.18</v>
      </c>
    </row>
    <row r="58" spans="1:9" x14ac:dyDescent="0.35">
      <c r="A58" t="s">
        <v>107</v>
      </c>
      <c r="B58" s="2">
        <v>46186</v>
      </c>
      <c r="C58" t="s">
        <v>44</v>
      </c>
      <c r="D58" t="s">
        <v>23</v>
      </c>
      <c r="E58" t="s">
        <v>12</v>
      </c>
      <c r="F58" t="s">
        <v>24</v>
      </c>
      <c r="G58">
        <v>3</v>
      </c>
      <c r="H58">
        <v>14354.96</v>
      </c>
      <c r="I58">
        <v>43064.88</v>
      </c>
    </row>
    <row r="59" spans="1:9" x14ac:dyDescent="0.35">
      <c r="A59" t="s">
        <v>108</v>
      </c>
      <c r="B59" s="2">
        <v>46167</v>
      </c>
      <c r="C59" t="s">
        <v>44</v>
      </c>
      <c r="D59" t="s">
        <v>36</v>
      </c>
      <c r="E59" t="s">
        <v>12</v>
      </c>
      <c r="F59" t="s">
        <v>24</v>
      </c>
      <c r="G59">
        <v>5</v>
      </c>
      <c r="H59">
        <v>10818.78</v>
      </c>
      <c r="I59">
        <v>54093.9</v>
      </c>
    </row>
    <row r="60" spans="1:9" x14ac:dyDescent="0.35">
      <c r="A60" t="s">
        <v>109</v>
      </c>
      <c r="B60" s="2">
        <v>46143</v>
      </c>
      <c r="C60" t="s">
        <v>28</v>
      </c>
      <c r="D60" t="s">
        <v>11</v>
      </c>
      <c r="F60" t="s">
        <v>20</v>
      </c>
      <c r="G60">
        <v>2</v>
      </c>
      <c r="H60">
        <v>26681.01</v>
      </c>
      <c r="I60">
        <v>53362.02</v>
      </c>
    </row>
    <row r="61" spans="1:9" x14ac:dyDescent="0.35">
      <c r="A61" t="s">
        <v>110</v>
      </c>
      <c r="B61" s="2">
        <v>46050</v>
      </c>
      <c r="C61" t="s">
        <v>48</v>
      </c>
      <c r="D61" t="s">
        <v>58</v>
      </c>
      <c r="E61" t="s">
        <v>12</v>
      </c>
      <c r="F61" t="s">
        <v>13</v>
      </c>
      <c r="G61">
        <v>3</v>
      </c>
      <c r="H61">
        <v>2390.88</v>
      </c>
      <c r="I61">
        <v>7172.64</v>
      </c>
    </row>
    <row r="62" spans="1:9" x14ac:dyDescent="0.35">
      <c r="A62" t="s">
        <v>111</v>
      </c>
      <c r="B62" s="2">
        <v>46254</v>
      </c>
      <c r="C62" t="s">
        <v>15</v>
      </c>
      <c r="D62" t="s">
        <v>50</v>
      </c>
      <c r="E62" t="s">
        <v>32</v>
      </c>
      <c r="F62" t="s">
        <v>16</v>
      </c>
      <c r="G62">
        <v>5</v>
      </c>
      <c r="H62">
        <v>1795.87</v>
      </c>
      <c r="I62">
        <v>8979.35</v>
      </c>
    </row>
    <row r="63" spans="1:9" x14ac:dyDescent="0.35">
      <c r="A63" t="s">
        <v>112</v>
      </c>
      <c r="B63" s="2">
        <v>46227</v>
      </c>
      <c r="C63" t="s">
        <v>113</v>
      </c>
      <c r="D63" t="s">
        <v>45</v>
      </c>
      <c r="E63" t="s">
        <v>46</v>
      </c>
      <c r="F63" t="s">
        <v>24</v>
      </c>
      <c r="G63">
        <v>3</v>
      </c>
      <c r="H63">
        <v>7724.95</v>
      </c>
      <c r="I63">
        <v>23174.85</v>
      </c>
    </row>
    <row r="64" spans="1:9" x14ac:dyDescent="0.35">
      <c r="A64" t="s">
        <v>114</v>
      </c>
      <c r="B64" s="2">
        <v>46159</v>
      </c>
      <c r="C64" t="s">
        <v>44</v>
      </c>
      <c r="D64" t="s">
        <v>58</v>
      </c>
      <c r="E64" t="s">
        <v>12</v>
      </c>
      <c r="F64" t="s">
        <v>16</v>
      </c>
      <c r="G64">
        <v>4</v>
      </c>
      <c r="H64">
        <v>2525.84</v>
      </c>
      <c r="I64">
        <v>10103.36</v>
      </c>
    </row>
    <row r="65" spans="1:9" x14ac:dyDescent="0.35">
      <c r="A65" t="s">
        <v>115</v>
      </c>
      <c r="B65" s="2">
        <v>46235</v>
      </c>
      <c r="C65" t="s">
        <v>113</v>
      </c>
      <c r="D65" t="s">
        <v>11</v>
      </c>
      <c r="E65" t="s">
        <v>12</v>
      </c>
      <c r="F65" t="s">
        <v>20</v>
      </c>
      <c r="G65">
        <v>0</v>
      </c>
      <c r="H65">
        <v>30492.29</v>
      </c>
      <c r="I65">
        <v>30492.29</v>
      </c>
    </row>
    <row r="66" spans="1:9" x14ac:dyDescent="0.35">
      <c r="A66" t="s">
        <v>116</v>
      </c>
      <c r="B66" s="2">
        <v>46083</v>
      </c>
      <c r="C66" t="s">
        <v>83</v>
      </c>
      <c r="D66" t="s">
        <v>77</v>
      </c>
      <c r="E66" t="s">
        <v>12</v>
      </c>
      <c r="F66" t="s">
        <v>13</v>
      </c>
      <c r="G66">
        <v>3</v>
      </c>
      <c r="H66">
        <v>55907.61</v>
      </c>
      <c r="I66">
        <v>167722.82999999999</v>
      </c>
    </row>
    <row r="67" spans="1:9" x14ac:dyDescent="0.35">
      <c r="A67" t="s">
        <v>117</v>
      </c>
      <c r="B67" s="2">
        <v>46042</v>
      </c>
      <c r="C67" t="s">
        <v>15</v>
      </c>
      <c r="D67" t="s">
        <v>77</v>
      </c>
      <c r="E67" t="s">
        <v>12</v>
      </c>
      <c r="F67" t="s">
        <v>24</v>
      </c>
      <c r="G67">
        <v>3</v>
      </c>
      <c r="H67">
        <v>53511.17</v>
      </c>
      <c r="I67">
        <v>160533.51</v>
      </c>
    </row>
    <row r="68" spans="1:9" x14ac:dyDescent="0.35">
      <c r="A68" t="s">
        <v>118</v>
      </c>
      <c r="B68" s="2">
        <v>46229</v>
      </c>
      <c r="D68" t="s">
        <v>23</v>
      </c>
      <c r="E68" t="s">
        <v>12</v>
      </c>
      <c r="F68" t="s">
        <v>38</v>
      </c>
      <c r="G68">
        <v>2</v>
      </c>
      <c r="H68">
        <v>15500.8</v>
      </c>
      <c r="I68">
        <v>31001.599999999999</v>
      </c>
    </row>
    <row r="69" spans="1:9" x14ac:dyDescent="0.35">
      <c r="A69" t="s">
        <v>119</v>
      </c>
      <c r="B69" s="2">
        <v>46098</v>
      </c>
      <c r="C69" t="s">
        <v>42</v>
      </c>
      <c r="D69" t="s">
        <v>36</v>
      </c>
      <c r="E69" t="s">
        <v>12</v>
      </c>
      <c r="F69" t="s">
        <v>13</v>
      </c>
      <c r="G69">
        <v>2</v>
      </c>
      <c r="H69">
        <v>13021.83</v>
      </c>
      <c r="I69">
        <v>26043.66</v>
      </c>
    </row>
    <row r="70" spans="1:9" x14ac:dyDescent="0.35">
      <c r="A70" t="s">
        <v>120</v>
      </c>
      <c r="B70" s="2">
        <v>46034</v>
      </c>
      <c r="C70" t="s">
        <v>48</v>
      </c>
      <c r="D70" t="s">
        <v>45</v>
      </c>
      <c r="E70" t="s">
        <v>46</v>
      </c>
      <c r="F70" t="s">
        <v>38</v>
      </c>
      <c r="G70">
        <v>1</v>
      </c>
      <c r="H70">
        <v>7954.91</v>
      </c>
      <c r="I70">
        <v>7954.91</v>
      </c>
    </row>
    <row r="71" spans="1:9" x14ac:dyDescent="0.35">
      <c r="A71" t="s">
        <v>121</v>
      </c>
      <c r="B71" s="2">
        <v>46085</v>
      </c>
      <c r="C71" t="s">
        <v>28</v>
      </c>
      <c r="D71" t="s">
        <v>23</v>
      </c>
      <c r="E71" t="s">
        <v>12</v>
      </c>
      <c r="F71" t="s">
        <v>38</v>
      </c>
      <c r="G71">
        <v>3</v>
      </c>
      <c r="H71">
        <v>13977.59</v>
      </c>
      <c r="I71">
        <v>41932.769999999997</v>
      </c>
    </row>
    <row r="72" spans="1:9" x14ac:dyDescent="0.35">
      <c r="A72" t="s">
        <v>122</v>
      </c>
      <c r="B72" s="2">
        <v>46108</v>
      </c>
      <c r="C72" t="s">
        <v>30</v>
      </c>
      <c r="D72" t="s">
        <v>77</v>
      </c>
      <c r="E72" t="s">
        <v>12</v>
      </c>
      <c r="F72" t="s">
        <v>24</v>
      </c>
      <c r="G72">
        <v>4</v>
      </c>
      <c r="H72">
        <v>51946.77</v>
      </c>
    </row>
    <row r="73" spans="1:9" x14ac:dyDescent="0.35">
      <c r="A73" t="s">
        <v>123</v>
      </c>
      <c r="B73" s="2">
        <v>46120</v>
      </c>
      <c r="C73" t="s">
        <v>93</v>
      </c>
      <c r="D73" t="s">
        <v>50</v>
      </c>
      <c r="E73" t="s">
        <v>32</v>
      </c>
      <c r="F73" t="s">
        <v>38</v>
      </c>
      <c r="G73">
        <v>2</v>
      </c>
      <c r="H73">
        <v>1700.25</v>
      </c>
      <c r="I73">
        <v>3400.5</v>
      </c>
    </row>
    <row r="74" spans="1:9" x14ac:dyDescent="0.35">
      <c r="A74" t="s">
        <v>124</v>
      </c>
      <c r="B74" s="2">
        <v>46099</v>
      </c>
      <c r="C74" t="s">
        <v>26</v>
      </c>
      <c r="D74" t="s">
        <v>40</v>
      </c>
      <c r="E74" t="s">
        <v>32</v>
      </c>
      <c r="F74" t="s">
        <v>24</v>
      </c>
      <c r="G74">
        <v>3</v>
      </c>
      <c r="H74">
        <v>965.58</v>
      </c>
      <c r="I74">
        <v>2896.74</v>
      </c>
    </row>
    <row r="75" spans="1:9" x14ac:dyDescent="0.35">
      <c r="A75" t="s">
        <v>125</v>
      </c>
      <c r="B75" s="2">
        <v>46201</v>
      </c>
      <c r="C75" t="s">
        <v>44</v>
      </c>
      <c r="D75" t="s">
        <v>62</v>
      </c>
      <c r="E75" t="s">
        <v>126</v>
      </c>
      <c r="F75" t="s">
        <v>24</v>
      </c>
      <c r="G75">
        <v>4</v>
      </c>
      <c r="H75">
        <v>2278.9899999999998</v>
      </c>
      <c r="I75">
        <v>9115.9599999999991</v>
      </c>
    </row>
    <row r="76" spans="1:9" x14ac:dyDescent="0.35">
      <c r="A76" t="s">
        <v>127</v>
      </c>
      <c r="B76" s="2">
        <v>46100</v>
      </c>
      <c r="C76" t="s">
        <v>42</v>
      </c>
      <c r="D76" t="s">
        <v>77</v>
      </c>
      <c r="E76" t="s">
        <v>12</v>
      </c>
      <c r="F76" t="s">
        <v>20</v>
      </c>
      <c r="G76">
        <v>1</v>
      </c>
      <c r="H76">
        <v>59147.42</v>
      </c>
      <c r="I76">
        <v>59147.42</v>
      </c>
    </row>
    <row r="77" spans="1:9" x14ac:dyDescent="0.35">
      <c r="A77" t="s">
        <v>128</v>
      </c>
      <c r="B77" s="2">
        <v>46216</v>
      </c>
      <c r="C77" t="s">
        <v>54</v>
      </c>
      <c r="D77" t="s">
        <v>50</v>
      </c>
      <c r="E77" t="s">
        <v>32</v>
      </c>
      <c r="F77" t="s">
        <v>24</v>
      </c>
      <c r="G77">
        <v>1</v>
      </c>
      <c r="H77">
        <v>1659.02</v>
      </c>
      <c r="I77">
        <v>1659.02</v>
      </c>
    </row>
    <row r="78" spans="1:9" x14ac:dyDescent="0.35">
      <c r="A78" t="s">
        <v>129</v>
      </c>
      <c r="B78" s="2">
        <v>46188</v>
      </c>
      <c r="C78" t="s">
        <v>130</v>
      </c>
      <c r="D78" t="s">
        <v>131</v>
      </c>
      <c r="E78" t="s">
        <v>46</v>
      </c>
      <c r="F78" t="s">
        <v>20</v>
      </c>
      <c r="G78">
        <v>5</v>
      </c>
      <c r="H78">
        <v>9323.2000000000007</v>
      </c>
      <c r="I78">
        <v>46616</v>
      </c>
    </row>
    <row r="79" spans="1:9" x14ac:dyDescent="0.35">
      <c r="A79" t="s">
        <v>132</v>
      </c>
      <c r="B79" s="2">
        <v>46132</v>
      </c>
      <c r="C79" t="s">
        <v>18</v>
      </c>
      <c r="D79" t="s">
        <v>23</v>
      </c>
      <c r="E79" t="s">
        <v>12</v>
      </c>
      <c r="F79" t="s">
        <v>20</v>
      </c>
      <c r="G79">
        <v>3</v>
      </c>
      <c r="H79">
        <v>13633.16</v>
      </c>
      <c r="I79">
        <v>40899.480000000003</v>
      </c>
    </row>
    <row r="80" spans="1:9" x14ac:dyDescent="0.35">
      <c r="A80" t="s">
        <v>133</v>
      </c>
      <c r="B80" s="2">
        <v>46065</v>
      </c>
      <c r="C80" t="s">
        <v>48</v>
      </c>
      <c r="D80" t="s">
        <v>62</v>
      </c>
      <c r="E80" t="s">
        <v>32</v>
      </c>
      <c r="F80" t="s">
        <v>20</v>
      </c>
      <c r="G80">
        <v>2</v>
      </c>
      <c r="H80">
        <v>2140.2600000000002</v>
      </c>
      <c r="I80">
        <v>4280.5200000000004</v>
      </c>
    </row>
    <row r="81" spans="1:9" x14ac:dyDescent="0.35">
      <c r="A81" t="s">
        <v>134</v>
      </c>
      <c r="B81" s="2">
        <v>46167</v>
      </c>
      <c r="C81" t="s">
        <v>60</v>
      </c>
      <c r="D81" t="s">
        <v>40</v>
      </c>
      <c r="E81" t="s">
        <v>32</v>
      </c>
      <c r="F81" t="s">
        <v>24</v>
      </c>
      <c r="G81">
        <v>1</v>
      </c>
      <c r="H81">
        <v>939.56</v>
      </c>
      <c r="I81">
        <v>939.56</v>
      </c>
    </row>
    <row r="82" spans="1:9" x14ac:dyDescent="0.35">
      <c r="A82" t="s">
        <v>135</v>
      </c>
      <c r="B82" s="2">
        <v>46118</v>
      </c>
      <c r="C82" t="s">
        <v>44</v>
      </c>
      <c r="D82" t="s">
        <v>45</v>
      </c>
      <c r="E82" t="s">
        <v>46</v>
      </c>
      <c r="F82" t="s">
        <v>13</v>
      </c>
      <c r="G82">
        <v>3</v>
      </c>
      <c r="H82">
        <v>8334.08</v>
      </c>
      <c r="I82">
        <v>25002.240000000002</v>
      </c>
    </row>
    <row r="83" spans="1:9" x14ac:dyDescent="0.35">
      <c r="A83" t="s">
        <v>136</v>
      </c>
      <c r="B83" s="2">
        <v>46166</v>
      </c>
      <c r="C83" t="s">
        <v>42</v>
      </c>
      <c r="D83" t="s">
        <v>23</v>
      </c>
      <c r="E83" t="s">
        <v>12</v>
      </c>
      <c r="F83" t="s">
        <v>20</v>
      </c>
      <c r="G83">
        <v>4</v>
      </c>
      <c r="H83">
        <v>15494.79</v>
      </c>
      <c r="I83">
        <v>61979.16</v>
      </c>
    </row>
    <row r="84" spans="1:9" x14ac:dyDescent="0.35">
      <c r="A84" t="s">
        <v>137</v>
      </c>
      <c r="B84" s="2">
        <v>46132</v>
      </c>
      <c r="C84" t="s">
        <v>18</v>
      </c>
      <c r="E84" t="s">
        <v>12</v>
      </c>
      <c r="F84" t="s">
        <v>24</v>
      </c>
      <c r="G84">
        <v>3</v>
      </c>
      <c r="H84">
        <v>11774.58</v>
      </c>
      <c r="I84">
        <v>35323.74</v>
      </c>
    </row>
    <row r="85" spans="1:9" x14ac:dyDescent="0.35">
      <c r="A85" t="s">
        <v>138</v>
      </c>
      <c r="B85" s="2">
        <v>46213</v>
      </c>
      <c r="C85" t="s">
        <v>34</v>
      </c>
      <c r="D85" t="s">
        <v>50</v>
      </c>
      <c r="E85" t="s">
        <v>32</v>
      </c>
      <c r="F85" t="s">
        <v>24</v>
      </c>
      <c r="G85">
        <v>2</v>
      </c>
      <c r="H85">
        <v>1774.76</v>
      </c>
      <c r="I85">
        <v>3549.52</v>
      </c>
    </row>
    <row r="86" spans="1:9" x14ac:dyDescent="0.35">
      <c r="A86" t="s">
        <v>139</v>
      </c>
      <c r="B86" s="2">
        <v>46152</v>
      </c>
      <c r="C86" t="s">
        <v>60</v>
      </c>
      <c r="D86" t="s">
        <v>84</v>
      </c>
      <c r="E86" t="s">
        <v>46</v>
      </c>
      <c r="F86" t="s">
        <v>38</v>
      </c>
      <c r="G86">
        <v>4</v>
      </c>
      <c r="H86">
        <v>11861.18</v>
      </c>
      <c r="I86">
        <v>47444.72</v>
      </c>
    </row>
    <row r="87" spans="1:9" x14ac:dyDescent="0.35">
      <c r="A87" t="s">
        <v>140</v>
      </c>
      <c r="B87" s="2">
        <v>46238</v>
      </c>
      <c r="C87" t="s">
        <v>34</v>
      </c>
      <c r="D87" t="s">
        <v>58</v>
      </c>
      <c r="E87" t="s">
        <v>12</v>
      </c>
      <c r="F87" t="s">
        <v>24</v>
      </c>
      <c r="G87">
        <v>1</v>
      </c>
      <c r="H87">
        <v>2391.89</v>
      </c>
      <c r="I87">
        <v>2391.89</v>
      </c>
    </row>
    <row r="88" spans="1:9" x14ac:dyDescent="0.35">
      <c r="A88" t="s">
        <v>141</v>
      </c>
      <c r="B88" s="2">
        <v>46254</v>
      </c>
      <c r="C88" t="s">
        <v>93</v>
      </c>
      <c r="D88" t="s">
        <v>11</v>
      </c>
      <c r="E88" t="s">
        <v>12</v>
      </c>
      <c r="F88" t="s">
        <v>13</v>
      </c>
      <c r="G88">
        <v>2</v>
      </c>
      <c r="H88">
        <v>28967.66</v>
      </c>
      <c r="I88">
        <v>57935.32</v>
      </c>
    </row>
    <row r="89" spans="1:9" x14ac:dyDescent="0.35">
      <c r="A89" t="s">
        <v>142</v>
      </c>
      <c r="B89" s="2">
        <v>46080</v>
      </c>
      <c r="C89" t="s">
        <v>34</v>
      </c>
      <c r="D89" t="s">
        <v>77</v>
      </c>
      <c r="E89" t="s">
        <v>143</v>
      </c>
      <c r="F89" t="s">
        <v>16</v>
      </c>
      <c r="G89">
        <v>1</v>
      </c>
      <c r="H89">
        <v>52193.27</v>
      </c>
      <c r="I89">
        <v>52193.27</v>
      </c>
    </row>
    <row r="90" spans="1:9" x14ac:dyDescent="0.35">
      <c r="A90" t="s">
        <v>144</v>
      </c>
      <c r="B90" s="2">
        <v>46259</v>
      </c>
      <c r="C90" t="s">
        <v>93</v>
      </c>
      <c r="D90" t="s">
        <v>84</v>
      </c>
      <c r="E90" t="s">
        <v>46</v>
      </c>
      <c r="F90" t="s">
        <v>38</v>
      </c>
      <c r="G90">
        <v>4</v>
      </c>
      <c r="H90">
        <v>12926.73</v>
      </c>
      <c r="I90">
        <v>51706.92</v>
      </c>
    </row>
    <row r="91" spans="1:9" x14ac:dyDescent="0.35">
      <c r="A91" t="s">
        <v>145</v>
      </c>
      <c r="B91" s="2">
        <v>46189</v>
      </c>
      <c r="C91" t="s">
        <v>18</v>
      </c>
      <c r="D91" t="s">
        <v>84</v>
      </c>
      <c r="E91" t="s">
        <v>46</v>
      </c>
      <c r="F91" t="s">
        <v>16</v>
      </c>
      <c r="G91">
        <v>4</v>
      </c>
      <c r="H91">
        <v>11385.56</v>
      </c>
      <c r="I91">
        <v>45542.239999999998</v>
      </c>
    </row>
    <row r="92" spans="1:9" x14ac:dyDescent="0.35">
      <c r="A92" t="s">
        <v>146</v>
      </c>
      <c r="B92" s="2">
        <v>46210</v>
      </c>
      <c r="C92" t="s">
        <v>60</v>
      </c>
      <c r="D92" t="s">
        <v>45</v>
      </c>
      <c r="E92" t="s">
        <v>46</v>
      </c>
      <c r="F92" t="s">
        <v>38</v>
      </c>
      <c r="G92">
        <v>2</v>
      </c>
      <c r="H92">
        <v>7949.01</v>
      </c>
      <c r="I92">
        <v>15898.02</v>
      </c>
    </row>
    <row r="93" spans="1:9" x14ac:dyDescent="0.35">
      <c r="A93" t="s">
        <v>147</v>
      </c>
      <c r="B93" s="2">
        <v>46076</v>
      </c>
      <c r="C93" t="s">
        <v>28</v>
      </c>
      <c r="D93" t="s">
        <v>77</v>
      </c>
      <c r="E93" t="s">
        <v>12</v>
      </c>
      <c r="F93" t="s">
        <v>38</v>
      </c>
      <c r="H93">
        <v>52241.18</v>
      </c>
      <c r="I93">
        <v>261205.9</v>
      </c>
    </row>
    <row r="94" spans="1:9" x14ac:dyDescent="0.35">
      <c r="A94" t="s">
        <v>148</v>
      </c>
      <c r="B94" s="2">
        <v>46130</v>
      </c>
      <c r="C94" t="s">
        <v>34</v>
      </c>
      <c r="D94" t="s">
        <v>58</v>
      </c>
      <c r="E94" t="s">
        <v>12</v>
      </c>
      <c r="F94" t="s">
        <v>24</v>
      </c>
      <c r="G94">
        <v>4</v>
      </c>
      <c r="H94">
        <v>2583.79</v>
      </c>
      <c r="I94">
        <v>10335.16</v>
      </c>
    </row>
    <row r="95" spans="1:9" x14ac:dyDescent="0.35">
      <c r="A95" t="s">
        <v>149</v>
      </c>
      <c r="B95" s="2">
        <v>46131</v>
      </c>
      <c r="C95" t="s">
        <v>60</v>
      </c>
      <c r="D95" t="s">
        <v>84</v>
      </c>
      <c r="E95" t="s">
        <v>46</v>
      </c>
      <c r="F95" t="s">
        <v>38</v>
      </c>
      <c r="G95">
        <v>5</v>
      </c>
      <c r="H95">
        <v>12756.02</v>
      </c>
      <c r="I95">
        <v>63780.1</v>
      </c>
    </row>
    <row r="96" spans="1:9" x14ac:dyDescent="0.35">
      <c r="A96" t="s">
        <v>150</v>
      </c>
      <c r="B96" s="2">
        <v>46161</v>
      </c>
      <c r="C96" t="s">
        <v>80</v>
      </c>
      <c r="D96" t="s">
        <v>62</v>
      </c>
      <c r="E96" t="s">
        <v>32</v>
      </c>
      <c r="F96" t="s">
        <v>38</v>
      </c>
      <c r="G96">
        <v>4</v>
      </c>
      <c r="H96">
        <v>2374.77</v>
      </c>
      <c r="I96">
        <v>9499.08</v>
      </c>
    </row>
    <row r="97" spans="1:9" x14ac:dyDescent="0.35">
      <c r="A97" t="s">
        <v>151</v>
      </c>
      <c r="B97" s="2">
        <v>46178</v>
      </c>
      <c r="C97" t="s">
        <v>60</v>
      </c>
      <c r="D97" t="s">
        <v>50</v>
      </c>
      <c r="E97" t="s">
        <v>32</v>
      </c>
      <c r="F97" t="s">
        <v>38</v>
      </c>
      <c r="G97">
        <v>2</v>
      </c>
      <c r="H97">
        <v>1922.35</v>
      </c>
      <c r="I97">
        <v>3844.7</v>
      </c>
    </row>
    <row r="98" spans="1:9" x14ac:dyDescent="0.35">
      <c r="A98" t="s">
        <v>152</v>
      </c>
      <c r="B98" s="2">
        <v>46062</v>
      </c>
      <c r="C98" t="s">
        <v>153</v>
      </c>
      <c r="D98" t="s">
        <v>23</v>
      </c>
      <c r="E98" t="s">
        <v>12</v>
      </c>
      <c r="F98" t="s">
        <v>13</v>
      </c>
      <c r="G98">
        <v>3</v>
      </c>
      <c r="H98">
        <v>14819.62</v>
      </c>
      <c r="I98">
        <v>44458.86</v>
      </c>
    </row>
    <row r="99" spans="1:9" x14ac:dyDescent="0.35">
      <c r="A99" t="s">
        <v>154</v>
      </c>
      <c r="B99" s="2">
        <v>46037</v>
      </c>
      <c r="C99" t="s">
        <v>74</v>
      </c>
      <c r="D99" t="s">
        <v>50</v>
      </c>
      <c r="E99" t="s">
        <v>32</v>
      </c>
      <c r="F99" t="s">
        <v>13</v>
      </c>
      <c r="G99">
        <v>3</v>
      </c>
      <c r="H99">
        <v>1735.1</v>
      </c>
      <c r="I99">
        <v>5205.3</v>
      </c>
    </row>
    <row r="100" spans="1:9" x14ac:dyDescent="0.35">
      <c r="A100" t="s">
        <v>155</v>
      </c>
      <c r="B100" s="2">
        <v>46248</v>
      </c>
      <c r="C100" t="s">
        <v>93</v>
      </c>
      <c r="D100" t="s">
        <v>58</v>
      </c>
      <c r="E100" t="s">
        <v>12</v>
      </c>
      <c r="F100" t="s">
        <v>16</v>
      </c>
      <c r="G100">
        <v>2</v>
      </c>
      <c r="H100">
        <v>2441.52</v>
      </c>
      <c r="I100">
        <v>4883.04</v>
      </c>
    </row>
    <row r="101" spans="1:9" x14ac:dyDescent="0.35">
      <c r="A101" t="s">
        <v>156</v>
      </c>
      <c r="B101" s="2">
        <v>46056</v>
      </c>
      <c r="C101" t="s">
        <v>83</v>
      </c>
      <c r="D101" t="s">
        <v>45</v>
      </c>
      <c r="E101" t="s">
        <v>46</v>
      </c>
      <c r="F101" t="s">
        <v>16</v>
      </c>
      <c r="G101">
        <v>4</v>
      </c>
      <c r="H101">
        <v>8212.5</v>
      </c>
      <c r="I101">
        <v>32850</v>
      </c>
    </row>
    <row r="102" spans="1:9" x14ac:dyDescent="0.35">
      <c r="A102" t="s">
        <v>157</v>
      </c>
      <c r="B102" s="2">
        <v>46034</v>
      </c>
      <c r="C102" t="s">
        <v>22</v>
      </c>
      <c r="D102" t="s">
        <v>23</v>
      </c>
      <c r="E102" t="s">
        <v>12</v>
      </c>
      <c r="F102" t="s">
        <v>16</v>
      </c>
      <c r="G102">
        <v>4</v>
      </c>
      <c r="H102">
        <v>14668.43</v>
      </c>
      <c r="I102">
        <v>58673.72</v>
      </c>
    </row>
    <row r="103" spans="1:9" x14ac:dyDescent="0.35">
      <c r="A103" t="s">
        <v>158</v>
      </c>
      <c r="B103" s="2">
        <v>46040</v>
      </c>
      <c r="C103" t="s">
        <v>54</v>
      </c>
      <c r="D103" t="s">
        <v>36</v>
      </c>
      <c r="E103" t="s">
        <v>12</v>
      </c>
      <c r="F103" t="s">
        <v>24</v>
      </c>
      <c r="G103">
        <v>4</v>
      </c>
      <c r="H103">
        <v>11944.75</v>
      </c>
      <c r="I103">
        <v>47779</v>
      </c>
    </row>
    <row r="104" spans="1:9" x14ac:dyDescent="0.35">
      <c r="A104" t="s">
        <v>159</v>
      </c>
      <c r="B104" s="2">
        <v>46153</v>
      </c>
      <c r="C104" t="s">
        <v>44</v>
      </c>
      <c r="D104" t="s">
        <v>45</v>
      </c>
      <c r="E104" t="s">
        <v>46</v>
      </c>
      <c r="F104" t="s">
        <v>20</v>
      </c>
      <c r="G104">
        <v>4</v>
      </c>
      <c r="H104">
        <v>8564.9699999999993</v>
      </c>
      <c r="I104">
        <v>34259.879999999997</v>
      </c>
    </row>
    <row r="105" spans="1:9" x14ac:dyDescent="0.35">
      <c r="A105" t="s">
        <v>160</v>
      </c>
      <c r="B105" s="2">
        <v>46093</v>
      </c>
      <c r="C105" t="s">
        <v>80</v>
      </c>
      <c r="D105" t="s">
        <v>23</v>
      </c>
      <c r="F105" t="s">
        <v>16</v>
      </c>
      <c r="G105">
        <v>4</v>
      </c>
      <c r="H105">
        <v>14158.26</v>
      </c>
      <c r="I105">
        <v>56633.04</v>
      </c>
    </row>
    <row r="106" spans="1:9" x14ac:dyDescent="0.35">
      <c r="A106" t="s">
        <v>161</v>
      </c>
      <c r="B106" s="2">
        <v>46103</v>
      </c>
      <c r="C106" t="s">
        <v>130</v>
      </c>
      <c r="D106" t="s">
        <v>45</v>
      </c>
      <c r="E106" t="s">
        <v>46</v>
      </c>
      <c r="F106" t="s">
        <v>13</v>
      </c>
      <c r="G106">
        <v>3</v>
      </c>
      <c r="H106">
        <v>8787.09</v>
      </c>
      <c r="I106">
        <v>26361.27</v>
      </c>
    </row>
    <row r="107" spans="1:9" x14ac:dyDescent="0.35">
      <c r="A107" t="s">
        <v>162</v>
      </c>
      <c r="B107" s="2">
        <v>46171</v>
      </c>
      <c r="C107" t="s">
        <v>18</v>
      </c>
      <c r="D107" t="s">
        <v>84</v>
      </c>
      <c r="E107" t="s">
        <v>46</v>
      </c>
      <c r="F107" t="s">
        <v>38</v>
      </c>
      <c r="G107">
        <v>2</v>
      </c>
      <c r="H107">
        <v>13153.73</v>
      </c>
      <c r="I107">
        <v>26307.46</v>
      </c>
    </row>
    <row r="108" spans="1:9" x14ac:dyDescent="0.35">
      <c r="A108" t="s">
        <v>163</v>
      </c>
      <c r="B108" s="2">
        <v>46166</v>
      </c>
      <c r="C108" t="s">
        <v>83</v>
      </c>
      <c r="D108" t="s">
        <v>36</v>
      </c>
      <c r="E108" t="s">
        <v>12</v>
      </c>
      <c r="F108" t="s">
        <v>13</v>
      </c>
      <c r="G108">
        <v>5</v>
      </c>
      <c r="H108">
        <v>12391.2</v>
      </c>
      <c r="I108">
        <v>61956</v>
      </c>
    </row>
    <row r="109" spans="1:9" x14ac:dyDescent="0.35">
      <c r="A109" t="s">
        <v>164</v>
      </c>
      <c r="B109" s="2">
        <v>46191</v>
      </c>
      <c r="C109" t="s">
        <v>48</v>
      </c>
      <c r="D109" t="s">
        <v>84</v>
      </c>
      <c r="E109" t="s">
        <v>46</v>
      </c>
      <c r="F109" t="s">
        <v>13</v>
      </c>
      <c r="G109">
        <v>2</v>
      </c>
      <c r="H109">
        <v>10920.68</v>
      </c>
      <c r="I109">
        <v>21841.360000000001</v>
      </c>
    </row>
    <row r="110" spans="1:9" x14ac:dyDescent="0.35">
      <c r="A110" t="s">
        <v>165</v>
      </c>
      <c r="B110" s="2">
        <v>46220</v>
      </c>
      <c r="C110" t="s">
        <v>130</v>
      </c>
      <c r="D110" t="s">
        <v>84</v>
      </c>
      <c r="E110" t="s">
        <v>46</v>
      </c>
      <c r="F110" t="s">
        <v>24</v>
      </c>
      <c r="G110">
        <v>3</v>
      </c>
      <c r="H110">
        <v>11610</v>
      </c>
      <c r="I110">
        <v>34830</v>
      </c>
    </row>
    <row r="111" spans="1:9" x14ac:dyDescent="0.35">
      <c r="A111" t="s">
        <v>166</v>
      </c>
      <c r="B111" s="2">
        <v>46084</v>
      </c>
      <c r="C111" t="s">
        <v>18</v>
      </c>
      <c r="D111" t="s">
        <v>45</v>
      </c>
      <c r="E111" t="s">
        <v>46</v>
      </c>
      <c r="F111" t="s">
        <v>20</v>
      </c>
      <c r="G111">
        <v>3</v>
      </c>
      <c r="H111">
        <v>9069.35</v>
      </c>
      <c r="I111">
        <v>27208.05</v>
      </c>
    </row>
    <row r="112" spans="1:9" x14ac:dyDescent="0.35">
      <c r="A112" t="s">
        <v>167</v>
      </c>
      <c r="B112" s="2">
        <v>46192</v>
      </c>
      <c r="C112" t="s">
        <v>15</v>
      </c>
      <c r="D112" t="s">
        <v>77</v>
      </c>
      <c r="E112" t="s">
        <v>12</v>
      </c>
      <c r="F112" t="s">
        <v>16</v>
      </c>
      <c r="G112">
        <v>999</v>
      </c>
      <c r="H112">
        <v>51966.44</v>
      </c>
      <c r="I112">
        <v>155899.32</v>
      </c>
    </row>
    <row r="113" spans="1:9" x14ac:dyDescent="0.35">
      <c r="A113" t="s">
        <v>168</v>
      </c>
      <c r="B113" s="2">
        <v>46052</v>
      </c>
      <c r="C113" t="s">
        <v>113</v>
      </c>
      <c r="D113" t="s">
        <v>23</v>
      </c>
      <c r="E113" t="s">
        <v>12</v>
      </c>
      <c r="F113" t="s">
        <v>13</v>
      </c>
      <c r="G113">
        <v>2</v>
      </c>
      <c r="H113">
        <v>16017.69</v>
      </c>
      <c r="I113">
        <v>32035.38</v>
      </c>
    </row>
    <row r="114" spans="1:9" x14ac:dyDescent="0.35">
      <c r="A114" t="s">
        <v>169</v>
      </c>
      <c r="B114" s="2">
        <v>46148</v>
      </c>
      <c r="C114" t="s">
        <v>93</v>
      </c>
      <c r="D114" t="s">
        <v>58</v>
      </c>
      <c r="E114" t="s">
        <v>12</v>
      </c>
      <c r="F114" t="s">
        <v>38</v>
      </c>
      <c r="G114">
        <v>4</v>
      </c>
      <c r="H114">
        <v>2584.73</v>
      </c>
      <c r="I114">
        <v>10338.92</v>
      </c>
    </row>
    <row r="115" spans="1:9" x14ac:dyDescent="0.35">
      <c r="A115" t="s">
        <v>170</v>
      </c>
      <c r="B115" s="2">
        <v>46260</v>
      </c>
      <c r="C115" t="s">
        <v>28</v>
      </c>
      <c r="D115" t="s">
        <v>50</v>
      </c>
      <c r="E115" t="s">
        <v>32</v>
      </c>
      <c r="F115" t="s">
        <v>13</v>
      </c>
      <c r="G115">
        <v>3</v>
      </c>
      <c r="H115">
        <v>1680.4</v>
      </c>
      <c r="I115">
        <v>5041.2</v>
      </c>
    </row>
    <row r="116" spans="1:9" x14ac:dyDescent="0.35">
      <c r="A116" t="s">
        <v>171</v>
      </c>
      <c r="B116" s="2">
        <v>46076</v>
      </c>
      <c r="C116" t="s">
        <v>153</v>
      </c>
      <c r="D116" t="s">
        <v>50</v>
      </c>
      <c r="E116" t="s">
        <v>32</v>
      </c>
      <c r="F116" t="s">
        <v>20</v>
      </c>
      <c r="G116">
        <v>1</v>
      </c>
      <c r="H116">
        <v>1828.33</v>
      </c>
      <c r="I116">
        <v>1828.33</v>
      </c>
    </row>
    <row r="117" spans="1:9" x14ac:dyDescent="0.35">
      <c r="A117" t="s">
        <v>172</v>
      </c>
      <c r="B117" s="2">
        <v>46264</v>
      </c>
      <c r="C117" t="s">
        <v>74</v>
      </c>
      <c r="D117" t="s">
        <v>45</v>
      </c>
      <c r="E117" t="s">
        <v>46</v>
      </c>
      <c r="F117" t="s">
        <v>20</v>
      </c>
      <c r="G117">
        <v>4</v>
      </c>
      <c r="H117">
        <v>9250.5</v>
      </c>
    </row>
    <row r="118" spans="1:9" x14ac:dyDescent="0.35">
      <c r="A118" t="s">
        <v>173</v>
      </c>
      <c r="B118" s="2">
        <v>46134</v>
      </c>
      <c r="C118" t="s">
        <v>34</v>
      </c>
      <c r="D118" t="s">
        <v>23</v>
      </c>
      <c r="E118" t="s">
        <v>12</v>
      </c>
      <c r="F118" t="s">
        <v>16</v>
      </c>
      <c r="G118">
        <v>1</v>
      </c>
      <c r="H118">
        <v>15591.58</v>
      </c>
      <c r="I118">
        <v>15591.58</v>
      </c>
    </row>
    <row r="119" spans="1:9" x14ac:dyDescent="0.35">
      <c r="A119" t="s">
        <v>174</v>
      </c>
      <c r="B119" s="2">
        <v>46099</v>
      </c>
      <c r="C119" t="s">
        <v>54</v>
      </c>
      <c r="D119" t="s">
        <v>36</v>
      </c>
      <c r="E119" t="s">
        <v>12</v>
      </c>
      <c r="F119" t="s">
        <v>16</v>
      </c>
      <c r="G119">
        <v>1</v>
      </c>
      <c r="H119">
        <v>11633.29</v>
      </c>
      <c r="I119">
        <v>11633.29</v>
      </c>
    </row>
    <row r="120" spans="1:9" x14ac:dyDescent="0.35">
      <c r="A120" t="s">
        <v>175</v>
      </c>
      <c r="B120" s="2">
        <v>46063</v>
      </c>
      <c r="C120" t="s">
        <v>80</v>
      </c>
      <c r="D120" t="s">
        <v>62</v>
      </c>
      <c r="E120" t="s">
        <v>32</v>
      </c>
      <c r="F120" t="s">
        <v>16</v>
      </c>
      <c r="G120">
        <v>3</v>
      </c>
      <c r="H120">
        <v>1985.57</v>
      </c>
      <c r="I120">
        <v>5956.71</v>
      </c>
    </row>
    <row r="121" spans="1:9" x14ac:dyDescent="0.35">
      <c r="A121" t="s">
        <v>176</v>
      </c>
      <c r="B121" s="2">
        <v>46031</v>
      </c>
      <c r="C121" t="s">
        <v>30</v>
      </c>
      <c r="D121" t="s">
        <v>45</v>
      </c>
      <c r="E121" t="s">
        <v>46</v>
      </c>
      <c r="F121" t="s">
        <v>13</v>
      </c>
      <c r="G121">
        <v>3</v>
      </c>
      <c r="H121">
        <v>8730.49</v>
      </c>
      <c r="I121">
        <v>26191.47</v>
      </c>
    </row>
    <row r="122" spans="1:9" x14ac:dyDescent="0.35">
      <c r="A122" t="s">
        <v>33</v>
      </c>
      <c r="C122" t="s">
        <v>34</v>
      </c>
      <c r="D122" t="s">
        <v>11</v>
      </c>
      <c r="E122" t="s">
        <v>12</v>
      </c>
      <c r="F122" t="s">
        <v>24</v>
      </c>
      <c r="G122">
        <v>4</v>
      </c>
      <c r="H122">
        <v>25641.279999999999</v>
      </c>
      <c r="I122">
        <v>102565.12</v>
      </c>
    </row>
    <row r="123" spans="1:9" x14ac:dyDescent="0.35">
      <c r="A123" t="s">
        <v>94</v>
      </c>
      <c r="C123" t="s">
        <v>26</v>
      </c>
      <c r="D123" t="s">
        <v>77</v>
      </c>
      <c r="E123" t="s">
        <v>12</v>
      </c>
      <c r="F123" t="s">
        <v>38</v>
      </c>
      <c r="G123">
        <v>2</v>
      </c>
      <c r="H123">
        <v>53668.7</v>
      </c>
      <c r="I123">
        <v>107337.4</v>
      </c>
    </row>
    <row r="124" spans="1:9" x14ac:dyDescent="0.35">
      <c r="A124" t="s">
        <v>156</v>
      </c>
      <c r="C124" t="s">
        <v>83</v>
      </c>
      <c r="D124" t="s">
        <v>45</v>
      </c>
      <c r="E124" t="s">
        <v>46</v>
      </c>
      <c r="F124" t="s">
        <v>16</v>
      </c>
      <c r="G124">
        <v>4</v>
      </c>
      <c r="H124">
        <v>8212.5</v>
      </c>
      <c r="I124">
        <v>32850</v>
      </c>
    </row>
  </sheetData>
  <conditionalFormatting sqref="A1:A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9073-6A4D-4451-B25A-EAE0C329321C}">
  <dimension ref="A1:D13"/>
  <sheetViews>
    <sheetView workbookViewId="0">
      <selection activeCell="C17" sqref="C17"/>
    </sheetView>
  </sheetViews>
  <sheetFormatPr defaultRowHeight="14.5" x14ac:dyDescent="0.35"/>
  <cols>
    <col min="1" max="1" width="21.26953125" bestFit="1" customWidth="1"/>
    <col min="2" max="2" width="14.36328125" bestFit="1" customWidth="1"/>
    <col min="3" max="3" width="54.54296875" bestFit="1" customWidth="1"/>
    <col min="4" max="4" width="17.7265625" bestFit="1" customWidth="1"/>
  </cols>
  <sheetData>
    <row r="1" spans="1:4" ht="18.5" x14ac:dyDescent="0.45">
      <c r="A1" s="1" t="s">
        <v>177</v>
      </c>
      <c r="B1" s="1" t="s">
        <v>178</v>
      </c>
      <c r="C1" s="1" t="s">
        <v>179</v>
      </c>
      <c r="D1" s="1" t="s">
        <v>180</v>
      </c>
    </row>
    <row r="2" spans="1:4" x14ac:dyDescent="0.35">
      <c r="A2" t="s">
        <v>181</v>
      </c>
      <c r="B2" t="s">
        <v>3</v>
      </c>
      <c r="C2" t="s">
        <v>182</v>
      </c>
      <c r="D2" t="s">
        <v>183</v>
      </c>
    </row>
    <row r="3" spans="1:4" x14ac:dyDescent="0.35">
      <c r="A3" t="s">
        <v>181</v>
      </c>
      <c r="B3" t="s">
        <v>4</v>
      </c>
      <c r="C3" t="s">
        <v>182</v>
      </c>
      <c r="D3" t="s">
        <v>184</v>
      </c>
    </row>
    <row r="4" spans="1:4" x14ac:dyDescent="0.35">
      <c r="A4" t="s">
        <v>185</v>
      </c>
      <c r="B4" t="s">
        <v>186</v>
      </c>
      <c r="C4" t="s">
        <v>205</v>
      </c>
      <c r="D4" t="s">
        <v>187</v>
      </c>
    </row>
    <row r="5" spans="1:4" x14ac:dyDescent="0.35">
      <c r="A5" t="s">
        <v>188</v>
      </c>
      <c r="B5" t="s">
        <v>3</v>
      </c>
      <c r="C5" t="s">
        <v>189</v>
      </c>
      <c r="D5" t="s">
        <v>190</v>
      </c>
    </row>
    <row r="6" spans="1:4" x14ac:dyDescent="0.35">
      <c r="A6" t="s">
        <v>188</v>
      </c>
      <c r="B6" t="s">
        <v>4</v>
      </c>
      <c r="C6" t="s">
        <v>189</v>
      </c>
      <c r="D6" t="s">
        <v>190</v>
      </c>
    </row>
    <row r="7" spans="1:4" x14ac:dyDescent="0.35">
      <c r="A7" t="s">
        <v>191</v>
      </c>
      <c r="B7" t="s">
        <v>3</v>
      </c>
      <c r="C7" t="s">
        <v>192</v>
      </c>
      <c r="D7" t="s">
        <v>193</v>
      </c>
    </row>
    <row r="8" spans="1:4" x14ac:dyDescent="0.35">
      <c r="A8" t="s">
        <v>191</v>
      </c>
      <c r="B8" t="s">
        <v>4</v>
      </c>
      <c r="C8" t="s">
        <v>192</v>
      </c>
      <c r="D8" t="s">
        <v>193</v>
      </c>
    </row>
    <row r="9" spans="1:4" x14ac:dyDescent="0.35">
      <c r="A9" t="s">
        <v>194</v>
      </c>
      <c r="B9" t="s">
        <v>6</v>
      </c>
      <c r="C9" t="s">
        <v>195</v>
      </c>
      <c r="D9" t="s">
        <v>196</v>
      </c>
    </row>
    <row r="10" spans="1:4" x14ac:dyDescent="0.35">
      <c r="A10" t="s">
        <v>197</v>
      </c>
      <c r="B10" t="s">
        <v>4</v>
      </c>
      <c r="C10" t="s">
        <v>182</v>
      </c>
      <c r="D10" t="s">
        <v>184</v>
      </c>
    </row>
    <row r="11" spans="1:4" x14ac:dyDescent="0.35">
      <c r="A11" t="s">
        <v>198</v>
      </c>
      <c r="B11" t="s">
        <v>6</v>
      </c>
      <c r="C11" t="s">
        <v>199</v>
      </c>
      <c r="D11" t="s">
        <v>200</v>
      </c>
    </row>
    <row r="12" spans="1:4" x14ac:dyDescent="0.35">
      <c r="A12" t="s">
        <v>201</v>
      </c>
      <c r="B12" t="s">
        <v>2</v>
      </c>
      <c r="C12" t="s">
        <v>182</v>
      </c>
      <c r="D12" t="s">
        <v>202</v>
      </c>
    </row>
    <row r="13" spans="1:4" x14ac:dyDescent="0.35">
      <c r="A13" t="s">
        <v>203</v>
      </c>
      <c r="B13" t="s">
        <v>8</v>
      </c>
      <c r="C13" t="s">
        <v>182</v>
      </c>
      <c r="D13" t="s">
        <v>204</v>
      </c>
    </row>
  </sheetData>
  <conditionalFormatting sqref="A1:D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E888-CA65-4EBC-9042-883E99F9B373}">
  <dimension ref="A1:I121"/>
  <sheetViews>
    <sheetView topLeftCell="A22" workbookViewId="0">
      <selection activeCell="D2" sqref="D2"/>
    </sheetView>
  </sheetViews>
  <sheetFormatPr defaultRowHeight="14.5" x14ac:dyDescent="0.35"/>
  <cols>
    <col min="1" max="1" width="10" bestFit="1" customWidth="1"/>
    <col min="2" max="2" width="15.08984375" bestFit="1" customWidth="1"/>
    <col min="3" max="3" width="18.26953125" bestFit="1" customWidth="1"/>
    <col min="4" max="4" width="12.6328125" bestFit="1" customWidth="1"/>
    <col min="5" max="5" width="11.08984375" bestFit="1" customWidth="1"/>
    <col min="6" max="6" width="8.26953125" bestFit="1" customWidth="1"/>
    <col min="7" max="7" width="10.36328125" bestFit="1" customWidth="1"/>
    <col min="8" max="8" width="11.36328125" bestFit="1" customWidth="1"/>
    <col min="9" max="9" width="10.1796875" bestFit="1" customWidth="1"/>
  </cols>
  <sheetData>
    <row r="1" spans="1: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46085</v>
      </c>
      <c r="C2" t="str">
        <f>IF('Uncleaned Data'!C2="","Unknown",PROPER(TRIM(CLEAN(SUBSTITUTE('Uncleaned Data'!C2,CHAR(160)," ")))))</f>
        <v>Meena Joshi</v>
      </c>
      <c r="D2" t="str">
        <f>IF('Uncleaned Data'!D2="","Unknown",PROPER(TRIM(CLEAN(SUBSTITUTE('Uncleaned Data'!D2,CHAR(160)," ")))))</f>
        <v>Smartphone</v>
      </c>
      <c r="E2" t="str">
        <f>IF('Uncleaned Data'!E2="","Unknown",PROPER(TRIM(CLEAN(SUBSTITUTE('Uncleaned Data'!E2,CHAR(160)," ")))))</f>
        <v>Electronics</v>
      </c>
      <c r="F2" t="str">
        <f>IF('Uncleaned Data'!F2="","Unknown",PROPER(TRIM(CLEAN(SUBSTITUTE('Uncleaned Data'!F2,CHAR(160)," ")))))</f>
        <v>South</v>
      </c>
      <c r="G2">
        <f>IF('Uncleaned Data'!G2="","",IF('Uncleaned Data'!G2&lt;=0,"", 'Uncleaned Data'!G2))</f>
        <v>1</v>
      </c>
      <c r="H2">
        <f>IF('Uncleaned Data'!H2="","",'Uncleaned Data'!H2)</f>
        <v>29352.68</v>
      </c>
      <c r="I2">
        <f t="shared" ref="I2:I33" si="0">IF(OR(G2="",H2=""),"",G2*H2)</f>
        <v>29352.68</v>
      </c>
    </row>
    <row r="3" spans="1:9" x14ac:dyDescent="0.35">
      <c r="A3" t="s">
        <v>14</v>
      </c>
      <c r="B3" s="2">
        <v>46131</v>
      </c>
      <c r="C3" t="str">
        <f>IF('Uncleaned Data'!C3="","Unknown",PROPER(TRIM(CLEAN(SUBSTITUTE('Uncleaned Data'!C3,CHAR(160)," ")))))</f>
        <v>Priya Reddy</v>
      </c>
      <c r="D3" t="str">
        <f>IF('Uncleaned Data'!D3="","Unknown",PROPER(TRIM(CLEAN(SUBSTITUTE('Uncleaned Data'!D3,CHAR(160)," ")))))</f>
        <v>Smartphone</v>
      </c>
      <c r="E3" t="str">
        <f>IF('Uncleaned Data'!E3="","Unknown",PROPER(TRIM(CLEAN(SUBSTITUTE('Uncleaned Data'!E3,CHAR(160)," ")))))</f>
        <v>Electronics</v>
      </c>
      <c r="F3" t="str">
        <f>IF('Uncleaned Data'!F3="","Unknown",PROPER(TRIM(CLEAN(SUBSTITUTE('Uncleaned Data'!F3,CHAR(160)," ")))))</f>
        <v>North</v>
      </c>
      <c r="G3">
        <f>IF('Uncleaned Data'!G3="","",IF('Uncleaned Data'!G3&lt;=0,"", 'Uncleaned Data'!G3))</f>
        <v>5</v>
      </c>
      <c r="H3">
        <f>IF('Uncleaned Data'!H3="","",'Uncleaned Data'!H3)</f>
        <v>25686.86</v>
      </c>
      <c r="I3">
        <f t="shared" si="0"/>
        <v>128434.3</v>
      </c>
    </row>
    <row r="4" spans="1:9" x14ac:dyDescent="0.35">
      <c r="A4" t="s">
        <v>17</v>
      </c>
      <c r="B4" s="2">
        <v>46177</v>
      </c>
      <c r="C4" t="str">
        <f>IF('Uncleaned Data'!C4="","Unknown",PROPER(TRIM(CLEAN(SUBSTITUTE('Uncleaned Data'!C4,CHAR(160)," ")))))</f>
        <v>Rahul Sharma</v>
      </c>
      <c r="D4" t="str">
        <f>IF('Uncleaned Data'!D4="","Unknown",PROPER(TRIM(CLEAN(SUBSTITUTE('Uncleaned Data'!D4,CHAR(160)," ")))))</f>
        <v>Smartphone</v>
      </c>
      <c r="E4" t="str">
        <f>IF('Uncleaned Data'!E4="","Unknown",PROPER(TRIM(CLEAN(SUBSTITUTE('Uncleaned Data'!E4,CHAR(160)," ")))))</f>
        <v>Electronics</v>
      </c>
      <c r="F4" t="str">
        <f>IF('Uncleaned Data'!F4="","Unknown",PROPER(TRIM(CLEAN(SUBSTITUTE('Uncleaned Data'!F4,CHAR(160)," ")))))</f>
        <v>Central</v>
      </c>
      <c r="G4">
        <f>IF('Uncleaned Data'!G4="","",IF('Uncleaned Data'!G4&lt;=0,"", 'Uncleaned Data'!G4))</f>
        <v>2</v>
      </c>
      <c r="H4">
        <f>IF('Uncleaned Data'!H4="","",'Uncleaned Data'!H4)</f>
        <v>26502.9</v>
      </c>
      <c r="I4">
        <f t="shared" si="0"/>
        <v>53005.8</v>
      </c>
    </row>
    <row r="5" spans="1:9" x14ac:dyDescent="0.35">
      <c r="A5" t="s">
        <v>21</v>
      </c>
      <c r="B5" s="2">
        <v>46137</v>
      </c>
      <c r="C5" t="str">
        <f>IF('Uncleaned Data'!C5="","Unknown",PROPER(TRIM(CLEAN(SUBSTITUTE('Uncleaned Data'!C5,CHAR(160)," ")))))</f>
        <v>Nikhil Jain</v>
      </c>
      <c r="D5" t="str">
        <f>IF('Uncleaned Data'!D5="","Unknown",PROPER(TRIM(CLEAN(SUBSTITUTE('Uncleaned Data'!D5,CHAR(160)," ")))))</f>
        <v>Monitor</v>
      </c>
      <c r="E5" t="str">
        <f>IF('Uncleaned Data'!E5="","Unknown",PROPER(TRIM(CLEAN(SUBSTITUTE('Uncleaned Data'!E5,CHAR(160)," ")))))</f>
        <v>Electronics</v>
      </c>
      <c r="F5" t="str">
        <f>IF('Uncleaned Data'!F5="","Unknown",PROPER(TRIM(CLEAN(SUBSTITUTE('Uncleaned Data'!F5,CHAR(160)," ")))))</f>
        <v>East</v>
      </c>
      <c r="G5">
        <f>IF('Uncleaned Data'!G5="","",IF('Uncleaned Data'!G5&lt;=0,"", 'Uncleaned Data'!G5))</f>
        <v>5</v>
      </c>
      <c r="H5">
        <f>IF('Uncleaned Data'!H5="","",'Uncleaned Data'!H5)</f>
        <v>14758.56</v>
      </c>
      <c r="I5">
        <f t="shared" si="0"/>
        <v>73792.800000000003</v>
      </c>
    </row>
    <row r="6" spans="1:9" x14ac:dyDescent="0.35">
      <c r="A6" t="s">
        <v>25</v>
      </c>
      <c r="B6" s="2">
        <v>46110</v>
      </c>
      <c r="C6" t="str">
        <f>IF('Uncleaned Data'!C6="","Unknown",PROPER(TRIM(CLEAN(SUBSTITUTE('Uncleaned Data'!C6,CHAR(160)," ")))))</f>
        <v>Rohit Verma</v>
      </c>
      <c r="D6" t="str">
        <f>IF('Uncleaned Data'!D6="","Unknown",PROPER(TRIM(CLEAN(SUBSTITUTE('Uncleaned Data'!D6,CHAR(160)," ")))))</f>
        <v>Unknown</v>
      </c>
      <c r="E6" t="str">
        <f>IF('Uncleaned Data'!E6="","Unknown",PROPER(TRIM(CLEAN(SUBSTITUTE('Uncleaned Data'!E6,CHAR(160)," ")))))</f>
        <v>Electronics</v>
      </c>
      <c r="F6" t="str">
        <f>IF('Uncleaned Data'!F6="","Unknown",PROPER(TRIM(CLEAN(SUBSTITUTE('Uncleaned Data'!F6,CHAR(160)," ")))))</f>
        <v>South</v>
      </c>
      <c r="G6">
        <f>IF('Uncleaned Data'!G6="","",IF('Uncleaned Data'!G6&lt;=0,"", 'Uncleaned Data'!G6))</f>
        <v>2</v>
      </c>
      <c r="H6">
        <f>IF('Uncleaned Data'!H6="","",'Uncleaned Data'!H6)</f>
        <v>57179.53</v>
      </c>
      <c r="I6">
        <f t="shared" si="0"/>
        <v>114359.06</v>
      </c>
    </row>
    <row r="7" spans="1:9" x14ac:dyDescent="0.35">
      <c r="A7" t="s">
        <v>27</v>
      </c>
      <c r="B7" s="2">
        <v>46120</v>
      </c>
      <c r="C7" t="str">
        <f>IF('Uncleaned Data'!C7="","Unknown",PROPER(TRIM(CLEAN(SUBSTITUTE('Uncleaned Data'!C7,CHAR(160)," ")))))</f>
        <v>Sneha Patel</v>
      </c>
      <c r="D7" t="str">
        <f>IF('Uncleaned Data'!D7="","Unknown",PROPER(TRIM(CLEAN(SUBSTITUTE('Uncleaned Data'!D7,CHAR(160)," ")))))</f>
        <v>Monitor</v>
      </c>
      <c r="E7" t="str">
        <f>IF('Uncleaned Data'!E7="","Unknown",PROPER(TRIM(CLEAN(SUBSTITUTE('Uncleaned Data'!E7,CHAR(160)," ")))))</f>
        <v>Electronics</v>
      </c>
      <c r="F7" t="str">
        <f>IF('Uncleaned Data'!F7="","Unknown",PROPER(TRIM(CLEAN(SUBSTITUTE('Uncleaned Data'!F7,CHAR(160)," ")))))</f>
        <v>East</v>
      </c>
      <c r="G7">
        <f>IF('Uncleaned Data'!G7="","",IF('Uncleaned Data'!G7&lt;=0,"", 'Uncleaned Data'!G7))</f>
        <v>3</v>
      </c>
      <c r="H7">
        <f>IF('Uncleaned Data'!H7="","",'Uncleaned Data'!H7)</f>
        <v>13806.63</v>
      </c>
      <c r="I7">
        <f t="shared" si="0"/>
        <v>41419.89</v>
      </c>
    </row>
    <row r="8" spans="1:9" x14ac:dyDescent="0.35">
      <c r="A8" t="s">
        <v>29</v>
      </c>
      <c r="B8" s="2">
        <v>46034</v>
      </c>
      <c r="C8" t="str">
        <f>IF('Uncleaned Data'!C8="","Unknown",PROPER(TRIM(CLEAN(SUBSTITUTE('Uncleaned Data'!C8,CHAR(160)," ")))))</f>
        <v>Manoj Reddy</v>
      </c>
      <c r="D8" t="str">
        <f>IF('Uncleaned Data'!D8="","Unknown",PROPER(TRIM(CLEAN(SUBSTITUTE('Uncleaned Data'!D8,CHAR(160)," ")))))</f>
        <v>Mouse</v>
      </c>
      <c r="E8" t="str">
        <f>IF('Uncleaned Data'!E8="","Unknown",PROPER(TRIM(CLEAN(SUBSTITUTE('Uncleaned Data'!E8,CHAR(160)," ")))))</f>
        <v>Accessories</v>
      </c>
      <c r="F8" t="str">
        <f>IF('Uncleaned Data'!F8="","Unknown",PROPER(TRIM(CLEAN(SUBSTITUTE('Uncleaned Data'!F8,CHAR(160)," ")))))</f>
        <v>Central</v>
      </c>
      <c r="G8">
        <f>IF('Uncleaned Data'!G8="","",IF('Uncleaned Data'!G8&lt;=0,"", 'Uncleaned Data'!G8))</f>
        <v>5</v>
      </c>
      <c r="H8">
        <f>IF('Uncleaned Data'!H8="","",'Uncleaned Data'!H8)</f>
        <v>857.61</v>
      </c>
      <c r="I8">
        <f t="shared" si="0"/>
        <v>4288.05</v>
      </c>
    </row>
    <row r="9" spans="1:9" x14ac:dyDescent="0.35">
      <c r="A9" t="s">
        <v>33</v>
      </c>
      <c r="B9" s="2">
        <v>46098</v>
      </c>
      <c r="C9" t="str">
        <f>IF('Uncleaned Data'!C9="","Unknown",PROPER(TRIM(CLEAN(SUBSTITUTE('Uncleaned Data'!C9,CHAR(160)," ")))))</f>
        <v>Lakshmi Devi</v>
      </c>
      <c r="D9" t="str">
        <f>IF('Uncleaned Data'!D9="","Unknown",PROPER(TRIM(CLEAN(SUBSTITUTE('Uncleaned Data'!D9,CHAR(160)," ")))))</f>
        <v>Smartphone</v>
      </c>
      <c r="E9" t="str">
        <f>IF('Uncleaned Data'!E9="","Unknown",PROPER(TRIM(CLEAN(SUBSTITUTE('Uncleaned Data'!E9,CHAR(160)," ")))))</f>
        <v>Electronics</v>
      </c>
      <c r="F9" t="str">
        <f>IF('Uncleaned Data'!F9="","Unknown",PROPER(TRIM(CLEAN(SUBSTITUTE('Uncleaned Data'!F9,CHAR(160)," ")))))</f>
        <v>East</v>
      </c>
      <c r="G9">
        <f>IF('Uncleaned Data'!G9="","",IF('Uncleaned Data'!G9&lt;=0,"", 'Uncleaned Data'!G9))</f>
        <v>4</v>
      </c>
      <c r="H9">
        <f>IF('Uncleaned Data'!H9="","",'Uncleaned Data'!H9)</f>
        <v>25641.279999999999</v>
      </c>
      <c r="I9">
        <f t="shared" si="0"/>
        <v>102565.12</v>
      </c>
    </row>
    <row r="10" spans="1:9" x14ac:dyDescent="0.35">
      <c r="A10" t="s">
        <v>35</v>
      </c>
      <c r="B10" s="2">
        <v>46034</v>
      </c>
      <c r="C10" t="str">
        <f>IF('Uncleaned Data'!C10="","Unknown",PROPER(TRIM(CLEAN(SUBSTITUTE('Uncleaned Data'!C10,CHAR(160)," ")))))</f>
        <v>Meena Joshi</v>
      </c>
      <c r="D10" t="str">
        <f>IF('Uncleaned Data'!D10="","Unknown",PROPER(TRIM(CLEAN(SUBSTITUTE('Uncleaned Data'!D10,CHAR(160)," ")))))</f>
        <v>Printer</v>
      </c>
      <c r="E10" t="str">
        <f>IF('Uncleaned Data'!E10="","Unknown",PROPER(TRIM(CLEAN(SUBSTITUTE('Uncleaned Data'!E10,CHAR(160)," ")))))</f>
        <v>Electronics</v>
      </c>
      <c r="F10" t="str">
        <f>IF('Uncleaned Data'!F10="","Unknown",PROPER(TRIM(CLEAN(SUBSTITUTE('Uncleaned Data'!F10,CHAR(160)," ")))))</f>
        <v>East</v>
      </c>
      <c r="G10">
        <f>IF('Uncleaned Data'!G10="","",IF('Uncleaned Data'!G10&lt;=0,"", 'Uncleaned Data'!G10))</f>
        <v>2</v>
      </c>
      <c r="H10">
        <f>IF('Uncleaned Data'!H10="","",'Uncleaned Data'!H10)</f>
        <v>12490.97</v>
      </c>
      <c r="I10">
        <f t="shared" si="0"/>
        <v>24981.94</v>
      </c>
    </row>
    <row r="11" spans="1:9" x14ac:dyDescent="0.35">
      <c r="A11" t="s">
        <v>37</v>
      </c>
      <c r="B11" s="2">
        <v>46120</v>
      </c>
      <c r="C11" t="str">
        <f>IF('Uncleaned Data'!C11="","Unknown",PROPER(TRIM(CLEAN(SUBSTITUTE('Uncleaned Data'!C11,CHAR(160)," ")))))</f>
        <v>Rohit Verma</v>
      </c>
      <c r="D11" t="str">
        <f>IF('Uncleaned Data'!D11="","Unknown",PROPER(TRIM(CLEAN(SUBSTITUTE('Uncleaned Data'!D11,CHAR(160)," ")))))</f>
        <v>Smartphone</v>
      </c>
      <c r="E11" t="str">
        <f>IF('Uncleaned Data'!E11="","Unknown",PROPER(TRIM(CLEAN(SUBSTITUTE('Uncleaned Data'!E11,CHAR(160)," ")))))</f>
        <v>Electronics</v>
      </c>
      <c r="F11" t="str">
        <f>IF('Uncleaned Data'!F11="","Unknown",PROPER(TRIM(CLEAN(SUBSTITUTE('Uncleaned Data'!F11,CHAR(160)," ")))))</f>
        <v>West</v>
      </c>
      <c r="G11">
        <f>IF('Uncleaned Data'!G11="","",IF('Uncleaned Data'!G11&lt;=0,"", 'Uncleaned Data'!G11))</f>
        <v>2</v>
      </c>
      <c r="H11">
        <f>IF('Uncleaned Data'!H11="","",'Uncleaned Data'!H11)</f>
        <v>30052.31</v>
      </c>
      <c r="I11">
        <f t="shared" si="0"/>
        <v>60104.62</v>
      </c>
    </row>
    <row r="12" spans="1:9" x14ac:dyDescent="0.35">
      <c r="A12" t="s">
        <v>39</v>
      </c>
      <c r="B12" s="2">
        <v>46076</v>
      </c>
      <c r="C12" t="str">
        <f>IF('Uncleaned Data'!C12="","Unknown",PROPER(TRIM(CLEAN(SUBSTITUTE('Uncleaned Data'!C12,CHAR(160)," ")))))</f>
        <v>Rohit Verma</v>
      </c>
      <c r="D12" t="str">
        <f>IF('Uncleaned Data'!D12="","Unknown",PROPER(TRIM(CLEAN(SUBSTITUTE('Uncleaned Data'!D12,CHAR(160)," ")))))</f>
        <v>Mouse</v>
      </c>
      <c r="E12" t="str">
        <f>IF('Uncleaned Data'!E12="","Unknown",PROPER(TRIM(CLEAN(SUBSTITUTE('Uncleaned Data'!E12,CHAR(160)," ")))))</f>
        <v>Unknown</v>
      </c>
      <c r="F12" t="str">
        <f>IF('Uncleaned Data'!F12="","Unknown",PROPER(TRIM(CLEAN(SUBSTITUTE('Uncleaned Data'!F12,CHAR(160)," ")))))</f>
        <v>North</v>
      </c>
      <c r="G12">
        <f>IF('Uncleaned Data'!G12="","",IF('Uncleaned Data'!G12&lt;=0,"", 'Uncleaned Data'!G12))</f>
        <v>2</v>
      </c>
      <c r="H12">
        <f>IF('Uncleaned Data'!H12="","",'Uncleaned Data'!H12)</f>
        <v>876.63</v>
      </c>
      <c r="I12">
        <f t="shared" si="0"/>
        <v>1753.26</v>
      </c>
    </row>
    <row r="13" spans="1:9" x14ac:dyDescent="0.35">
      <c r="A13" t="s">
        <v>41</v>
      </c>
      <c r="B13" s="2">
        <v>46085</v>
      </c>
      <c r="C13" t="str">
        <f>IF('Uncleaned Data'!C13="","Unknown",PROPER(TRIM(CLEAN(SUBSTITUTE('Uncleaned Data'!C13,CHAR(160)," ")))))</f>
        <v>Ananya Rao</v>
      </c>
      <c r="D13" t="str">
        <f>IF('Uncleaned Data'!D13="","Unknown",PROPER(TRIM(CLEAN(SUBSTITUTE('Uncleaned Data'!D13,CHAR(160)," ")))))</f>
        <v>Printer</v>
      </c>
      <c r="E13" t="str">
        <f>IF('Uncleaned Data'!E13="","Unknown",PROPER(TRIM(CLEAN(SUBSTITUTE('Uncleaned Data'!E13,CHAR(160)," ")))))</f>
        <v>Electronics</v>
      </c>
      <c r="F13" t="str">
        <f>IF('Uncleaned Data'!F13="","Unknown",PROPER(TRIM(CLEAN(SUBSTITUTE('Uncleaned Data'!F13,CHAR(160)," ")))))</f>
        <v>West</v>
      </c>
      <c r="G13">
        <f>IF('Uncleaned Data'!G13="","",IF('Uncleaned Data'!G13&lt;=0,"", 'Uncleaned Data'!G13))</f>
        <v>2</v>
      </c>
      <c r="H13">
        <f>IF('Uncleaned Data'!H13="","",'Uncleaned Data'!H13)</f>
        <v>12081.94</v>
      </c>
      <c r="I13">
        <f t="shared" si="0"/>
        <v>24163.88</v>
      </c>
    </row>
    <row r="14" spans="1:9" x14ac:dyDescent="0.35">
      <c r="A14" t="s">
        <v>43</v>
      </c>
      <c r="B14" s="2">
        <v>46186</v>
      </c>
      <c r="C14" t="str">
        <f>IF('Uncleaned Data'!C14="","Unknown",PROPER(TRIM(CLEAN(SUBSTITUTE('Uncleaned Data'!C14,CHAR(160)," ")))))</f>
        <v>Swathi Das</v>
      </c>
      <c r="D14" t="str">
        <f>IF('Uncleaned Data'!D14="","Unknown",PROPER(TRIM(CLEAN(SUBSTITUTE('Uncleaned Data'!D14,CHAR(160)," ")))))</f>
        <v>Office Chair</v>
      </c>
      <c r="E14" t="str">
        <f>IF('Uncleaned Data'!E14="","Unknown",PROPER(TRIM(CLEAN(SUBSTITUTE('Uncleaned Data'!E14,CHAR(160)," ")))))</f>
        <v>Furniture</v>
      </c>
      <c r="F14" t="str">
        <f>IF('Uncleaned Data'!F14="","Unknown",PROPER(TRIM(CLEAN(SUBSTITUTE('Uncleaned Data'!F14,CHAR(160)," ")))))</f>
        <v>South</v>
      </c>
      <c r="G14">
        <f>IF('Uncleaned Data'!G14="","",IF('Uncleaned Data'!G14&lt;=0,"", 'Uncleaned Data'!G14))</f>
        <v>3</v>
      </c>
      <c r="H14">
        <f>IF('Uncleaned Data'!H14="","",'Uncleaned Data'!H14)</f>
        <v>9332.19</v>
      </c>
      <c r="I14">
        <f t="shared" si="0"/>
        <v>27996.57</v>
      </c>
    </row>
    <row r="15" spans="1:9" x14ac:dyDescent="0.35">
      <c r="A15" t="s">
        <v>47</v>
      </c>
      <c r="B15" s="2">
        <v>46031</v>
      </c>
      <c r="C15" t="str">
        <f>IF('Uncleaned Data'!C15="","Unknown",PROPER(TRIM(CLEAN(SUBSTITUTE('Uncleaned Data'!C15,CHAR(160)," ")))))</f>
        <v>Suresh Nair</v>
      </c>
      <c r="D15" t="str">
        <f>IF('Uncleaned Data'!D15="","Unknown",PROPER(TRIM(CLEAN(SUBSTITUTE('Uncleaned Data'!D15,CHAR(160)," ")))))</f>
        <v>Mouse</v>
      </c>
      <c r="E15" t="str">
        <f>IF('Uncleaned Data'!E15="","Unknown",PROPER(TRIM(CLEAN(SUBSTITUTE('Uncleaned Data'!E15,CHAR(160)," ")))))</f>
        <v>Accessories</v>
      </c>
      <c r="F15" t="str">
        <f>IF('Uncleaned Data'!F15="","Unknown",PROPER(TRIM(CLEAN(SUBSTITUTE('Uncleaned Data'!F15,CHAR(160)," ")))))</f>
        <v>West</v>
      </c>
      <c r="G15">
        <f>IF('Uncleaned Data'!G15="","",IF('Uncleaned Data'!G15&lt;=0,"", 'Uncleaned Data'!G15))</f>
        <v>1</v>
      </c>
      <c r="H15">
        <f>IF('Uncleaned Data'!H15="","",'Uncleaned Data'!H15)</f>
        <v>851.23</v>
      </c>
      <c r="I15">
        <f t="shared" si="0"/>
        <v>851.23</v>
      </c>
    </row>
    <row r="16" spans="1:9" x14ac:dyDescent="0.35">
      <c r="A16" t="s">
        <v>49</v>
      </c>
      <c r="B16" s="2">
        <v>46264</v>
      </c>
      <c r="C16" t="str">
        <f>IF('Uncleaned Data'!C16="","Unknown",PROPER(TRIM(CLEAN(SUBSTITUTE('Uncleaned Data'!C16,CHAR(160)," ")))))</f>
        <v>Nikhil Jain</v>
      </c>
      <c r="D16" t="str">
        <f>IF('Uncleaned Data'!D16="","Unknown",PROPER(TRIM(CLEAN(SUBSTITUTE('Uncleaned Data'!D16,CHAR(160)," ")))))</f>
        <v>Keyboard</v>
      </c>
      <c r="E16" t="str">
        <f>IF('Uncleaned Data'!E16="","Unknown",PROPER(TRIM(CLEAN(SUBSTITUTE('Uncleaned Data'!E16,CHAR(160)," ")))))</f>
        <v>Accessories</v>
      </c>
      <c r="F16" t="str">
        <f>IF('Uncleaned Data'!F16="","Unknown",PROPER(TRIM(CLEAN(SUBSTITUTE('Uncleaned Data'!F16,CHAR(160)," ")))))</f>
        <v>East</v>
      </c>
      <c r="G16">
        <f>IF('Uncleaned Data'!G16="","",IF('Uncleaned Data'!G16&lt;=0,"", 'Uncleaned Data'!G16))</f>
        <v>1</v>
      </c>
      <c r="H16">
        <f>IF('Uncleaned Data'!H16="","",'Uncleaned Data'!H16)</f>
        <v>1695.95</v>
      </c>
      <c r="I16">
        <f t="shared" si="0"/>
        <v>1695.95</v>
      </c>
    </row>
    <row r="17" spans="1:9" x14ac:dyDescent="0.35">
      <c r="A17" t="s">
        <v>51</v>
      </c>
      <c r="B17" s="2">
        <v>46257</v>
      </c>
      <c r="C17" t="str">
        <f>IF('Uncleaned Data'!C17="","Unknown",PROPER(TRIM(CLEAN(SUBSTITUTE('Uncleaned Data'!C17,CHAR(160)," ")))))</f>
        <v>Unknown</v>
      </c>
      <c r="D17" t="str">
        <f>IF('Uncleaned Data'!D17="","Unknown",PROPER(TRIM(CLEAN(SUBSTITUTE('Uncleaned Data'!D17,CHAR(160)," ")))))</f>
        <v>Monitor</v>
      </c>
      <c r="E17" t="str">
        <f>IF('Uncleaned Data'!E17="","Unknown",PROPER(TRIM(CLEAN(SUBSTITUTE('Uncleaned Data'!E17,CHAR(160)," ")))))</f>
        <v>Electronics</v>
      </c>
      <c r="F17" t="str">
        <f>IF('Uncleaned Data'!F17="","Unknown",PROPER(TRIM(CLEAN(SUBSTITUTE('Uncleaned Data'!F17,CHAR(160)," ")))))</f>
        <v>South</v>
      </c>
      <c r="G17">
        <f>IF('Uncleaned Data'!G17="","",IF('Uncleaned Data'!G17&lt;=0,"", 'Uncleaned Data'!G17))</f>
        <v>4</v>
      </c>
      <c r="H17">
        <f>IF('Uncleaned Data'!H17="","",'Uncleaned Data'!H17)</f>
        <v>14686.9</v>
      </c>
      <c r="I17">
        <f t="shared" si="0"/>
        <v>58747.6</v>
      </c>
    </row>
    <row r="18" spans="1:9" x14ac:dyDescent="0.35">
      <c r="A18" t="s">
        <v>52</v>
      </c>
      <c r="B18" s="2">
        <v>46166</v>
      </c>
      <c r="C18" t="str">
        <f>IF('Uncleaned Data'!C18="","Unknown",PROPER(TRIM(CLEAN(SUBSTITUTE('Uncleaned Data'!C18,CHAR(160)," ")))))</f>
        <v>Swathi Das</v>
      </c>
      <c r="D18" t="str">
        <f>IF('Uncleaned Data'!D18="","Unknown",PROPER(TRIM(CLEAN(SUBSTITUTE('Uncleaned Data'!D18,CHAR(160)," ")))))</f>
        <v>Keyboard</v>
      </c>
      <c r="E18" t="str">
        <f>IF('Uncleaned Data'!E18="","Unknown",PROPER(TRIM(CLEAN(SUBSTITUTE('Uncleaned Data'!E18,CHAR(160)," ")))))</f>
        <v>Accessories</v>
      </c>
      <c r="F18" t="str">
        <f>IF('Uncleaned Data'!F18="","Unknown",PROPER(TRIM(CLEAN(SUBSTITUTE('Uncleaned Data'!F18,CHAR(160)," ")))))</f>
        <v>East</v>
      </c>
      <c r="G18">
        <f>IF('Uncleaned Data'!G18="","",IF('Uncleaned Data'!G18&lt;=0,"", 'Uncleaned Data'!G18))</f>
        <v>2</v>
      </c>
      <c r="H18">
        <f>IF('Uncleaned Data'!H18="","",'Uncleaned Data'!H18)</f>
        <v>1708.79</v>
      </c>
      <c r="I18">
        <f t="shared" si="0"/>
        <v>3417.58</v>
      </c>
    </row>
    <row r="19" spans="1:9" x14ac:dyDescent="0.35">
      <c r="A19" t="s">
        <v>53</v>
      </c>
      <c r="B19" s="2">
        <v>46125</v>
      </c>
      <c r="C19" t="str">
        <f>IF('Uncleaned Data'!C19="","Unknown",PROPER(TRIM(CLEAN(SUBSTITUTE('Uncleaned Data'!C19,CHAR(160)," ")))))</f>
        <v>Pooja Iyer</v>
      </c>
      <c r="D19" t="str">
        <f>IF('Uncleaned Data'!D19="","Unknown",PROPER(TRIM(CLEAN(SUBSTITUTE('Uncleaned Data'!D19,CHAR(160)," ")))))</f>
        <v>Printer</v>
      </c>
      <c r="E19" t="str">
        <f>IF('Uncleaned Data'!E19="","Unknown",PROPER(TRIM(CLEAN(SUBSTITUTE('Uncleaned Data'!E19,CHAR(160)," ")))))</f>
        <v>Electronics</v>
      </c>
      <c r="F19" t="str">
        <f>IF('Uncleaned Data'!F19="","Unknown",PROPER(TRIM(CLEAN(SUBSTITUTE('Uncleaned Data'!F19,CHAR(160)," ")))))</f>
        <v>South</v>
      </c>
      <c r="G19">
        <f>IF('Uncleaned Data'!G19="","",IF('Uncleaned Data'!G19&lt;=0,"", 'Uncleaned Data'!G19))</f>
        <v>4</v>
      </c>
      <c r="H19">
        <f>IF('Uncleaned Data'!H19="","",'Uncleaned Data'!H19)</f>
        <v>12954.77</v>
      </c>
      <c r="I19">
        <f t="shared" si="0"/>
        <v>51819.08</v>
      </c>
    </row>
    <row r="20" spans="1:9" x14ac:dyDescent="0.35">
      <c r="A20" t="s">
        <v>55</v>
      </c>
      <c r="B20" s="2">
        <v>46216</v>
      </c>
      <c r="C20" t="str">
        <f>IF('Uncleaned Data'!C20="","Unknown",PROPER(TRIM(CLEAN(SUBSTITUTE('Uncleaned Data'!C20,CHAR(160)," ")))))</f>
        <v>Priya Reddy</v>
      </c>
      <c r="D20" t="str">
        <f>IF('Uncleaned Data'!D20="","Unknown",PROPER(TRIM(CLEAN(SUBSTITUTE('Uncleaned Data'!D20,CHAR(160)," ")))))</f>
        <v>Headphones</v>
      </c>
      <c r="E20" t="str">
        <f>IF('Uncleaned Data'!E20="","Unknown",PROPER(TRIM(CLEAN(SUBSTITUTE('Uncleaned Data'!E20,CHAR(160)," ")))))</f>
        <v>Electronics</v>
      </c>
      <c r="F20" t="str">
        <f>IF('Uncleaned Data'!F20="","Unknown",PROPER(TRIM(CLEAN(SUBSTITUTE('Uncleaned Data'!F20,CHAR(160)," ")))))</f>
        <v>North</v>
      </c>
      <c r="G20">
        <f>IF('Uncleaned Data'!G20="","",IF('Uncleaned Data'!G20&lt;=0,"", 'Uncleaned Data'!G20))</f>
        <v>5</v>
      </c>
      <c r="H20">
        <f>IF('Uncleaned Data'!H20="","",'Uncleaned Data'!H20)</f>
        <v>2496.7600000000002</v>
      </c>
      <c r="I20">
        <f t="shared" si="0"/>
        <v>12483.800000000001</v>
      </c>
    </row>
    <row r="21" spans="1:9" x14ac:dyDescent="0.35">
      <c r="A21" t="s">
        <v>57</v>
      </c>
      <c r="B21" s="2">
        <v>46131</v>
      </c>
      <c r="C21" t="str">
        <f>IF('Uncleaned Data'!C21="","Unknown",PROPER(TRIM(CLEAN(SUBSTITUTE('Uncleaned Data'!C21,CHAR(160)," ")))))</f>
        <v>Lakshmi Devi</v>
      </c>
      <c r="D21" t="str">
        <f>IF('Uncleaned Data'!D21="","Unknown",PROPER(TRIM(CLEAN(SUBSTITUTE('Uncleaned Data'!D21,CHAR(160)," ")))))</f>
        <v>Headphones</v>
      </c>
      <c r="E21" t="str">
        <f>IF('Uncleaned Data'!E21="","Unknown",PROPER(TRIM(CLEAN(SUBSTITUTE('Uncleaned Data'!E21,CHAR(160)," ")))))</f>
        <v>Electronics</v>
      </c>
      <c r="F21" t="str">
        <f>IF('Uncleaned Data'!F21="","Unknown",PROPER(TRIM(CLEAN(SUBSTITUTE('Uncleaned Data'!F21,CHAR(160)," ")))))</f>
        <v>North</v>
      </c>
      <c r="G21">
        <f>IF('Uncleaned Data'!G21="","",IF('Uncleaned Data'!G21&lt;=0,"", 'Uncleaned Data'!G21))</f>
        <v>2</v>
      </c>
      <c r="H21">
        <f>IF('Uncleaned Data'!H21="","",'Uncleaned Data'!H21)</f>
        <v>2646.04</v>
      </c>
      <c r="I21">
        <f t="shared" si="0"/>
        <v>5292.08</v>
      </c>
    </row>
    <row r="22" spans="1:9" x14ac:dyDescent="0.35">
      <c r="A22" t="s">
        <v>59</v>
      </c>
      <c r="B22" s="2">
        <v>46142</v>
      </c>
      <c r="C22" t="str">
        <f>IF('Uncleaned Data'!C22="","Unknown",PROPER(TRIM(CLEAN(SUBSTITUTE('Uncleaned Data'!C22,CHAR(160)," ")))))</f>
        <v>Ravi Kumar</v>
      </c>
      <c r="D22" t="str">
        <f>IF('Uncleaned Data'!D22="","Unknown",PROPER(TRIM(CLEAN(SUBSTITUTE('Uncleaned Data'!D22,CHAR(160)," ")))))</f>
        <v>Office Chair</v>
      </c>
      <c r="E22" t="str">
        <f>IF('Uncleaned Data'!E22="","Unknown",PROPER(TRIM(CLEAN(SUBSTITUTE('Uncleaned Data'!E22,CHAR(160)," ")))))</f>
        <v>Furniture</v>
      </c>
      <c r="F22" t="str">
        <f>IF('Uncleaned Data'!F22="","Unknown",PROPER(TRIM(CLEAN(SUBSTITUTE('Uncleaned Data'!F22,CHAR(160)," ")))))</f>
        <v>East</v>
      </c>
      <c r="G22" t="str">
        <f>IF('Uncleaned Data'!G22="","",IF('Uncleaned Data'!G22&lt;=0,"", 'Uncleaned Data'!G22))</f>
        <v/>
      </c>
      <c r="H22">
        <f>IF('Uncleaned Data'!H22="","",'Uncleaned Data'!H22)</f>
        <v>8663.01</v>
      </c>
      <c r="I22" t="str">
        <f t="shared" si="0"/>
        <v/>
      </c>
    </row>
    <row r="23" spans="1:9" x14ac:dyDescent="0.35">
      <c r="A23" t="s">
        <v>61</v>
      </c>
      <c r="B23" s="2">
        <v>46052</v>
      </c>
      <c r="C23" t="str">
        <f>IF('Uncleaned Data'!C23="","Unknown",PROPER(TRIM(CLEAN(SUBSTITUTE('Uncleaned Data'!C23,CHAR(160)," ")))))</f>
        <v>Swathi Das</v>
      </c>
      <c r="D23" t="str">
        <f>IF('Uncleaned Data'!D23="","Unknown",PROPER(TRIM(CLEAN(SUBSTITUTE('Uncleaned Data'!D23,CHAR(160)," ")))))</f>
        <v>Backpack</v>
      </c>
      <c r="E23" t="str">
        <f>IF('Uncleaned Data'!E23="","Unknown",PROPER(TRIM(CLEAN(SUBSTITUTE('Uncleaned Data'!E23,CHAR(160)," ")))))</f>
        <v>Accessories</v>
      </c>
      <c r="F23" t="str">
        <f>IF('Uncleaned Data'!F23="","Unknown",PROPER(TRIM(CLEAN(SUBSTITUTE('Uncleaned Data'!F23,CHAR(160)," ")))))</f>
        <v>East</v>
      </c>
      <c r="G23">
        <f>IF('Uncleaned Data'!G23="","",IF('Uncleaned Data'!G23&lt;=0,"", 'Uncleaned Data'!G23))</f>
        <v>1</v>
      </c>
      <c r="H23">
        <f>IF('Uncleaned Data'!H23="","",'Uncleaned Data'!H23)</f>
        <v>2279.3200000000002</v>
      </c>
      <c r="I23">
        <f t="shared" si="0"/>
        <v>2279.3200000000002</v>
      </c>
    </row>
    <row r="24" spans="1:9" x14ac:dyDescent="0.35">
      <c r="A24" t="s">
        <v>63</v>
      </c>
      <c r="B24" s="2">
        <v>46063</v>
      </c>
      <c r="C24" t="str">
        <f>IF('Uncleaned Data'!C24="","Unknown",PROPER(TRIM(CLEAN(SUBSTITUTE('Uncleaned Data'!C24,CHAR(160)," ")))))</f>
        <v>Manoj Reddy</v>
      </c>
      <c r="D24" t="str">
        <f>IF('Uncleaned Data'!D24="","Unknown",PROPER(TRIM(CLEAN(SUBSTITUTE('Uncleaned Data'!D24,CHAR(160)," ")))))</f>
        <v>Mouse</v>
      </c>
      <c r="E24" t="str">
        <f>IF('Uncleaned Data'!E24="","Unknown",PROPER(TRIM(CLEAN(SUBSTITUTE('Uncleaned Data'!E24,CHAR(160)," ")))))</f>
        <v>Accessories</v>
      </c>
      <c r="F24" t="str">
        <f>IF('Uncleaned Data'!F24="","Unknown",PROPER(TRIM(CLEAN(SUBSTITUTE('Uncleaned Data'!F24,CHAR(160)," ")))))</f>
        <v>North</v>
      </c>
      <c r="G24">
        <f>IF('Uncleaned Data'!G24="","",IF('Uncleaned Data'!G24&lt;=0,"", 'Uncleaned Data'!G24))</f>
        <v>1</v>
      </c>
      <c r="H24">
        <f>IF('Uncleaned Data'!H24="","",'Uncleaned Data'!H24)</f>
        <v>862.83</v>
      </c>
      <c r="I24">
        <f t="shared" si="0"/>
        <v>862.83</v>
      </c>
    </row>
    <row r="25" spans="1:9" x14ac:dyDescent="0.35">
      <c r="A25" t="s">
        <v>64</v>
      </c>
      <c r="B25" s="2">
        <v>46152</v>
      </c>
      <c r="C25" t="str">
        <f>IF('Uncleaned Data'!C25="","Unknown",PROPER(TRIM(CLEAN(SUBSTITUTE('Uncleaned Data'!C25,CHAR(160)," ")))))</f>
        <v>Sneha Patel</v>
      </c>
      <c r="D25" t="str">
        <f>IF('Uncleaned Data'!D25="","Unknown",PROPER(TRIM(CLEAN(SUBSTITUTE('Uncleaned Data'!D25,CHAR(160)," ")))))</f>
        <v>Keyboard</v>
      </c>
      <c r="E25" t="str">
        <f>IF('Uncleaned Data'!E25="","Unknown",PROPER(TRIM(CLEAN(SUBSTITUTE('Uncleaned Data'!E25,CHAR(160)," ")))))</f>
        <v>Accessories</v>
      </c>
      <c r="F25" t="str">
        <f>IF('Uncleaned Data'!F25="","Unknown",PROPER(TRIM(CLEAN(SUBSTITUTE('Uncleaned Data'!F25,CHAR(160)," ")))))</f>
        <v>East</v>
      </c>
      <c r="G25">
        <f>IF('Uncleaned Data'!G25="","",IF('Uncleaned Data'!G25&lt;=0,"", 'Uncleaned Data'!G25))</f>
        <v>5</v>
      </c>
      <c r="H25">
        <f>IF('Uncleaned Data'!H25="","",'Uncleaned Data'!H25)</f>
        <v>1894.31</v>
      </c>
      <c r="I25">
        <f t="shared" si="0"/>
        <v>9471.5499999999993</v>
      </c>
    </row>
    <row r="26" spans="1:9" x14ac:dyDescent="0.35">
      <c r="A26" t="s">
        <v>65</v>
      </c>
      <c r="B26" s="2">
        <v>46118</v>
      </c>
      <c r="C26" t="str">
        <f>IF('Uncleaned Data'!C26="","Unknown",PROPER(TRIM(CLEAN(SUBSTITUTE('Uncleaned Data'!C26,CHAR(160)," ")))))</f>
        <v>Ananya Rao</v>
      </c>
      <c r="D26" t="str">
        <f>IF('Uncleaned Data'!D26="","Unknown",PROPER(TRIM(CLEAN(SUBSTITUTE('Uncleaned Data'!D26,CHAR(160)," ")))))</f>
        <v>Backpack</v>
      </c>
      <c r="E26" t="str">
        <f>IF('Uncleaned Data'!E26="","Unknown",PROPER(TRIM(CLEAN(SUBSTITUTE('Uncleaned Data'!E26,CHAR(160)," ")))))</f>
        <v>Accessories</v>
      </c>
      <c r="F26" t="str">
        <f>IF('Uncleaned Data'!F26="","Unknown",PROPER(TRIM(CLEAN(SUBSTITUTE('Uncleaned Data'!F26,CHAR(160)," ")))))</f>
        <v>Central</v>
      </c>
      <c r="G26">
        <f>IF('Uncleaned Data'!G26="","",IF('Uncleaned Data'!G26&lt;=0,"", 'Uncleaned Data'!G26))</f>
        <v>5</v>
      </c>
      <c r="H26">
        <f>IF('Uncleaned Data'!H26="","",'Uncleaned Data'!H26)</f>
        <v>2067.52</v>
      </c>
      <c r="I26">
        <f t="shared" si="0"/>
        <v>10337.6</v>
      </c>
    </row>
    <row r="27" spans="1:9" x14ac:dyDescent="0.35">
      <c r="A27" t="s">
        <v>66</v>
      </c>
      <c r="B27" s="2">
        <v>46148</v>
      </c>
      <c r="C27" t="str">
        <f>IF('Uncleaned Data'!C27="","Unknown",PROPER(TRIM(CLEAN(SUBSTITUTE('Uncleaned Data'!C27,CHAR(160)," ")))))</f>
        <v>Rahul Sharma</v>
      </c>
      <c r="D27" t="str">
        <f>IF('Uncleaned Data'!D27="","Unknown",PROPER(TRIM(CLEAN(SUBSTITUTE('Uncleaned Data'!D27,CHAR(160)," ")))))</f>
        <v>Backpack</v>
      </c>
      <c r="E27" t="str">
        <f>IF('Uncleaned Data'!E27="","Unknown",PROPER(TRIM(CLEAN(SUBSTITUTE('Uncleaned Data'!E27,CHAR(160)," ")))))</f>
        <v>Accessories</v>
      </c>
      <c r="F27" t="str">
        <f>IF('Uncleaned Data'!F27="","Unknown",PROPER(TRIM(CLEAN(SUBSTITUTE('Uncleaned Data'!F27,CHAR(160)," ")))))</f>
        <v>North</v>
      </c>
      <c r="G27" t="str">
        <f>IF('Uncleaned Data'!G27="","",IF('Uncleaned Data'!G27&lt;=0,"", 'Uncleaned Data'!G27))</f>
        <v/>
      </c>
      <c r="H27">
        <f>IF('Uncleaned Data'!H27="","",'Uncleaned Data'!H27)</f>
        <v>2243.54</v>
      </c>
      <c r="I27" t="str">
        <f t="shared" si="0"/>
        <v/>
      </c>
    </row>
    <row r="28" spans="1:9" x14ac:dyDescent="0.35">
      <c r="A28" t="s">
        <v>67</v>
      </c>
      <c r="B28" s="2">
        <v>46084</v>
      </c>
      <c r="C28" t="str">
        <f>IF('Uncleaned Data'!C28="","Unknown",PROPER(TRIM(CLEAN(SUBSTITUTE('Uncleaned Data'!C28,CHAR(160)," ")))))</f>
        <v>Nikhil Jain</v>
      </c>
      <c r="D28" t="str">
        <f>IF('Uncleaned Data'!D28="","Unknown",PROPER(TRIM(CLEAN(SUBSTITUTE('Uncleaned Data'!D28,CHAR(160)," ")))))</f>
        <v>Mouse</v>
      </c>
      <c r="E28" t="str">
        <f>IF('Uncleaned Data'!E28="","Unknown",PROPER(TRIM(CLEAN(SUBSTITUTE('Uncleaned Data'!E28,CHAR(160)," ")))))</f>
        <v>Accessories</v>
      </c>
      <c r="F28" t="str">
        <f>IF('Uncleaned Data'!F28="","Unknown",PROPER(TRIM(CLEAN(SUBSTITUTE('Uncleaned Data'!F28,CHAR(160)," ")))))</f>
        <v>North</v>
      </c>
      <c r="G28">
        <f>IF('Uncleaned Data'!G28="","",IF('Uncleaned Data'!G28&lt;=0,"", 'Uncleaned Data'!G28))</f>
        <v>3</v>
      </c>
      <c r="H28">
        <f>IF('Uncleaned Data'!H28="","",'Uncleaned Data'!H28)</f>
        <v>853.1</v>
      </c>
      <c r="I28">
        <f t="shared" si="0"/>
        <v>2559.3000000000002</v>
      </c>
    </row>
    <row r="29" spans="1:9" x14ac:dyDescent="0.35">
      <c r="A29" t="s">
        <v>68</v>
      </c>
      <c r="B29" s="2">
        <v>46217</v>
      </c>
      <c r="C29" t="str">
        <f>IF('Uncleaned Data'!C29="","Unknown",PROPER(TRIM(CLEAN(SUBSTITUTE('Uncleaned Data'!C29,CHAR(160)," ")))))</f>
        <v>Swathi Das</v>
      </c>
      <c r="D29" t="str">
        <f>IF('Uncleaned Data'!D29="","Unknown",PROPER(TRIM(CLEAN(SUBSTITUTE('Uncleaned Data'!D29,CHAR(160)," ")))))</f>
        <v>Smartphone</v>
      </c>
      <c r="E29" t="str">
        <f>IF('Uncleaned Data'!E29="","Unknown",PROPER(TRIM(CLEAN(SUBSTITUTE('Uncleaned Data'!E29,CHAR(160)," ")))))</f>
        <v>Electronics</v>
      </c>
      <c r="F29" t="str">
        <f>IF('Uncleaned Data'!F29="","Unknown",PROPER(TRIM(CLEAN(SUBSTITUTE('Uncleaned Data'!F29,CHAR(160)," ")))))</f>
        <v>South</v>
      </c>
      <c r="G29">
        <f>IF('Uncleaned Data'!G29="","",IF('Uncleaned Data'!G29&lt;=0,"", 'Uncleaned Data'!G29))</f>
        <v>4</v>
      </c>
      <c r="H29">
        <f>IF('Uncleaned Data'!H29="","",'Uncleaned Data'!H29)</f>
        <v>29769.73</v>
      </c>
      <c r="I29">
        <f t="shared" si="0"/>
        <v>119078.92</v>
      </c>
    </row>
    <row r="30" spans="1:9" x14ac:dyDescent="0.35">
      <c r="A30" t="s">
        <v>69</v>
      </c>
      <c r="B30" s="2">
        <v>46065</v>
      </c>
      <c r="C30" t="str">
        <f>IF('Uncleaned Data'!C30="","Unknown",PROPER(TRIM(CLEAN(SUBSTITUTE('Uncleaned Data'!C30,CHAR(160)," ")))))</f>
        <v>Rohit Verma</v>
      </c>
      <c r="D30" t="str">
        <f>IF('Uncleaned Data'!D30="","Unknown",PROPER(TRIM(CLEAN(SUBSTITUTE('Uncleaned Data'!D30,CHAR(160)," ")))))</f>
        <v>Headphones</v>
      </c>
      <c r="E30" t="str">
        <f>IF('Uncleaned Data'!E30="","Unknown",PROPER(TRIM(CLEAN(SUBSTITUTE('Uncleaned Data'!E30,CHAR(160)," ")))))</f>
        <v>Electronics</v>
      </c>
      <c r="F30" t="str">
        <f>IF('Uncleaned Data'!F30="","Unknown",PROPER(TRIM(CLEAN(SUBSTITUTE('Uncleaned Data'!F30,CHAR(160)," ")))))</f>
        <v>Central</v>
      </c>
      <c r="G30">
        <f>IF('Uncleaned Data'!G30="","",IF('Uncleaned Data'!G30&lt;=0,"", 'Uncleaned Data'!G30))</f>
        <v>4</v>
      </c>
      <c r="H30">
        <f>IF('Uncleaned Data'!H30="","",'Uncleaned Data'!H30)</f>
        <v>2723.42</v>
      </c>
      <c r="I30">
        <f t="shared" si="0"/>
        <v>10893.68</v>
      </c>
    </row>
    <row r="31" spans="1:9" x14ac:dyDescent="0.35">
      <c r="A31" t="s">
        <v>71</v>
      </c>
      <c r="B31" s="2">
        <v>46260</v>
      </c>
      <c r="C31" t="str">
        <f>IF('Uncleaned Data'!C31="","Unknown",PROPER(TRIM(CLEAN(SUBSTITUTE('Uncleaned Data'!C31,CHAR(160)," ")))))</f>
        <v>Swathi Das</v>
      </c>
      <c r="D31" t="str">
        <f>IF('Uncleaned Data'!D31="","Unknown",PROPER(TRIM(CLEAN(SUBSTITUTE('Uncleaned Data'!D31,CHAR(160)," ")))))</f>
        <v>Printer</v>
      </c>
      <c r="E31" t="str">
        <f>IF('Uncleaned Data'!E31="","Unknown",PROPER(TRIM(CLEAN(SUBSTITUTE('Uncleaned Data'!E31,CHAR(160)," ")))))</f>
        <v>Electronics</v>
      </c>
      <c r="F31" t="str">
        <f>IF('Uncleaned Data'!F31="","Unknown",PROPER(TRIM(CLEAN(SUBSTITUTE('Uncleaned Data'!F31,CHAR(160)," ")))))</f>
        <v>South</v>
      </c>
      <c r="G31">
        <f>IF('Uncleaned Data'!G31="","",IF('Uncleaned Data'!G31&lt;=0,"", 'Uncleaned Data'!G31))</f>
        <v>4</v>
      </c>
      <c r="H31">
        <f>IF('Uncleaned Data'!H31="","",'Uncleaned Data'!H31)</f>
        <v>13114.47</v>
      </c>
      <c r="I31">
        <f t="shared" si="0"/>
        <v>52457.88</v>
      </c>
    </row>
    <row r="32" spans="1:9" x14ac:dyDescent="0.35">
      <c r="A32" t="s">
        <v>72</v>
      </c>
      <c r="B32" s="2">
        <v>46189</v>
      </c>
      <c r="C32" t="str">
        <f>IF('Uncleaned Data'!C32="","Unknown",PROPER(TRIM(CLEAN(SUBSTITUTE('Uncleaned Data'!C32,CHAR(160)," ")))))</f>
        <v>Pooja Iyer</v>
      </c>
      <c r="D32" t="str">
        <f>IF('Uncleaned Data'!D32="","Unknown",PROPER(TRIM(CLEAN(SUBSTITUTE('Uncleaned Data'!D32,CHAR(160)," ")))))</f>
        <v>Keyboard</v>
      </c>
      <c r="E32" t="str">
        <f>IF('Uncleaned Data'!E32="","Unknown",PROPER(TRIM(CLEAN(SUBSTITUTE('Uncleaned Data'!E32,CHAR(160)," ")))))</f>
        <v>Accessories</v>
      </c>
      <c r="F32" t="str">
        <f>IF('Uncleaned Data'!F32="","Unknown",PROPER(TRIM(CLEAN(SUBSTITUTE('Uncleaned Data'!F32,CHAR(160)," ")))))</f>
        <v>West</v>
      </c>
      <c r="G32">
        <f>IF('Uncleaned Data'!G32="","",IF('Uncleaned Data'!G32&lt;=0,"", 'Uncleaned Data'!G32))</f>
        <v>4</v>
      </c>
      <c r="H32">
        <f>IF('Uncleaned Data'!H32="","",'Uncleaned Data'!H32)</f>
        <v>1978.25</v>
      </c>
      <c r="I32">
        <f t="shared" si="0"/>
        <v>7913</v>
      </c>
    </row>
    <row r="33" spans="1:9" x14ac:dyDescent="0.35">
      <c r="A33" t="s">
        <v>73</v>
      </c>
      <c r="B33" s="2">
        <v>46080</v>
      </c>
      <c r="C33" t="str">
        <f>IF('Uncleaned Data'!C33="","Unknown",PROPER(TRIM(CLEAN(SUBSTITUTE('Uncleaned Data'!C33,CHAR(160)," ")))))</f>
        <v>Arjun Kumar</v>
      </c>
      <c r="D33" t="str">
        <f>IF('Uncleaned Data'!D33="","Unknown",PROPER(TRIM(CLEAN(SUBSTITUTE('Uncleaned Data'!D33,CHAR(160)," ")))))</f>
        <v>Backpack</v>
      </c>
      <c r="E33" t="str">
        <f>IF('Uncleaned Data'!E33="","Unknown",PROPER(TRIM(CLEAN(SUBSTITUTE('Uncleaned Data'!E33,CHAR(160)," ")))))</f>
        <v>Accessories</v>
      </c>
      <c r="F33" t="str">
        <f>IF('Uncleaned Data'!F33="","Unknown",PROPER(TRIM(CLEAN(SUBSTITUTE('Uncleaned Data'!F33,CHAR(160)," ")))))</f>
        <v>East</v>
      </c>
      <c r="G33">
        <f>IF('Uncleaned Data'!G33="","",IF('Uncleaned Data'!G33&lt;=0,"", 'Uncleaned Data'!G33))</f>
        <v>4</v>
      </c>
      <c r="H33">
        <f>IF('Uncleaned Data'!H33="","",'Uncleaned Data'!H33)</f>
        <v>2033.24</v>
      </c>
      <c r="I33">
        <f t="shared" si="0"/>
        <v>8132.96</v>
      </c>
    </row>
    <row r="34" spans="1:9" x14ac:dyDescent="0.35">
      <c r="A34" t="s">
        <v>76</v>
      </c>
      <c r="B34" s="2">
        <v>46173</v>
      </c>
      <c r="C34" t="str">
        <f>IF('Uncleaned Data'!C34="","Unknown",PROPER(TRIM(CLEAN(SUBSTITUTE('Uncleaned Data'!C34,CHAR(160)," ")))))</f>
        <v>Meena Joshi</v>
      </c>
      <c r="D34" t="str">
        <f>IF('Uncleaned Data'!D34="","Unknown",PROPER(TRIM(CLEAN(SUBSTITUTE('Uncleaned Data'!D34,CHAR(160)," ")))))</f>
        <v>Laptop</v>
      </c>
      <c r="E34" t="str">
        <f>IF('Uncleaned Data'!E34="","Unknown",PROPER(TRIM(CLEAN(SUBSTITUTE('Uncleaned Data'!E34,CHAR(160)," ")))))</f>
        <v>Electronics</v>
      </c>
      <c r="F34" t="str">
        <f>IF('Uncleaned Data'!F34="","Unknown",PROPER(TRIM(CLEAN(SUBSTITUTE('Uncleaned Data'!F34,CHAR(160)," ")))))</f>
        <v>North</v>
      </c>
      <c r="G34">
        <f>IF('Uncleaned Data'!G34="","",IF('Uncleaned Data'!G34&lt;=0,"", 'Uncleaned Data'!G34))</f>
        <v>5</v>
      </c>
      <c r="H34">
        <f>IF('Uncleaned Data'!H34="","",'Uncleaned Data'!H34)</f>
        <v>55593.14</v>
      </c>
      <c r="I34">
        <f t="shared" ref="I34:I65" si="1">IF(OR(G34="",H34=""),"",G34*H34)</f>
        <v>277965.7</v>
      </c>
    </row>
    <row r="35" spans="1:9" x14ac:dyDescent="0.35">
      <c r="A35" t="s">
        <v>78</v>
      </c>
      <c r="B35" s="2">
        <v>46254</v>
      </c>
      <c r="C35" t="str">
        <f>IF('Uncleaned Data'!C35="","Unknown",PROPER(TRIM(CLEAN(SUBSTITUTE('Uncleaned Data'!C35,CHAR(160)," ")))))</f>
        <v>Priya Reddy</v>
      </c>
      <c r="D35" t="str">
        <f>IF('Uncleaned Data'!D35="","Unknown",PROPER(TRIM(CLEAN(SUBSTITUTE('Uncleaned Data'!D35,CHAR(160)," ")))))</f>
        <v>Smartphone</v>
      </c>
      <c r="E35" t="str">
        <f>IF('Uncleaned Data'!E35="","Unknown",PROPER(TRIM(CLEAN(SUBSTITUTE('Uncleaned Data'!E35,CHAR(160)," ")))))</f>
        <v>Electronics</v>
      </c>
      <c r="F35" t="str">
        <f>IF('Uncleaned Data'!F35="","Unknown",PROPER(TRIM(CLEAN(SUBSTITUTE('Uncleaned Data'!F35,CHAR(160)," ")))))</f>
        <v>East</v>
      </c>
      <c r="G35">
        <f>IF('Uncleaned Data'!G35="","",IF('Uncleaned Data'!G35&lt;=0,"", 'Uncleaned Data'!G35))</f>
        <v>1</v>
      </c>
      <c r="H35">
        <f>IF('Uncleaned Data'!H35="","",'Uncleaned Data'!H35)</f>
        <v>26482.07</v>
      </c>
      <c r="I35">
        <f t="shared" si="1"/>
        <v>26482.07</v>
      </c>
    </row>
    <row r="36" spans="1:9" x14ac:dyDescent="0.35">
      <c r="A36" t="s">
        <v>79</v>
      </c>
      <c r="B36" s="2">
        <v>46194</v>
      </c>
      <c r="C36" t="str">
        <f>IF('Uncleaned Data'!C36="","Unknown",PROPER(TRIM(CLEAN(SUBSTITUTE('Uncleaned Data'!C36,CHAR(160)," ")))))</f>
        <v>Kavya Rao</v>
      </c>
      <c r="D36" t="str">
        <f>IF('Uncleaned Data'!D36="","Unknown",PROPER(TRIM(CLEAN(SUBSTITUTE('Uncleaned Data'!D36,CHAR(160)," ")))))</f>
        <v>Smartphone</v>
      </c>
      <c r="E36" t="str">
        <f>IF('Uncleaned Data'!E36="","Unknown",PROPER(TRIM(CLEAN(SUBSTITUTE('Uncleaned Data'!E36,CHAR(160)," ")))))</f>
        <v>Electronics</v>
      </c>
      <c r="F36" t="str">
        <f>IF('Uncleaned Data'!F36="","Unknown",PROPER(TRIM(CLEAN(SUBSTITUTE('Uncleaned Data'!F36,CHAR(160)," ")))))</f>
        <v>South</v>
      </c>
      <c r="G36">
        <f>IF('Uncleaned Data'!G36="","",IF('Uncleaned Data'!G36&lt;=0,"", 'Uncleaned Data'!G36))</f>
        <v>5</v>
      </c>
      <c r="H36">
        <f>IF('Uncleaned Data'!H36="","",'Uncleaned Data'!H36)</f>
        <v>26532.83</v>
      </c>
      <c r="I36">
        <f t="shared" si="1"/>
        <v>132664.15000000002</v>
      </c>
    </row>
    <row r="37" spans="1:9" x14ac:dyDescent="0.35">
      <c r="A37" t="s">
        <v>81</v>
      </c>
      <c r="B37" s="2">
        <v>46248</v>
      </c>
      <c r="C37" t="str">
        <f>IF('Uncleaned Data'!C37="","Unknown",PROPER(TRIM(CLEAN(SUBSTITUTE('Uncleaned Data'!C37,CHAR(160)," ")))))</f>
        <v>Nikhil Jain</v>
      </c>
      <c r="D37" t="str">
        <f>IF('Uncleaned Data'!D37="","Unknown",PROPER(TRIM(CLEAN(SUBSTITUTE('Uncleaned Data'!D37,CHAR(160)," ")))))</f>
        <v>Backpack</v>
      </c>
      <c r="E37" t="str">
        <f>IF('Uncleaned Data'!E37="","Unknown",PROPER(TRIM(CLEAN(SUBSTITUTE('Uncleaned Data'!E37,CHAR(160)," ")))))</f>
        <v>Accessories</v>
      </c>
      <c r="F37" t="str">
        <f>IF('Uncleaned Data'!F37="","Unknown",PROPER(TRIM(CLEAN(SUBSTITUTE('Uncleaned Data'!F37,CHAR(160)," ")))))</f>
        <v>Central</v>
      </c>
      <c r="G37">
        <f>IF('Uncleaned Data'!G37="","",IF('Uncleaned Data'!G37&lt;=0,"", 'Uncleaned Data'!G37))</f>
        <v>2</v>
      </c>
      <c r="H37">
        <f>IF('Uncleaned Data'!H37="","",'Uncleaned Data'!H37)</f>
        <v>2298.2800000000002</v>
      </c>
      <c r="I37">
        <f t="shared" si="1"/>
        <v>4596.5600000000004</v>
      </c>
    </row>
    <row r="38" spans="1:9" x14ac:dyDescent="0.35">
      <c r="A38" t="s">
        <v>82</v>
      </c>
      <c r="B38" s="2">
        <v>46229</v>
      </c>
      <c r="C38" t="str">
        <f>IF('Uncleaned Data'!C38="","Unknown",PROPER(TRIM(CLEAN(SUBSTITUTE('Uncleaned Data'!C38,CHAR(160)," ")))))</f>
        <v>Divya Menon</v>
      </c>
      <c r="D38" t="str">
        <f>IF('Uncleaned Data'!D38="","Unknown",PROPER(TRIM(CLEAN(SUBSTITUTE('Uncleaned Data'!D38,CHAR(160)," ")))))</f>
        <v>Desk</v>
      </c>
      <c r="E38" t="str">
        <f>IF('Uncleaned Data'!E38="","Unknown",PROPER(TRIM(CLEAN(SUBSTITUTE('Uncleaned Data'!E38,CHAR(160)," ")))))</f>
        <v>Furniture</v>
      </c>
      <c r="F38" t="str">
        <f>IF('Uncleaned Data'!F38="","Unknown",PROPER(TRIM(CLEAN(SUBSTITUTE('Uncleaned Data'!F38,CHAR(160)," ")))))</f>
        <v>South</v>
      </c>
      <c r="G38">
        <f>IF('Uncleaned Data'!G38="","",IF('Uncleaned Data'!G38&lt;=0,"", 'Uncleaned Data'!G38))</f>
        <v>2</v>
      </c>
      <c r="H38">
        <f>IF('Uncleaned Data'!H38="","",'Uncleaned Data'!H38)</f>
        <v>12683.09</v>
      </c>
      <c r="I38">
        <f t="shared" si="1"/>
        <v>25366.18</v>
      </c>
    </row>
    <row r="39" spans="1:9" x14ac:dyDescent="0.35">
      <c r="A39" t="s">
        <v>85</v>
      </c>
      <c r="B39" s="2">
        <v>46113</v>
      </c>
      <c r="C39" t="str">
        <f>IF('Uncleaned Data'!C39="","Unknown",PROPER(TRIM(CLEAN(SUBSTITUTE('Uncleaned Data'!C39,CHAR(160)," ")))))</f>
        <v>Divya Menon</v>
      </c>
      <c r="D39" t="str">
        <f>IF('Uncleaned Data'!D39="","Unknown",PROPER(TRIM(CLEAN(SUBSTITUTE('Uncleaned Data'!D39,CHAR(160)," ")))))</f>
        <v>Unknown</v>
      </c>
      <c r="E39" t="str">
        <f>IF('Uncleaned Data'!E39="","Unknown",PROPER(TRIM(CLEAN(SUBSTITUTE('Uncleaned Data'!E39,CHAR(160)," ")))))</f>
        <v>Electronics</v>
      </c>
      <c r="F39" t="str">
        <f>IF('Uncleaned Data'!F39="","Unknown",PROPER(TRIM(CLEAN(SUBSTITUTE('Uncleaned Data'!F39,CHAR(160)," ")))))</f>
        <v>West</v>
      </c>
      <c r="G39">
        <f>IF('Uncleaned Data'!G39="","",IF('Uncleaned Data'!G39&lt;=0,"", 'Uncleaned Data'!G39))</f>
        <v>1</v>
      </c>
      <c r="H39">
        <f>IF('Uncleaned Data'!H39="","",'Uncleaned Data'!H39)</f>
        <v>28890.3</v>
      </c>
      <c r="I39">
        <f t="shared" si="1"/>
        <v>28890.3</v>
      </c>
    </row>
    <row r="40" spans="1:9" x14ac:dyDescent="0.35">
      <c r="A40" t="s">
        <v>86</v>
      </c>
      <c r="B40" s="2">
        <v>46188</v>
      </c>
      <c r="C40" t="str">
        <f>IF('Uncleaned Data'!C40="","Unknown",PROPER(TRIM(CLEAN(SUBSTITUTE('Uncleaned Data'!C40,CHAR(160)," ")))))</f>
        <v>Sneha Patel</v>
      </c>
      <c r="D40" t="str">
        <f>IF('Uncleaned Data'!D40="","Unknown",PROPER(TRIM(CLEAN(SUBSTITUTE('Uncleaned Data'!D40,CHAR(160)," ")))))</f>
        <v>Desk</v>
      </c>
      <c r="E40" t="str">
        <f>IF('Uncleaned Data'!E40="","Unknown",PROPER(TRIM(CLEAN(SUBSTITUTE('Uncleaned Data'!E40,CHAR(160)," ")))))</f>
        <v>Furniture</v>
      </c>
      <c r="F40" t="str">
        <f>IF('Uncleaned Data'!F40="","Unknown",PROPER(TRIM(CLEAN(SUBSTITUTE('Uncleaned Data'!F40,CHAR(160)," ")))))</f>
        <v>North</v>
      </c>
      <c r="G40">
        <f>IF('Uncleaned Data'!G40="","",IF('Uncleaned Data'!G40&lt;=0,"", 'Uncleaned Data'!G40))</f>
        <v>1</v>
      </c>
      <c r="H40">
        <f>IF('Uncleaned Data'!H40="","",'Uncleaned Data'!H40)</f>
        <v>12416.07</v>
      </c>
      <c r="I40">
        <f t="shared" si="1"/>
        <v>12416.07</v>
      </c>
    </row>
    <row r="41" spans="1:9" x14ac:dyDescent="0.35">
      <c r="A41" t="s">
        <v>87</v>
      </c>
      <c r="B41" s="2">
        <v>46050</v>
      </c>
      <c r="C41" t="str">
        <f>IF('Uncleaned Data'!C41="","Unknown",PROPER(TRIM(CLEAN(SUBSTITUTE('Uncleaned Data'!C41,CHAR(160)," ")))))</f>
        <v>Meena Joshi</v>
      </c>
      <c r="D41" t="str">
        <f>IF('Uncleaned Data'!D41="","Unknown",PROPER(TRIM(CLEAN(SUBSTITUTE('Uncleaned Data'!D41,CHAR(160)," ")))))</f>
        <v>Office Chair</v>
      </c>
      <c r="E41" t="str">
        <f>IF('Uncleaned Data'!E41="","Unknown",PROPER(TRIM(CLEAN(SUBSTITUTE('Uncleaned Data'!E41,CHAR(160)," ")))))</f>
        <v>Furniture</v>
      </c>
      <c r="F41" t="str">
        <f>IF('Uncleaned Data'!F41="","Unknown",PROPER(TRIM(CLEAN(SUBSTITUTE('Uncleaned Data'!F41,CHAR(160)," ")))))</f>
        <v>South</v>
      </c>
      <c r="G41">
        <f>IF('Uncleaned Data'!G41="","",IF('Uncleaned Data'!G41&lt;=0,"", 'Uncleaned Data'!G41))</f>
        <v>3</v>
      </c>
      <c r="H41">
        <f>IF('Uncleaned Data'!H41="","",'Uncleaned Data'!H41)</f>
        <v>9011.01</v>
      </c>
      <c r="I41">
        <f t="shared" si="1"/>
        <v>27033.03</v>
      </c>
    </row>
    <row r="42" spans="1:9" x14ac:dyDescent="0.35">
      <c r="A42" t="s">
        <v>88</v>
      </c>
      <c r="B42" s="2">
        <v>46131</v>
      </c>
      <c r="C42" t="str">
        <f>IF('Uncleaned Data'!C42="","Unknown",PROPER(TRIM(CLEAN(SUBSTITUTE('Uncleaned Data'!C42,CHAR(160)," ")))))</f>
        <v>Ananya Rao</v>
      </c>
      <c r="D42" t="str">
        <f>IF('Uncleaned Data'!D42="","Unknown",PROPER(TRIM(CLEAN(SUBSTITUTE('Uncleaned Data'!D42,CHAR(160)," ")))))</f>
        <v>Monitor</v>
      </c>
      <c r="E42" t="str">
        <f>IF('Uncleaned Data'!E42="","Unknown",PROPER(TRIM(CLEAN(SUBSTITUTE('Uncleaned Data'!E42,CHAR(160)," ")))))</f>
        <v>Electronics</v>
      </c>
      <c r="F42" t="str">
        <f>IF('Uncleaned Data'!F42="","Unknown",PROPER(TRIM(CLEAN(SUBSTITUTE('Uncleaned Data'!F42,CHAR(160)," ")))))</f>
        <v>East</v>
      </c>
      <c r="G42">
        <f>IF('Uncleaned Data'!G42="","",IF('Uncleaned Data'!G42&lt;=0,"", 'Uncleaned Data'!G42))</f>
        <v>5</v>
      </c>
      <c r="H42">
        <f>IF('Uncleaned Data'!H42="","",'Uncleaned Data'!H42)</f>
        <v>14845.84</v>
      </c>
      <c r="I42">
        <f t="shared" si="1"/>
        <v>74229.2</v>
      </c>
    </row>
    <row r="43" spans="1:9" x14ac:dyDescent="0.35">
      <c r="A43" t="s">
        <v>89</v>
      </c>
      <c r="B43" s="2">
        <v>46042</v>
      </c>
      <c r="C43" t="str">
        <f>IF('Uncleaned Data'!C43="","Unknown",PROPER(TRIM(CLEAN(SUBSTITUTE('Uncleaned Data'!C43,CHAR(160)," ")))))</f>
        <v>Manoj Reddy</v>
      </c>
      <c r="D43" t="str">
        <f>IF('Uncleaned Data'!D43="","Unknown",PROPER(TRIM(CLEAN(SUBSTITUTE('Uncleaned Data'!D43,CHAR(160)," ")))))</f>
        <v>Desk</v>
      </c>
      <c r="E43" t="str">
        <f>IF('Uncleaned Data'!E43="","Unknown",PROPER(TRIM(CLEAN(SUBSTITUTE('Uncleaned Data'!E43,CHAR(160)," ")))))</f>
        <v>Furniture</v>
      </c>
      <c r="F43" t="str">
        <f>IF('Uncleaned Data'!F43="","Unknown",PROPER(TRIM(CLEAN(SUBSTITUTE('Uncleaned Data'!F43,CHAR(160)," ")))))</f>
        <v>Central</v>
      </c>
      <c r="G43">
        <f>IF('Uncleaned Data'!G43="","",IF('Uncleaned Data'!G43&lt;=0,"", 'Uncleaned Data'!G43))</f>
        <v>2</v>
      </c>
      <c r="H43">
        <f>IF('Uncleaned Data'!H43="","",'Uncleaned Data'!H43)</f>
        <v>12898.77</v>
      </c>
      <c r="I43">
        <f t="shared" si="1"/>
        <v>25797.54</v>
      </c>
    </row>
    <row r="44" spans="1:9" x14ac:dyDescent="0.35">
      <c r="A44" t="s">
        <v>91</v>
      </c>
      <c r="B44" s="2">
        <v>46161</v>
      </c>
      <c r="C44" t="str">
        <f>IF('Uncleaned Data'!C44="","Unknown",PROPER(TRIM(CLEAN(SUBSTITUTE('Uncleaned Data'!C44,CHAR(160)," ")))))</f>
        <v>Rahul Sharma</v>
      </c>
      <c r="D44" t="str">
        <f>IF('Uncleaned Data'!D44="","Unknown",PROPER(TRIM(CLEAN(SUBSTITUTE('Uncleaned Data'!D44,CHAR(160)," ")))))</f>
        <v>Smartphone</v>
      </c>
      <c r="E44" t="str">
        <f>IF('Uncleaned Data'!E44="","Unknown",PROPER(TRIM(CLEAN(SUBSTITUTE('Uncleaned Data'!E44,CHAR(160)," ")))))</f>
        <v>Electronics</v>
      </c>
      <c r="F44" t="str">
        <f>IF('Uncleaned Data'!F44="","Unknown",PROPER(TRIM(CLEAN(SUBSTITUTE('Uncleaned Data'!F44,CHAR(160)," ")))))</f>
        <v>North</v>
      </c>
      <c r="G44">
        <f>IF('Uncleaned Data'!G44="","",IF('Uncleaned Data'!G44&lt;=0,"", 'Uncleaned Data'!G44))</f>
        <v>1</v>
      </c>
      <c r="H44">
        <f>IF('Uncleaned Data'!H44="","",'Uncleaned Data'!H44)</f>
        <v>28852.01</v>
      </c>
      <c r="I44">
        <f t="shared" si="1"/>
        <v>28852.01</v>
      </c>
    </row>
    <row r="45" spans="1:9" x14ac:dyDescent="0.35">
      <c r="A45" t="s">
        <v>92</v>
      </c>
      <c r="B45" s="2">
        <v>46146</v>
      </c>
      <c r="C45" t="str">
        <f>IF('Uncleaned Data'!C45="","Unknown",PROPER(TRIM(CLEAN(SUBSTITUTE('Uncleaned Data'!C45,CHAR(160)," ")))))</f>
        <v>Kiran Das</v>
      </c>
      <c r="D45" t="str">
        <f>IF('Uncleaned Data'!D45="","Unknown",PROPER(TRIM(CLEAN(SUBSTITUTE('Uncleaned Data'!D45,CHAR(160)," ")))))</f>
        <v>Monitor</v>
      </c>
      <c r="E45" t="str">
        <f>IF('Uncleaned Data'!E45="","Unknown",PROPER(TRIM(CLEAN(SUBSTITUTE('Uncleaned Data'!E45,CHAR(160)," ")))))</f>
        <v>Electronics</v>
      </c>
      <c r="F45" t="str">
        <f>IF('Uncleaned Data'!F45="","Unknown",PROPER(TRIM(CLEAN(SUBSTITUTE('Uncleaned Data'!F45,CHAR(160)," ")))))</f>
        <v>West</v>
      </c>
      <c r="G45">
        <f>IF('Uncleaned Data'!G45="","",IF('Uncleaned Data'!G45&lt;=0,"", 'Uncleaned Data'!G45))</f>
        <v>2</v>
      </c>
      <c r="H45">
        <f>IF('Uncleaned Data'!H45="","",'Uncleaned Data'!H45)</f>
        <v>14719.24</v>
      </c>
      <c r="I45">
        <f t="shared" si="1"/>
        <v>29438.48</v>
      </c>
    </row>
    <row r="46" spans="1:9" x14ac:dyDescent="0.35">
      <c r="A46" t="s">
        <v>94</v>
      </c>
      <c r="B46" s="2">
        <v>46122</v>
      </c>
      <c r="C46" t="str">
        <f>IF('Uncleaned Data'!C46="","Unknown",PROPER(TRIM(CLEAN(SUBSTITUTE('Uncleaned Data'!C46,CHAR(160)," ")))))</f>
        <v>Rohit Verma</v>
      </c>
      <c r="D46" t="str">
        <f>IF('Uncleaned Data'!D46="","Unknown",PROPER(TRIM(CLEAN(SUBSTITUTE('Uncleaned Data'!D46,CHAR(160)," ")))))</f>
        <v>Laptop</v>
      </c>
      <c r="E46" t="str">
        <f>IF('Uncleaned Data'!E46="","Unknown",PROPER(TRIM(CLEAN(SUBSTITUTE('Uncleaned Data'!E46,CHAR(160)," ")))))</f>
        <v>Electronics</v>
      </c>
      <c r="F46" t="str">
        <f>IF('Uncleaned Data'!F46="","Unknown",PROPER(TRIM(CLEAN(SUBSTITUTE('Uncleaned Data'!F46,CHAR(160)," ")))))</f>
        <v>West</v>
      </c>
      <c r="G46">
        <f>IF('Uncleaned Data'!G46="","",IF('Uncleaned Data'!G46&lt;=0,"", 'Uncleaned Data'!G46))</f>
        <v>2</v>
      </c>
      <c r="H46">
        <f>IF('Uncleaned Data'!H46="","",'Uncleaned Data'!H46)</f>
        <v>53668.7</v>
      </c>
      <c r="I46">
        <f t="shared" si="1"/>
        <v>107337.4</v>
      </c>
    </row>
    <row r="47" spans="1:9" x14ac:dyDescent="0.35">
      <c r="A47" t="s">
        <v>95</v>
      </c>
      <c r="B47" s="2">
        <v>46210</v>
      </c>
      <c r="C47" t="str">
        <f>IF('Uncleaned Data'!C47="","Unknown",PROPER(TRIM(CLEAN(SUBSTITUTE('Uncleaned Data'!C47,CHAR(160)," ")))))</f>
        <v>Swathi Das</v>
      </c>
      <c r="D47" t="str">
        <f>IF('Uncleaned Data'!D47="","Unknown",PROPER(TRIM(CLEAN(SUBSTITUTE('Uncleaned Data'!D47,CHAR(160)," ")))))</f>
        <v>Keyboard</v>
      </c>
      <c r="E47" t="str">
        <f>IF('Uncleaned Data'!E47="","Unknown",PROPER(TRIM(CLEAN(SUBSTITUTE('Uncleaned Data'!E47,CHAR(160)," ")))))</f>
        <v>Accessories</v>
      </c>
      <c r="F47" t="str">
        <f>IF('Uncleaned Data'!F47="","Unknown",PROPER(TRIM(CLEAN(SUBSTITUTE('Uncleaned Data'!F47,CHAR(160)," ")))))</f>
        <v>West</v>
      </c>
      <c r="G47">
        <f>IF('Uncleaned Data'!G47="","",IF('Uncleaned Data'!G47&lt;=0,"", 'Uncleaned Data'!G47))</f>
        <v>4</v>
      </c>
      <c r="H47">
        <f>IF('Uncleaned Data'!H47="","",'Uncleaned Data'!H47)</f>
        <v>1870.77</v>
      </c>
      <c r="I47">
        <f t="shared" si="1"/>
        <v>7483.08</v>
      </c>
    </row>
    <row r="48" spans="1:9" x14ac:dyDescent="0.35">
      <c r="A48" t="s">
        <v>96</v>
      </c>
      <c r="B48" s="2">
        <v>46037</v>
      </c>
      <c r="C48" t="str">
        <f>IF('Uncleaned Data'!C48="","Unknown",PROPER(TRIM(CLEAN(SUBSTITUTE('Uncleaned Data'!C48,CHAR(160)," ")))))</f>
        <v>Nikhil Jain</v>
      </c>
      <c r="D48" t="str">
        <f>IF('Uncleaned Data'!D48="","Unknown",PROPER(TRIM(CLEAN(SUBSTITUTE('Uncleaned Data'!D48,CHAR(160)," ")))))</f>
        <v>Headphones</v>
      </c>
      <c r="E48" t="str">
        <f>IF('Uncleaned Data'!E48="","Unknown",PROPER(TRIM(CLEAN(SUBSTITUTE('Uncleaned Data'!E48,CHAR(160)," ")))))</f>
        <v>Electronics</v>
      </c>
      <c r="F48" t="str">
        <f>IF('Uncleaned Data'!F48="","Unknown",PROPER(TRIM(CLEAN(SUBSTITUTE('Uncleaned Data'!F48,CHAR(160)," ")))))</f>
        <v>Central</v>
      </c>
      <c r="G48">
        <f>IF('Uncleaned Data'!G48="","",IF('Uncleaned Data'!G48&lt;=0,"", 'Uncleaned Data'!G48))</f>
        <v>2</v>
      </c>
      <c r="H48">
        <f>IF('Uncleaned Data'!H48="","",'Uncleaned Data'!H48)</f>
        <v>2398.35</v>
      </c>
      <c r="I48">
        <f t="shared" si="1"/>
        <v>4796.7</v>
      </c>
    </row>
    <row r="49" spans="1:9" x14ac:dyDescent="0.35">
      <c r="A49" t="s">
        <v>97</v>
      </c>
      <c r="B49" s="2">
        <v>46172</v>
      </c>
      <c r="C49" t="str">
        <f>IF('Uncleaned Data'!C49="","Unknown",PROPER(TRIM(CLEAN(SUBSTITUTE('Uncleaned Data'!C49,CHAR(160)," ")))))</f>
        <v>Kavya Rao</v>
      </c>
      <c r="D49" t="str">
        <f>IF('Uncleaned Data'!D49="","Unknown",PROPER(TRIM(CLEAN(SUBSTITUTE('Uncleaned Data'!D49,CHAR(160)," ")))))</f>
        <v>Laptop</v>
      </c>
      <c r="E49" t="str">
        <f>IF('Uncleaned Data'!E49="","Unknown",PROPER(TRIM(CLEAN(SUBSTITUTE('Uncleaned Data'!E49,CHAR(160)," ")))))</f>
        <v>Electronics</v>
      </c>
      <c r="F49" t="str">
        <f>IF('Uncleaned Data'!F49="","Unknown",PROPER(TRIM(CLEAN(SUBSTITUTE('Uncleaned Data'!F49,CHAR(160)," ")))))</f>
        <v>Central</v>
      </c>
      <c r="G49">
        <f>IF('Uncleaned Data'!G49="","",IF('Uncleaned Data'!G49&lt;=0,"", 'Uncleaned Data'!G49))</f>
        <v>3</v>
      </c>
      <c r="H49">
        <f>IF('Uncleaned Data'!H49="","",'Uncleaned Data'!H49)</f>
        <v>50128.82</v>
      </c>
      <c r="I49">
        <f t="shared" si="1"/>
        <v>150386.46</v>
      </c>
    </row>
    <row r="50" spans="1:9" x14ac:dyDescent="0.35">
      <c r="A50" t="s">
        <v>98</v>
      </c>
      <c r="B50" s="2">
        <v>46153</v>
      </c>
      <c r="C50" t="str">
        <f>IF('Uncleaned Data'!C50="","Unknown",PROPER(TRIM(CLEAN(SUBSTITUTE('Uncleaned Data'!C50,CHAR(160)," ")))))</f>
        <v>Arjun Kumar</v>
      </c>
      <c r="D50" t="str">
        <f>IF('Uncleaned Data'!D50="","Unknown",PROPER(TRIM(CLEAN(SUBSTITUTE('Uncleaned Data'!D50,CHAR(160)," ")))))</f>
        <v>Backpack</v>
      </c>
      <c r="E50" t="str">
        <f>IF('Uncleaned Data'!E50="","Unknown",PROPER(TRIM(CLEAN(SUBSTITUTE('Uncleaned Data'!E50,CHAR(160)," ")))))</f>
        <v>Accessories</v>
      </c>
      <c r="F50" t="str">
        <f>IF('Uncleaned Data'!F50="","Unknown",PROPER(TRIM(CLEAN(SUBSTITUTE('Uncleaned Data'!F50,CHAR(160)," ")))))</f>
        <v>South</v>
      </c>
      <c r="G50">
        <f>IF('Uncleaned Data'!G50="","",IF('Uncleaned Data'!G50&lt;=0,"", 'Uncleaned Data'!G50))</f>
        <v>2</v>
      </c>
      <c r="H50">
        <f>IF('Uncleaned Data'!H50="","",'Uncleaned Data'!H50)</f>
        <v>2005.03</v>
      </c>
      <c r="I50">
        <f t="shared" si="1"/>
        <v>4010.06</v>
      </c>
    </row>
    <row r="51" spans="1:9" x14ac:dyDescent="0.35">
      <c r="A51" t="s">
        <v>99</v>
      </c>
      <c r="B51" s="2">
        <v>46243</v>
      </c>
      <c r="C51" t="str">
        <f>IF('Uncleaned Data'!C51="","Unknown",PROPER(TRIM(CLEAN(SUBSTITUTE('Uncleaned Data'!C51,CHAR(160)," ")))))</f>
        <v>Meena Joshi</v>
      </c>
      <c r="D51" t="str">
        <f>IF('Uncleaned Data'!D51="","Unknown",PROPER(TRIM(CLEAN(SUBSTITUTE('Uncleaned Data'!D51,CHAR(160)," ")))))</f>
        <v>Smartphone</v>
      </c>
      <c r="E51" t="str">
        <f>IF('Uncleaned Data'!E51="","Unknown",PROPER(TRIM(CLEAN(SUBSTITUTE('Uncleaned Data'!E51,CHAR(160)," ")))))</f>
        <v>Electronics</v>
      </c>
      <c r="F51" t="str">
        <f>IF('Uncleaned Data'!F51="","Unknown",PROPER(TRIM(CLEAN(SUBSTITUTE('Uncleaned Data'!F51,CHAR(160)," ")))))</f>
        <v>West</v>
      </c>
      <c r="G51">
        <f>IF('Uncleaned Data'!G51="","",IF('Uncleaned Data'!G51&lt;=0,"", 'Uncleaned Data'!G51))</f>
        <v>5</v>
      </c>
      <c r="H51">
        <f>IF('Uncleaned Data'!H51="","",'Uncleaned Data'!H51)</f>
        <v>25580.58</v>
      </c>
      <c r="I51">
        <f t="shared" si="1"/>
        <v>127902.90000000001</v>
      </c>
    </row>
    <row r="52" spans="1:9" x14ac:dyDescent="0.35">
      <c r="A52" t="s">
        <v>100</v>
      </c>
      <c r="B52" s="2">
        <v>46175</v>
      </c>
      <c r="C52" t="str">
        <f>IF('Uncleaned Data'!C52="","Unknown",PROPER(TRIM(CLEAN(SUBSTITUTE('Uncleaned Data'!C52,CHAR(160)," ")))))</f>
        <v>Priya Reddy</v>
      </c>
      <c r="D52" t="str">
        <f>IF('Uncleaned Data'!D52="","Unknown",PROPER(TRIM(CLEAN(SUBSTITUTE('Uncleaned Data'!D52,CHAR(160)," ")))))</f>
        <v>Smartphone</v>
      </c>
      <c r="E52" t="str">
        <f>IF('Uncleaned Data'!E52="","Unknown",PROPER(TRIM(CLEAN(SUBSTITUTE('Uncleaned Data'!E52,CHAR(160)," ")))))</f>
        <v>Electronics</v>
      </c>
      <c r="F52" t="str">
        <f>IF('Uncleaned Data'!F52="","Unknown",PROPER(TRIM(CLEAN(SUBSTITUTE('Uncleaned Data'!F52,CHAR(160)," ")))))</f>
        <v>Central</v>
      </c>
      <c r="G52">
        <f>IF('Uncleaned Data'!G52="","",IF('Uncleaned Data'!G52&lt;=0,"", 'Uncleaned Data'!G52))</f>
        <v>5</v>
      </c>
      <c r="H52">
        <f>IF('Uncleaned Data'!H52="","",'Uncleaned Data'!H52)</f>
        <v>26578.81</v>
      </c>
      <c r="I52">
        <f t="shared" si="1"/>
        <v>132894.05000000002</v>
      </c>
    </row>
    <row r="53" spans="1:9" x14ac:dyDescent="0.35">
      <c r="A53" t="s">
        <v>101</v>
      </c>
      <c r="B53" s="2">
        <v>46167</v>
      </c>
      <c r="C53" t="str">
        <f>IF('Uncleaned Data'!C53="","Unknown",PROPER(TRIM(CLEAN(SUBSTITUTE('Uncleaned Data'!C53,CHAR(160)," ")))))</f>
        <v>Ravi Kumar</v>
      </c>
      <c r="D53" t="str">
        <f>IF('Uncleaned Data'!D53="","Unknown",PROPER(TRIM(CLEAN(SUBSTITUTE('Uncleaned Data'!D53,CHAR(160)," ")))))</f>
        <v>Smartphone</v>
      </c>
      <c r="E53" t="str">
        <f>IF('Uncleaned Data'!E53="","Unknown",PROPER(TRIM(CLEAN(SUBSTITUTE('Uncleaned Data'!E53,CHAR(160)," ")))))</f>
        <v>Electronics</v>
      </c>
      <c r="F53" t="str">
        <f>IF('Uncleaned Data'!F53="","Unknown",PROPER(TRIM(CLEAN(SUBSTITUTE('Uncleaned Data'!F53,CHAR(160)," ")))))</f>
        <v>East</v>
      </c>
      <c r="G53">
        <f>IF('Uncleaned Data'!G53="","",IF('Uncleaned Data'!G53&lt;=0,"", 'Uncleaned Data'!G53))</f>
        <v>4</v>
      </c>
      <c r="H53">
        <f>IF('Uncleaned Data'!H53="","",'Uncleaned Data'!H53)</f>
        <v>28881.29</v>
      </c>
      <c r="I53">
        <f t="shared" si="1"/>
        <v>115525.16</v>
      </c>
    </row>
    <row r="54" spans="1:9" x14ac:dyDescent="0.35">
      <c r="A54" t="s">
        <v>102</v>
      </c>
      <c r="B54" s="2">
        <v>46103</v>
      </c>
      <c r="C54" t="str">
        <f>IF('Uncleaned Data'!C54="","Unknown",PROPER(TRIM(CLEAN(SUBSTITUTE('Uncleaned Data'!C54,CHAR(160)," ")))))</f>
        <v>Meena Joshi</v>
      </c>
      <c r="D54" t="str">
        <f>IF('Uncleaned Data'!D54="","Unknown",PROPER(TRIM(CLEAN(SUBSTITUTE('Uncleaned Data'!D54,CHAR(160)," ")))))</f>
        <v>Keyboard</v>
      </c>
      <c r="E54" t="str">
        <f>IF('Uncleaned Data'!E54="","Unknown",PROPER(TRIM(CLEAN(SUBSTITUTE('Uncleaned Data'!E54,CHAR(160)," ")))))</f>
        <v>Accessories</v>
      </c>
      <c r="F54" t="str">
        <f>IF('Uncleaned Data'!F54="","Unknown",PROPER(TRIM(CLEAN(SUBSTITUTE('Uncleaned Data'!F54,CHAR(160)," ")))))</f>
        <v>East</v>
      </c>
      <c r="G54">
        <f>IF('Uncleaned Data'!G54="","",IF('Uncleaned Data'!G54&lt;=0,"", 'Uncleaned Data'!G54))</f>
        <v>2</v>
      </c>
      <c r="H54">
        <f>IF('Uncleaned Data'!H54="","",'Uncleaned Data'!H54)</f>
        <v>1861.1</v>
      </c>
      <c r="I54">
        <f t="shared" si="1"/>
        <v>3722.2</v>
      </c>
    </row>
    <row r="55" spans="1:9" x14ac:dyDescent="0.35">
      <c r="A55" t="s">
        <v>103</v>
      </c>
      <c r="B55" s="2">
        <v>46099</v>
      </c>
      <c r="C55" t="str">
        <f>IF('Uncleaned Data'!C55="","Unknown",PROPER(TRIM(CLEAN(SUBSTITUTE('Uncleaned Data'!C55,CHAR(160)," ")))))</f>
        <v>Manoj Reddy</v>
      </c>
      <c r="D55" t="str">
        <f>IF('Uncleaned Data'!D55="","Unknown",PROPER(TRIM(CLEAN(SUBSTITUTE('Uncleaned Data'!D55,CHAR(160)," ")))))</f>
        <v>Office Chair</v>
      </c>
      <c r="E55" t="str">
        <f>IF('Uncleaned Data'!E55="","Unknown",PROPER(TRIM(CLEAN(SUBSTITUTE('Uncleaned Data'!E55,CHAR(160)," ")))))</f>
        <v>Furniture</v>
      </c>
      <c r="F55" t="str">
        <f>IF('Uncleaned Data'!F55="","Unknown",PROPER(TRIM(CLEAN(SUBSTITUTE('Uncleaned Data'!F55,CHAR(160)," ")))))</f>
        <v>East</v>
      </c>
      <c r="G55">
        <f>IF('Uncleaned Data'!G55="","",IF('Uncleaned Data'!G55&lt;=0,"", 'Uncleaned Data'!G55))</f>
        <v>2</v>
      </c>
      <c r="H55">
        <f>IF('Uncleaned Data'!H55="","",'Uncleaned Data'!H55)</f>
        <v>8791.8700000000008</v>
      </c>
      <c r="I55">
        <f t="shared" si="1"/>
        <v>17583.740000000002</v>
      </c>
    </row>
    <row r="56" spans="1:9" x14ac:dyDescent="0.35">
      <c r="A56" t="s">
        <v>104</v>
      </c>
      <c r="B56" s="2">
        <v>46167</v>
      </c>
      <c r="C56" t="str">
        <f>IF('Uncleaned Data'!C56="","Unknown",PROPER(TRIM(CLEAN(SUBSTITUTE('Uncleaned Data'!C56,CHAR(160)," ")))))</f>
        <v>Sneha Patel</v>
      </c>
      <c r="D56" t="str">
        <f>IF('Uncleaned Data'!D56="","Unknown",PROPER(TRIM(CLEAN(SUBSTITUTE('Uncleaned Data'!D56,CHAR(160)," ")))))</f>
        <v>Smartphone</v>
      </c>
      <c r="E56" t="str">
        <f>IF('Uncleaned Data'!E56="","Unknown",PROPER(TRIM(CLEAN(SUBSTITUTE('Uncleaned Data'!E56,CHAR(160)," ")))))</f>
        <v>Electronics</v>
      </c>
      <c r="F56" t="str">
        <f>IF('Uncleaned Data'!F56="","Unknown",PROPER(TRIM(CLEAN(SUBSTITUTE('Uncleaned Data'!F56,CHAR(160)," ")))))</f>
        <v>North</v>
      </c>
      <c r="G56">
        <f>IF('Uncleaned Data'!G56="","",IF('Uncleaned Data'!G56&lt;=0,"", 'Uncleaned Data'!G56))</f>
        <v>1</v>
      </c>
      <c r="H56">
        <f>IF('Uncleaned Data'!H56="","",'Uncleaned Data'!H56)</f>
        <v>27766.400000000001</v>
      </c>
      <c r="I56">
        <f t="shared" si="1"/>
        <v>27766.400000000001</v>
      </c>
    </row>
    <row r="57" spans="1:9" x14ac:dyDescent="0.35">
      <c r="A57" t="s">
        <v>105</v>
      </c>
      <c r="B57" s="2">
        <v>46056</v>
      </c>
      <c r="C57" t="str">
        <f>IF('Uncleaned Data'!C57="","Unknown",PROPER(TRIM(CLEAN(SUBSTITUTE('Uncleaned Data'!C57,CHAR(160)," ")))))</f>
        <v>Pooja Iyer</v>
      </c>
      <c r="D57" t="str">
        <f>IF('Uncleaned Data'!D57="","Unknown",PROPER(TRIM(CLEAN(SUBSTITUTE('Uncleaned Data'!D57,CHAR(160)," ")))))</f>
        <v>Backpack</v>
      </c>
      <c r="E57" t="str">
        <f>IF('Uncleaned Data'!E57="","Unknown",PROPER(TRIM(CLEAN(SUBSTITUTE('Uncleaned Data'!E57,CHAR(160)," ")))))</f>
        <v>Accessories</v>
      </c>
      <c r="F57" t="str">
        <f>IF('Uncleaned Data'!F57="","Unknown",PROPER(TRIM(CLEAN(SUBSTITUTE('Uncleaned Data'!F57,CHAR(160)," ")))))</f>
        <v>North</v>
      </c>
      <c r="G57">
        <f>IF('Uncleaned Data'!G57="","",IF('Uncleaned Data'!G57&lt;=0,"", 'Uncleaned Data'!G57))</f>
        <v>2</v>
      </c>
      <c r="H57">
        <f>IF('Uncleaned Data'!H57="","",'Uncleaned Data'!H57)</f>
        <v>2202.59</v>
      </c>
      <c r="I57">
        <f t="shared" si="1"/>
        <v>4405.18</v>
      </c>
    </row>
    <row r="58" spans="1:9" x14ac:dyDescent="0.35">
      <c r="A58" t="s">
        <v>107</v>
      </c>
      <c r="B58" s="2">
        <v>46135</v>
      </c>
      <c r="C58" t="str">
        <f>IF('Uncleaned Data'!C58="","Unknown",PROPER(TRIM(CLEAN(SUBSTITUTE('Uncleaned Data'!C58,CHAR(160)," ")))))</f>
        <v>Swathi Das</v>
      </c>
      <c r="D58" t="str">
        <f>IF('Uncleaned Data'!D58="","Unknown",PROPER(TRIM(CLEAN(SUBSTITUTE('Uncleaned Data'!D58,CHAR(160)," ")))))</f>
        <v>Monitor</v>
      </c>
      <c r="E58" t="str">
        <f>IF('Uncleaned Data'!E58="","Unknown",PROPER(TRIM(CLEAN(SUBSTITUTE('Uncleaned Data'!E58,CHAR(160)," ")))))</f>
        <v>Electronics</v>
      </c>
      <c r="F58" t="str">
        <f>IF('Uncleaned Data'!F58="","Unknown",PROPER(TRIM(CLEAN(SUBSTITUTE('Uncleaned Data'!F58,CHAR(160)," ")))))</f>
        <v>East</v>
      </c>
      <c r="G58">
        <f>IF('Uncleaned Data'!G58="","",IF('Uncleaned Data'!G58&lt;=0,"", 'Uncleaned Data'!G58))</f>
        <v>3</v>
      </c>
      <c r="H58">
        <f>IF('Uncleaned Data'!H58="","",'Uncleaned Data'!H58)</f>
        <v>14354.96</v>
      </c>
      <c r="I58">
        <f t="shared" si="1"/>
        <v>43064.88</v>
      </c>
    </row>
    <row r="59" spans="1:9" x14ac:dyDescent="0.35">
      <c r="A59" t="s">
        <v>108</v>
      </c>
      <c r="B59" s="2">
        <v>46232</v>
      </c>
      <c r="C59" t="str">
        <f>IF('Uncleaned Data'!C59="","Unknown",PROPER(TRIM(CLEAN(SUBSTITUTE('Uncleaned Data'!C59,CHAR(160)," ")))))</f>
        <v>Swathi Das</v>
      </c>
      <c r="D59" t="str">
        <f>IF('Uncleaned Data'!D59="","Unknown",PROPER(TRIM(CLEAN(SUBSTITUTE('Uncleaned Data'!D59,CHAR(160)," ")))))</f>
        <v>Printer</v>
      </c>
      <c r="E59" t="str">
        <f>IF('Uncleaned Data'!E59="","Unknown",PROPER(TRIM(CLEAN(SUBSTITUTE('Uncleaned Data'!E59,CHAR(160)," ")))))</f>
        <v>Electronics</v>
      </c>
      <c r="F59" t="str">
        <f>IF('Uncleaned Data'!F59="","Unknown",PROPER(TRIM(CLEAN(SUBSTITUTE('Uncleaned Data'!F59,CHAR(160)," ")))))</f>
        <v>East</v>
      </c>
      <c r="G59">
        <f>IF('Uncleaned Data'!G59="","",IF('Uncleaned Data'!G59&lt;=0,"", 'Uncleaned Data'!G59))</f>
        <v>5</v>
      </c>
      <c r="H59">
        <f>IF('Uncleaned Data'!H59="","",'Uncleaned Data'!H59)</f>
        <v>10818.78</v>
      </c>
      <c r="I59">
        <f t="shared" si="1"/>
        <v>54093.9</v>
      </c>
    </row>
    <row r="60" spans="1:9" x14ac:dyDescent="0.35">
      <c r="A60" t="s">
        <v>109</v>
      </c>
      <c r="B60" s="2">
        <v>46250</v>
      </c>
      <c r="C60" t="str">
        <f>IF('Uncleaned Data'!C60="","Unknown",PROPER(TRIM(CLEAN(SUBSTITUTE('Uncleaned Data'!C60,CHAR(160)," ")))))</f>
        <v>Sneha Patel</v>
      </c>
      <c r="D60" t="str">
        <f>IF('Uncleaned Data'!D60="","Unknown",PROPER(TRIM(CLEAN(SUBSTITUTE('Uncleaned Data'!D60,CHAR(160)," ")))))</f>
        <v>Smartphone</v>
      </c>
      <c r="E60" t="str">
        <f>IF('Uncleaned Data'!E60="","Unknown",PROPER(TRIM(CLEAN(SUBSTITUTE('Uncleaned Data'!E60,CHAR(160)," ")))))</f>
        <v>Unknown</v>
      </c>
      <c r="F60" t="str">
        <f>IF('Uncleaned Data'!F60="","Unknown",PROPER(TRIM(CLEAN(SUBSTITUTE('Uncleaned Data'!F60,CHAR(160)," ")))))</f>
        <v>Central</v>
      </c>
      <c r="G60">
        <f>IF('Uncleaned Data'!G60="","",IF('Uncleaned Data'!G60&lt;=0,"", 'Uncleaned Data'!G60))</f>
        <v>2</v>
      </c>
      <c r="H60">
        <f>IF('Uncleaned Data'!H60="","",'Uncleaned Data'!H60)</f>
        <v>26681.01</v>
      </c>
      <c r="I60">
        <f t="shared" si="1"/>
        <v>53362.02</v>
      </c>
    </row>
    <row r="61" spans="1:9" x14ac:dyDescent="0.35">
      <c r="A61" t="s">
        <v>110</v>
      </c>
      <c r="B61" s="2">
        <v>46076</v>
      </c>
      <c r="C61" t="str">
        <f>IF('Uncleaned Data'!C61="","Unknown",PROPER(TRIM(CLEAN(SUBSTITUTE('Uncleaned Data'!C61,CHAR(160)," ")))))</f>
        <v>Suresh Nair</v>
      </c>
      <c r="D61" t="str">
        <f>IF('Uncleaned Data'!D61="","Unknown",PROPER(TRIM(CLEAN(SUBSTITUTE('Uncleaned Data'!D61,CHAR(160)," ")))))</f>
        <v>Headphones</v>
      </c>
      <c r="E61" t="str">
        <f>IF('Uncleaned Data'!E61="","Unknown",PROPER(TRIM(CLEAN(SUBSTITUTE('Uncleaned Data'!E61,CHAR(160)," ")))))</f>
        <v>Electronics</v>
      </c>
      <c r="F61" t="str">
        <f>IF('Uncleaned Data'!F61="","Unknown",PROPER(TRIM(CLEAN(SUBSTITUTE('Uncleaned Data'!F61,CHAR(160)," ")))))</f>
        <v>South</v>
      </c>
      <c r="G61">
        <f>IF('Uncleaned Data'!G61="","",IF('Uncleaned Data'!G61&lt;=0,"", 'Uncleaned Data'!G61))</f>
        <v>3</v>
      </c>
      <c r="H61">
        <f>IF('Uncleaned Data'!H61="","",'Uncleaned Data'!H61)</f>
        <v>2390.88</v>
      </c>
      <c r="I61">
        <f t="shared" si="1"/>
        <v>7172.64</v>
      </c>
    </row>
    <row r="62" spans="1:9" x14ac:dyDescent="0.35">
      <c r="A62" t="s">
        <v>111</v>
      </c>
      <c r="B62" s="2">
        <v>46254</v>
      </c>
      <c r="C62" t="str">
        <f>IF('Uncleaned Data'!C62="","Unknown",PROPER(TRIM(CLEAN(SUBSTITUTE('Uncleaned Data'!C62,CHAR(160)," ")))))</f>
        <v>Priya Reddy</v>
      </c>
      <c r="D62" t="str">
        <f>IF('Uncleaned Data'!D62="","Unknown",PROPER(TRIM(CLEAN(SUBSTITUTE('Uncleaned Data'!D62,CHAR(160)," ")))))</f>
        <v>Keyboard</v>
      </c>
      <c r="E62" t="str">
        <f>IF('Uncleaned Data'!E62="","Unknown",PROPER(TRIM(CLEAN(SUBSTITUTE('Uncleaned Data'!E62,CHAR(160)," ")))))</f>
        <v>Accessories</v>
      </c>
      <c r="F62" t="str">
        <f>IF('Uncleaned Data'!F62="","Unknown",PROPER(TRIM(CLEAN(SUBSTITUTE('Uncleaned Data'!F62,CHAR(160)," ")))))</f>
        <v>North</v>
      </c>
      <c r="G62">
        <f>IF('Uncleaned Data'!G62="","",IF('Uncleaned Data'!G62&lt;=0,"", 'Uncleaned Data'!G62))</f>
        <v>5</v>
      </c>
      <c r="H62">
        <f>IF('Uncleaned Data'!H62="","",'Uncleaned Data'!H62)</f>
        <v>1795.87</v>
      </c>
      <c r="I62">
        <f t="shared" si="1"/>
        <v>8979.3499999999985</v>
      </c>
    </row>
    <row r="63" spans="1:9" x14ac:dyDescent="0.35">
      <c r="A63" t="s">
        <v>112</v>
      </c>
      <c r="B63" s="2">
        <v>46108</v>
      </c>
      <c r="C63" t="str">
        <f>IF('Uncleaned Data'!C63="","Unknown",PROPER(TRIM(CLEAN(SUBSTITUTE('Uncleaned Data'!C63,CHAR(160)," ")))))</f>
        <v>Vikram Singh</v>
      </c>
      <c r="D63" t="str">
        <f>IF('Uncleaned Data'!D63="","Unknown",PROPER(TRIM(CLEAN(SUBSTITUTE('Uncleaned Data'!D63,CHAR(160)," ")))))</f>
        <v>Office Chair</v>
      </c>
      <c r="E63" t="str">
        <f>IF('Uncleaned Data'!E63="","Unknown",PROPER(TRIM(CLEAN(SUBSTITUTE('Uncleaned Data'!E63,CHAR(160)," ")))))</f>
        <v>Furniture</v>
      </c>
      <c r="F63" t="str">
        <f>IF('Uncleaned Data'!F63="","Unknown",PROPER(TRIM(CLEAN(SUBSTITUTE('Uncleaned Data'!F63,CHAR(160)," ")))))</f>
        <v>East</v>
      </c>
      <c r="G63">
        <f>IF('Uncleaned Data'!G63="","",IF('Uncleaned Data'!G63&lt;=0,"", 'Uncleaned Data'!G63))</f>
        <v>3</v>
      </c>
      <c r="H63">
        <f>IF('Uncleaned Data'!H63="","",'Uncleaned Data'!H63)</f>
        <v>7724.95</v>
      </c>
      <c r="I63">
        <f t="shared" si="1"/>
        <v>23174.85</v>
      </c>
    </row>
    <row r="64" spans="1:9" x14ac:dyDescent="0.35">
      <c r="A64" t="s">
        <v>114</v>
      </c>
      <c r="B64" s="2">
        <v>46132</v>
      </c>
      <c r="C64" t="str">
        <f>IF('Uncleaned Data'!C64="","Unknown",PROPER(TRIM(CLEAN(SUBSTITUTE('Uncleaned Data'!C64,CHAR(160)," ")))))</f>
        <v>Swathi Das</v>
      </c>
      <c r="D64" t="str">
        <f>IF('Uncleaned Data'!D64="","Unknown",PROPER(TRIM(CLEAN(SUBSTITUTE('Uncleaned Data'!D64,CHAR(160)," ")))))</f>
        <v>Headphones</v>
      </c>
      <c r="E64" t="str">
        <f>IF('Uncleaned Data'!E64="","Unknown",PROPER(TRIM(CLEAN(SUBSTITUTE('Uncleaned Data'!E64,CHAR(160)," ")))))</f>
        <v>Electronics</v>
      </c>
      <c r="F64" t="str">
        <f>IF('Uncleaned Data'!F64="","Unknown",PROPER(TRIM(CLEAN(SUBSTITUTE('Uncleaned Data'!F64,CHAR(160)," ")))))</f>
        <v>North</v>
      </c>
      <c r="G64">
        <f>IF('Uncleaned Data'!G64="","",IF('Uncleaned Data'!G64&lt;=0,"", 'Uncleaned Data'!G64))</f>
        <v>4</v>
      </c>
      <c r="H64">
        <f>IF('Uncleaned Data'!H64="","",'Uncleaned Data'!H64)</f>
        <v>2525.84</v>
      </c>
      <c r="I64">
        <f t="shared" si="1"/>
        <v>10103.36</v>
      </c>
    </row>
    <row r="65" spans="1:9" x14ac:dyDescent="0.35">
      <c r="A65" t="s">
        <v>115</v>
      </c>
      <c r="B65" s="2">
        <v>46199</v>
      </c>
      <c r="C65" t="str">
        <f>IF('Uncleaned Data'!C65="","Unknown",PROPER(TRIM(CLEAN(SUBSTITUTE('Uncleaned Data'!C65,CHAR(160)," ")))))</f>
        <v>Vikram Singh</v>
      </c>
      <c r="D65" t="str">
        <f>IF('Uncleaned Data'!D65="","Unknown",PROPER(TRIM(CLEAN(SUBSTITUTE('Uncleaned Data'!D65,CHAR(160)," ")))))</f>
        <v>Smartphone</v>
      </c>
      <c r="E65" t="str">
        <f>IF('Uncleaned Data'!E65="","Unknown",PROPER(TRIM(CLEAN(SUBSTITUTE('Uncleaned Data'!E65,CHAR(160)," ")))))</f>
        <v>Electronics</v>
      </c>
      <c r="F65" t="str">
        <f>IF('Uncleaned Data'!F65="","Unknown",PROPER(TRIM(CLEAN(SUBSTITUTE('Uncleaned Data'!F65,CHAR(160)," ")))))</f>
        <v>Central</v>
      </c>
      <c r="G65" t="str">
        <f>IF('Uncleaned Data'!G65="","",IF('Uncleaned Data'!G65&lt;=0,"", 'Uncleaned Data'!G65))</f>
        <v/>
      </c>
      <c r="H65">
        <f>IF('Uncleaned Data'!H65="","",'Uncleaned Data'!H65)</f>
        <v>30492.29</v>
      </c>
      <c r="I65" t="str">
        <f t="shared" si="1"/>
        <v/>
      </c>
    </row>
    <row r="66" spans="1:9" x14ac:dyDescent="0.35">
      <c r="A66" t="s">
        <v>116</v>
      </c>
      <c r="B66" s="2">
        <v>46060</v>
      </c>
      <c r="C66" t="str">
        <f>IF('Uncleaned Data'!C66="","Unknown",PROPER(TRIM(CLEAN(SUBSTITUTE('Uncleaned Data'!C66,CHAR(160)," ")))))</f>
        <v>Divya Menon</v>
      </c>
      <c r="D66" t="str">
        <f>IF('Uncleaned Data'!D66="","Unknown",PROPER(TRIM(CLEAN(SUBSTITUTE('Uncleaned Data'!D66,CHAR(160)," ")))))</f>
        <v>Laptop</v>
      </c>
      <c r="E66" t="str">
        <f>IF('Uncleaned Data'!E66="","Unknown",PROPER(TRIM(CLEAN(SUBSTITUTE('Uncleaned Data'!E66,CHAR(160)," ")))))</f>
        <v>Electronics</v>
      </c>
      <c r="F66" t="str">
        <f>IF('Uncleaned Data'!F66="","Unknown",PROPER(TRIM(CLEAN(SUBSTITUTE('Uncleaned Data'!F66,CHAR(160)," ")))))</f>
        <v>South</v>
      </c>
      <c r="G66">
        <f>IF('Uncleaned Data'!G66="","",IF('Uncleaned Data'!G66&lt;=0,"", 'Uncleaned Data'!G66))</f>
        <v>3</v>
      </c>
      <c r="H66">
        <f>IF('Uncleaned Data'!H66="","",'Uncleaned Data'!H66)</f>
        <v>55907.61</v>
      </c>
      <c r="I66">
        <f t="shared" ref="I66:I97" si="2">IF(OR(G66="",H66=""),"",G66*H66)</f>
        <v>167722.83000000002</v>
      </c>
    </row>
    <row r="67" spans="1:9" x14ac:dyDescent="0.35">
      <c r="A67" t="s">
        <v>117</v>
      </c>
      <c r="B67" s="2">
        <v>46261</v>
      </c>
      <c r="C67" t="str">
        <f>IF('Uncleaned Data'!C67="","Unknown",PROPER(TRIM(CLEAN(SUBSTITUTE('Uncleaned Data'!C67,CHAR(160)," ")))))</f>
        <v>Priya Reddy</v>
      </c>
      <c r="D67" t="str">
        <f>IF('Uncleaned Data'!D67="","Unknown",PROPER(TRIM(CLEAN(SUBSTITUTE('Uncleaned Data'!D67,CHAR(160)," ")))))</f>
        <v>Laptop</v>
      </c>
      <c r="E67" t="str">
        <f>IF('Uncleaned Data'!E67="","Unknown",PROPER(TRIM(CLEAN(SUBSTITUTE('Uncleaned Data'!E67,CHAR(160)," ")))))</f>
        <v>Electronics</v>
      </c>
      <c r="F67" t="str">
        <f>IF('Uncleaned Data'!F67="","Unknown",PROPER(TRIM(CLEAN(SUBSTITUTE('Uncleaned Data'!F67,CHAR(160)," ")))))</f>
        <v>East</v>
      </c>
      <c r="G67">
        <f>IF('Uncleaned Data'!G67="","",IF('Uncleaned Data'!G67&lt;=0,"", 'Uncleaned Data'!G67))</f>
        <v>3</v>
      </c>
      <c r="H67">
        <f>IF('Uncleaned Data'!H67="","",'Uncleaned Data'!H67)</f>
        <v>53511.17</v>
      </c>
      <c r="I67">
        <f t="shared" si="2"/>
        <v>160533.51</v>
      </c>
    </row>
    <row r="68" spans="1:9" x14ac:dyDescent="0.35">
      <c r="A68" t="s">
        <v>118</v>
      </c>
      <c r="B68" s="2">
        <v>46113</v>
      </c>
      <c r="C68" t="str">
        <f>IF('Uncleaned Data'!C68="","Unknown",PROPER(TRIM(CLEAN(SUBSTITUTE('Uncleaned Data'!C68,CHAR(160)," ")))))</f>
        <v>Unknown</v>
      </c>
      <c r="D68" t="str">
        <f>IF('Uncleaned Data'!D68="","Unknown",PROPER(TRIM(CLEAN(SUBSTITUTE('Uncleaned Data'!D68,CHAR(160)," ")))))</f>
        <v>Monitor</v>
      </c>
      <c r="E68" t="str">
        <f>IF('Uncleaned Data'!E68="","Unknown",PROPER(TRIM(CLEAN(SUBSTITUTE('Uncleaned Data'!E68,CHAR(160)," ")))))</f>
        <v>Electronics</v>
      </c>
      <c r="F68" t="str">
        <f>IF('Uncleaned Data'!F68="","Unknown",PROPER(TRIM(CLEAN(SUBSTITUTE('Uncleaned Data'!F68,CHAR(160)," ")))))</f>
        <v>West</v>
      </c>
      <c r="G68">
        <f>IF('Uncleaned Data'!G68="","",IF('Uncleaned Data'!G68&lt;=0,"", 'Uncleaned Data'!G68))</f>
        <v>2</v>
      </c>
      <c r="H68">
        <f>IF('Uncleaned Data'!H68="","",'Uncleaned Data'!H68)</f>
        <v>15500.8</v>
      </c>
      <c r="I68">
        <f t="shared" si="2"/>
        <v>31001.599999999999</v>
      </c>
    </row>
    <row r="69" spans="1:9" x14ac:dyDescent="0.35">
      <c r="A69" t="s">
        <v>119</v>
      </c>
      <c r="B69" s="2">
        <v>46083</v>
      </c>
      <c r="C69" t="str">
        <f>IF('Uncleaned Data'!C69="","Unknown",PROPER(TRIM(CLEAN(SUBSTITUTE('Uncleaned Data'!C69,CHAR(160)," ")))))</f>
        <v>Ananya Rao</v>
      </c>
      <c r="D69" t="str">
        <f>IF('Uncleaned Data'!D69="","Unknown",PROPER(TRIM(CLEAN(SUBSTITUTE('Uncleaned Data'!D69,CHAR(160)," ")))))</f>
        <v>Printer</v>
      </c>
      <c r="E69" t="str">
        <f>IF('Uncleaned Data'!E69="","Unknown",PROPER(TRIM(CLEAN(SUBSTITUTE('Uncleaned Data'!E69,CHAR(160)," ")))))</f>
        <v>Electronics</v>
      </c>
      <c r="F69" t="str">
        <f>IF('Uncleaned Data'!F69="","Unknown",PROPER(TRIM(CLEAN(SUBSTITUTE('Uncleaned Data'!F69,CHAR(160)," ")))))</f>
        <v>South</v>
      </c>
      <c r="G69">
        <f>IF('Uncleaned Data'!G69="","",IF('Uncleaned Data'!G69&lt;=0,"", 'Uncleaned Data'!G69))</f>
        <v>2</v>
      </c>
      <c r="H69">
        <f>IF('Uncleaned Data'!H69="","",'Uncleaned Data'!H69)</f>
        <v>13021.83</v>
      </c>
      <c r="I69">
        <f t="shared" si="2"/>
        <v>26043.66</v>
      </c>
    </row>
    <row r="70" spans="1:9" x14ac:dyDescent="0.35">
      <c r="A70" t="s">
        <v>120</v>
      </c>
      <c r="B70" s="2">
        <v>46259</v>
      </c>
      <c r="C70" t="str">
        <f>IF('Uncleaned Data'!C70="","Unknown",PROPER(TRIM(CLEAN(SUBSTITUTE('Uncleaned Data'!C70,CHAR(160)," ")))))</f>
        <v>Suresh Nair</v>
      </c>
      <c r="D70" t="str">
        <f>IF('Uncleaned Data'!D70="","Unknown",PROPER(TRIM(CLEAN(SUBSTITUTE('Uncleaned Data'!D70,CHAR(160)," ")))))</f>
        <v>Office Chair</v>
      </c>
      <c r="E70" t="str">
        <f>IF('Uncleaned Data'!E70="","Unknown",PROPER(TRIM(CLEAN(SUBSTITUTE('Uncleaned Data'!E70,CHAR(160)," ")))))</f>
        <v>Furniture</v>
      </c>
      <c r="F70" t="str">
        <f>IF('Uncleaned Data'!F70="","Unknown",PROPER(TRIM(CLEAN(SUBSTITUTE('Uncleaned Data'!F70,CHAR(160)," ")))))</f>
        <v>West</v>
      </c>
      <c r="G70">
        <f>IF('Uncleaned Data'!G70="","",IF('Uncleaned Data'!G70&lt;=0,"", 'Uncleaned Data'!G70))</f>
        <v>1</v>
      </c>
      <c r="H70">
        <f>IF('Uncleaned Data'!H70="","",'Uncleaned Data'!H70)</f>
        <v>7954.91</v>
      </c>
      <c r="I70">
        <f t="shared" si="2"/>
        <v>7954.91</v>
      </c>
    </row>
    <row r="71" spans="1:9" x14ac:dyDescent="0.35">
      <c r="A71" t="s">
        <v>121</v>
      </c>
      <c r="B71" s="2">
        <v>46202</v>
      </c>
      <c r="C71" t="str">
        <f>IF('Uncleaned Data'!C71="","Unknown",PROPER(TRIM(CLEAN(SUBSTITUTE('Uncleaned Data'!C71,CHAR(160)," ")))))</f>
        <v>Sneha Patel</v>
      </c>
      <c r="D71" t="str">
        <f>IF('Uncleaned Data'!D71="","Unknown",PROPER(TRIM(CLEAN(SUBSTITUTE('Uncleaned Data'!D71,CHAR(160)," ")))))</f>
        <v>Monitor</v>
      </c>
      <c r="E71" t="str">
        <f>IF('Uncleaned Data'!E71="","Unknown",PROPER(TRIM(CLEAN(SUBSTITUTE('Uncleaned Data'!E71,CHAR(160)," ")))))</f>
        <v>Electronics</v>
      </c>
      <c r="F71" t="str">
        <f>IF('Uncleaned Data'!F71="","Unknown",PROPER(TRIM(CLEAN(SUBSTITUTE('Uncleaned Data'!F71,CHAR(160)," ")))))</f>
        <v>West</v>
      </c>
      <c r="G71">
        <f>IF('Uncleaned Data'!G71="","",IF('Uncleaned Data'!G71&lt;=0,"", 'Uncleaned Data'!G71))</f>
        <v>3</v>
      </c>
      <c r="H71">
        <f>IF('Uncleaned Data'!H71="","",'Uncleaned Data'!H71)</f>
        <v>13977.59</v>
      </c>
      <c r="I71">
        <f t="shared" si="2"/>
        <v>41932.770000000004</v>
      </c>
    </row>
    <row r="72" spans="1:9" x14ac:dyDescent="0.35">
      <c r="A72" t="s">
        <v>122</v>
      </c>
      <c r="B72" s="2">
        <v>46232</v>
      </c>
      <c r="C72" t="str">
        <f>IF('Uncleaned Data'!C72="","Unknown",PROPER(TRIM(CLEAN(SUBSTITUTE('Uncleaned Data'!C72,CHAR(160)," ")))))</f>
        <v>Manoj Reddy</v>
      </c>
      <c r="D72" t="str">
        <f>IF('Uncleaned Data'!D72="","Unknown",PROPER(TRIM(CLEAN(SUBSTITUTE('Uncleaned Data'!D72,CHAR(160)," ")))))</f>
        <v>Laptop</v>
      </c>
      <c r="E72" t="str">
        <f>IF('Uncleaned Data'!E72="","Unknown",PROPER(TRIM(CLEAN(SUBSTITUTE('Uncleaned Data'!E72,CHAR(160)," ")))))</f>
        <v>Electronics</v>
      </c>
      <c r="F72" t="str">
        <f>IF('Uncleaned Data'!F72="","Unknown",PROPER(TRIM(CLEAN(SUBSTITUTE('Uncleaned Data'!F72,CHAR(160)," ")))))</f>
        <v>East</v>
      </c>
      <c r="G72">
        <f>IF('Uncleaned Data'!G72="","",IF('Uncleaned Data'!G72&lt;=0,"", 'Uncleaned Data'!G72))</f>
        <v>4</v>
      </c>
      <c r="H72">
        <f>IF('Uncleaned Data'!H72="","",'Uncleaned Data'!H72)</f>
        <v>51946.77</v>
      </c>
      <c r="I72">
        <f t="shared" si="2"/>
        <v>207787.08</v>
      </c>
    </row>
    <row r="73" spans="1:9" x14ac:dyDescent="0.35">
      <c r="A73" t="s">
        <v>123</v>
      </c>
      <c r="B73" s="2">
        <v>46191</v>
      </c>
      <c r="C73" t="str">
        <f>IF('Uncleaned Data'!C73="","Unknown",PROPER(TRIM(CLEAN(SUBSTITUTE('Uncleaned Data'!C73,CHAR(160)," ")))))</f>
        <v>Kiran Das</v>
      </c>
      <c r="D73" t="str">
        <f>IF('Uncleaned Data'!D73="","Unknown",PROPER(TRIM(CLEAN(SUBSTITUTE('Uncleaned Data'!D73,CHAR(160)," ")))))</f>
        <v>Keyboard</v>
      </c>
      <c r="E73" t="str">
        <f>IF('Uncleaned Data'!E73="","Unknown",PROPER(TRIM(CLEAN(SUBSTITUTE('Uncleaned Data'!E73,CHAR(160)," ")))))</f>
        <v>Accessories</v>
      </c>
      <c r="F73" t="str">
        <f>IF('Uncleaned Data'!F73="","Unknown",PROPER(TRIM(CLEAN(SUBSTITUTE('Uncleaned Data'!F73,CHAR(160)," ")))))</f>
        <v>West</v>
      </c>
      <c r="G73">
        <f>IF('Uncleaned Data'!G73="","",IF('Uncleaned Data'!G73&lt;=0,"", 'Uncleaned Data'!G73))</f>
        <v>2</v>
      </c>
      <c r="H73">
        <f>IF('Uncleaned Data'!H73="","",'Uncleaned Data'!H73)</f>
        <v>1700.25</v>
      </c>
      <c r="I73">
        <f t="shared" si="2"/>
        <v>3400.5</v>
      </c>
    </row>
    <row r="74" spans="1:9" x14ac:dyDescent="0.35">
      <c r="A74" t="s">
        <v>124</v>
      </c>
      <c r="B74" s="2">
        <v>46220</v>
      </c>
      <c r="C74" t="str">
        <f>IF('Uncleaned Data'!C74="","Unknown",PROPER(TRIM(CLEAN(SUBSTITUTE('Uncleaned Data'!C74,CHAR(160)," ")))))</f>
        <v>Rohit Verma</v>
      </c>
      <c r="D74" t="str">
        <f>IF('Uncleaned Data'!D74="","Unknown",PROPER(TRIM(CLEAN(SUBSTITUTE('Uncleaned Data'!D74,CHAR(160)," ")))))</f>
        <v>Mouse</v>
      </c>
      <c r="E74" t="str">
        <f>IF('Uncleaned Data'!E74="","Unknown",PROPER(TRIM(CLEAN(SUBSTITUTE('Uncleaned Data'!E74,CHAR(160)," ")))))</f>
        <v>Accessories</v>
      </c>
      <c r="F74" t="str">
        <f>IF('Uncleaned Data'!F74="","Unknown",PROPER(TRIM(CLEAN(SUBSTITUTE('Uncleaned Data'!F74,CHAR(160)," ")))))</f>
        <v>East</v>
      </c>
      <c r="G74">
        <f>IF('Uncleaned Data'!G74="","",IF('Uncleaned Data'!G74&lt;=0,"", 'Uncleaned Data'!G74))</f>
        <v>3</v>
      </c>
      <c r="H74">
        <f>IF('Uncleaned Data'!H74="","",'Uncleaned Data'!H74)</f>
        <v>965.58</v>
      </c>
      <c r="I74">
        <f t="shared" si="2"/>
        <v>2896.7400000000002</v>
      </c>
    </row>
    <row r="75" spans="1:9" x14ac:dyDescent="0.35">
      <c r="A75" t="s">
        <v>125</v>
      </c>
      <c r="B75" s="2">
        <v>46238</v>
      </c>
      <c r="C75" t="str">
        <f>IF('Uncleaned Data'!C75="","Unknown",PROPER(TRIM(CLEAN(SUBSTITUTE('Uncleaned Data'!C75,CHAR(160)," ")))))</f>
        <v>Swathi Das</v>
      </c>
      <c r="D75" t="str">
        <f>IF('Uncleaned Data'!D75="","Unknown",PROPER(TRIM(CLEAN(SUBSTITUTE('Uncleaned Data'!D75,CHAR(160)," ")))))</f>
        <v>Backpack</v>
      </c>
      <c r="E75" t="str">
        <f>IF('Uncleaned Data'!E75="","Unknown",PROPER(TRIM(CLEAN(SUBSTITUTE('Uncleaned Data'!E75,CHAR(160)," ")))))</f>
        <v>Accessories</v>
      </c>
      <c r="F75" t="str">
        <f>IF('Uncleaned Data'!F75="","Unknown",PROPER(TRIM(CLEAN(SUBSTITUTE('Uncleaned Data'!F75,CHAR(160)," ")))))</f>
        <v>East</v>
      </c>
      <c r="G75">
        <f>IF('Uncleaned Data'!G75="","",IF('Uncleaned Data'!G75&lt;=0,"", 'Uncleaned Data'!G75))</f>
        <v>4</v>
      </c>
      <c r="H75">
        <f>IF('Uncleaned Data'!H75="","",'Uncleaned Data'!H75)</f>
        <v>2278.9899999999998</v>
      </c>
      <c r="I75">
        <f t="shared" si="2"/>
        <v>9115.9599999999991</v>
      </c>
    </row>
    <row r="76" spans="1:9" x14ac:dyDescent="0.35">
      <c r="A76" t="s">
        <v>127</v>
      </c>
      <c r="B76" s="2">
        <v>46089</v>
      </c>
      <c r="C76" t="str">
        <f>IF('Uncleaned Data'!C76="","Unknown",PROPER(TRIM(CLEAN(SUBSTITUTE('Uncleaned Data'!C76,CHAR(160)," ")))))</f>
        <v>Ananya Rao</v>
      </c>
      <c r="D76" t="str">
        <f>IF('Uncleaned Data'!D76="","Unknown",PROPER(TRIM(CLEAN(SUBSTITUTE('Uncleaned Data'!D76,CHAR(160)," ")))))</f>
        <v>Laptop</v>
      </c>
      <c r="E76" t="str">
        <f>IF('Uncleaned Data'!E76="","Unknown",PROPER(TRIM(CLEAN(SUBSTITUTE('Uncleaned Data'!E76,CHAR(160)," ")))))</f>
        <v>Electronics</v>
      </c>
      <c r="F76" t="str">
        <f>IF('Uncleaned Data'!F76="","Unknown",PROPER(TRIM(CLEAN(SUBSTITUTE('Uncleaned Data'!F76,CHAR(160)," ")))))</f>
        <v>Central</v>
      </c>
      <c r="G76">
        <f>IF('Uncleaned Data'!G76="","",IF('Uncleaned Data'!G76&lt;=0,"", 'Uncleaned Data'!G76))</f>
        <v>1</v>
      </c>
      <c r="H76">
        <f>IF('Uncleaned Data'!H76="","",'Uncleaned Data'!H76)</f>
        <v>59147.42</v>
      </c>
      <c r="I76">
        <f t="shared" si="2"/>
        <v>59147.42</v>
      </c>
    </row>
    <row r="77" spans="1:9" x14ac:dyDescent="0.35">
      <c r="A77" t="s">
        <v>128</v>
      </c>
      <c r="B77" s="2">
        <v>46134</v>
      </c>
      <c r="C77" t="str">
        <f>IF('Uncleaned Data'!C77="","Unknown",PROPER(TRIM(CLEAN(SUBSTITUTE('Uncleaned Data'!C77,CHAR(160)," ")))))</f>
        <v>Pooja Iyer</v>
      </c>
      <c r="D77" t="str">
        <f>IF('Uncleaned Data'!D77="","Unknown",PROPER(TRIM(CLEAN(SUBSTITUTE('Uncleaned Data'!D77,CHAR(160)," ")))))</f>
        <v>Keyboard</v>
      </c>
      <c r="E77" t="str">
        <f>IF('Uncleaned Data'!E77="","Unknown",PROPER(TRIM(CLEAN(SUBSTITUTE('Uncleaned Data'!E77,CHAR(160)," ")))))</f>
        <v>Accessories</v>
      </c>
      <c r="F77" t="str">
        <f>IF('Uncleaned Data'!F77="","Unknown",PROPER(TRIM(CLEAN(SUBSTITUTE('Uncleaned Data'!F77,CHAR(160)," ")))))</f>
        <v>East</v>
      </c>
      <c r="G77">
        <f>IF('Uncleaned Data'!G77="","",IF('Uncleaned Data'!G77&lt;=0,"", 'Uncleaned Data'!G77))</f>
        <v>1</v>
      </c>
      <c r="H77">
        <f>IF('Uncleaned Data'!H77="","",'Uncleaned Data'!H77)</f>
        <v>1659.02</v>
      </c>
      <c r="I77">
        <f t="shared" si="2"/>
        <v>1659.02</v>
      </c>
    </row>
    <row r="78" spans="1:9" x14ac:dyDescent="0.35">
      <c r="A78" t="s">
        <v>129</v>
      </c>
      <c r="B78" s="2">
        <v>46052</v>
      </c>
      <c r="C78" t="str">
        <f>IF('Uncleaned Data'!C78="","Unknown",PROPER(TRIM(CLEAN(SUBSTITUTE('Uncleaned Data'!C78,CHAR(160)," ")))))</f>
        <v>Amit Shah</v>
      </c>
      <c r="D78" t="str">
        <f>IF('Uncleaned Data'!D78="","Unknown",PROPER(TRIM(CLEAN(SUBSTITUTE('Uncleaned Data'!D78,CHAR(160)," ")))))</f>
        <v>Office Chair</v>
      </c>
      <c r="E78" t="str">
        <f>IF('Uncleaned Data'!E78="","Unknown",PROPER(TRIM(CLEAN(SUBSTITUTE('Uncleaned Data'!E78,CHAR(160)," ")))))</f>
        <v>Furniture</v>
      </c>
      <c r="F78" t="str">
        <f>IF('Uncleaned Data'!F78="","Unknown",PROPER(TRIM(CLEAN(SUBSTITUTE('Uncleaned Data'!F78,CHAR(160)," ")))))</f>
        <v>Central</v>
      </c>
      <c r="G78">
        <f>IF('Uncleaned Data'!G78="","",IF('Uncleaned Data'!G78&lt;=0,"", 'Uncleaned Data'!G78))</f>
        <v>5</v>
      </c>
      <c r="H78">
        <f>IF('Uncleaned Data'!H78="","",'Uncleaned Data'!H78)</f>
        <v>9323.2000000000007</v>
      </c>
      <c r="I78">
        <f t="shared" si="2"/>
        <v>46616</v>
      </c>
    </row>
    <row r="79" spans="1:9" x14ac:dyDescent="0.35">
      <c r="A79" t="s">
        <v>132</v>
      </c>
      <c r="B79" s="2">
        <v>46134</v>
      </c>
      <c r="C79" t="str">
        <f>IF('Uncleaned Data'!C79="","Unknown",PROPER(TRIM(CLEAN(SUBSTITUTE('Uncleaned Data'!C79,CHAR(160)," ")))))</f>
        <v>Rahul Sharma</v>
      </c>
      <c r="D79" t="str">
        <f>IF('Uncleaned Data'!D79="","Unknown",PROPER(TRIM(CLEAN(SUBSTITUTE('Uncleaned Data'!D79,CHAR(160)," ")))))</f>
        <v>Monitor</v>
      </c>
      <c r="E79" t="str">
        <f>IF('Uncleaned Data'!E79="","Unknown",PROPER(TRIM(CLEAN(SUBSTITUTE('Uncleaned Data'!E79,CHAR(160)," ")))))</f>
        <v>Electronics</v>
      </c>
      <c r="F79" t="str">
        <f>IF('Uncleaned Data'!F79="","Unknown",PROPER(TRIM(CLEAN(SUBSTITUTE('Uncleaned Data'!F79,CHAR(160)," ")))))</f>
        <v>Central</v>
      </c>
      <c r="G79">
        <f>IF('Uncleaned Data'!G79="","",IF('Uncleaned Data'!G79&lt;=0,"", 'Uncleaned Data'!G79))</f>
        <v>3</v>
      </c>
      <c r="H79">
        <f>IF('Uncleaned Data'!H79="","",'Uncleaned Data'!H79)</f>
        <v>13633.16</v>
      </c>
      <c r="I79">
        <f t="shared" si="2"/>
        <v>40899.479999999996</v>
      </c>
    </row>
    <row r="80" spans="1:9" x14ac:dyDescent="0.35">
      <c r="A80" t="s">
        <v>133</v>
      </c>
      <c r="B80" s="2">
        <v>46040</v>
      </c>
      <c r="C80" t="str">
        <f>IF('Uncleaned Data'!C80="","Unknown",PROPER(TRIM(CLEAN(SUBSTITUTE('Uncleaned Data'!C80,CHAR(160)," ")))))</f>
        <v>Suresh Nair</v>
      </c>
      <c r="D80" t="str">
        <f>IF('Uncleaned Data'!D80="","Unknown",PROPER(TRIM(CLEAN(SUBSTITUTE('Uncleaned Data'!D80,CHAR(160)," ")))))</f>
        <v>Backpack</v>
      </c>
      <c r="E80" t="str">
        <f>IF('Uncleaned Data'!E80="","Unknown",PROPER(TRIM(CLEAN(SUBSTITUTE('Uncleaned Data'!E80,CHAR(160)," ")))))</f>
        <v>Accessories</v>
      </c>
      <c r="F80" t="str">
        <f>IF('Uncleaned Data'!F80="","Unknown",PROPER(TRIM(CLEAN(SUBSTITUTE('Uncleaned Data'!F80,CHAR(160)," ")))))</f>
        <v>Central</v>
      </c>
      <c r="G80">
        <f>IF('Uncleaned Data'!G80="","",IF('Uncleaned Data'!G80&lt;=0,"", 'Uncleaned Data'!G80))</f>
        <v>2</v>
      </c>
      <c r="H80">
        <f>IF('Uncleaned Data'!H80="","",'Uncleaned Data'!H80)</f>
        <v>2140.2600000000002</v>
      </c>
      <c r="I80">
        <f t="shared" si="2"/>
        <v>4280.5200000000004</v>
      </c>
    </row>
    <row r="81" spans="1:9" x14ac:dyDescent="0.35">
      <c r="A81" t="s">
        <v>134</v>
      </c>
      <c r="B81" s="2">
        <v>46099</v>
      </c>
      <c r="C81" t="str">
        <f>IF('Uncleaned Data'!C81="","Unknown",PROPER(TRIM(CLEAN(SUBSTITUTE('Uncleaned Data'!C81,CHAR(160)," ")))))</f>
        <v>Ravi Kumar</v>
      </c>
      <c r="D81" t="str">
        <f>IF('Uncleaned Data'!D81="","Unknown",PROPER(TRIM(CLEAN(SUBSTITUTE('Uncleaned Data'!D81,CHAR(160)," ")))))</f>
        <v>Mouse</v>
      </c>
      <c r="E81" t="str">
        <f>IF('Uncleaned Data'!E81="","Unknown",PROPER(TRIM(CLEAN(SUBSTITUTE('Uncleaned Data'!E81,CHAR(160)," ")))))</f>
        <v>Accessories</v>
      </c>
      <c r="F81" t="str">
        <f>IF('Uncleaned Data'!F81="","Unknown",PROPER(TRIM(CLEAN(SUBSTITUTE('Uncleaned Data'!F81,CHAR(160)," ")))))</f>
        <v>East</v>
      </c>
      <c r="G81">
        <f>IF('Uncleaned Data'!G81="","",IF('Uncleaned Data'!G81&lt;=0,"", 'Uncleaned Data'!G81))</f>
        <v>1</v>
      </c>
      <c r="H81">
        <f>IF('Uncleaned Data'!H81="","",'Uncleaned Data'!H81)</f>
        <v>939.56</v>
      </c>
      <c r="I81">
        <f t="shared" si="2"/>
        <v>939.56</v>
      </c>
    </row>
    <row r="82" spans="1:9" x14ac:dyDescent="0.35">
      <c r="A82" t="s">
        <v>135</v>
      </c>
      <c r="B82" s="2">
        <v>46098</v>
      </c>
      <c r="C82" t="str">
        <f>IF('Uncleaned Data'!C82="","Unknown",PROPER(TRIM(CLEAN(SUBSTITUTE('Uncleaned Data'!C82,CHAR(160)," ")))))</f>
        <v>Swathi Das</v>
      </c>
      <c r="D82" t="str">
        <f>IF('Uncleaned Data'!D82="","Unknown",PROPER(TRIM(CLEAN(SUBSTITUTE('Uncleaned Data'!D82,CHAR(160)," ")))))</f>
        <v>Office Chair</v>
      </c>
      <c r="E82" t="str">
        <f>IF('Uncleaned Data'!E82="","Unknown",PROPER(TRIM(CLEAN(SUBSTITUTE('Uncleaned Data'!E82,CHAR(160)," ")))))</f>
        <v>Furniture</v>
      </c>
      <c r="F82" t="str">
        <f>IF('Uncleaned Data'!F82="","Unknown",PROPER(TRIM(CLEAN(SUBSTITUTE('Uncleaned Data'!F82,CHAR(160)," ")))))</f>
        <v>South</v>
      </c>
      <c r="G82">
        <f>IF('Uncleaned Data'!G82="","",IF('Uncleaned Data'!G82&lt;=0,"", 'Uncleaned Data'!G82))</f>
        <v>3</v>
      </c>
      <c r="H82">
        <f>IF('Uncleaned Data'!H82="","",'Uncleaned Data'!H82)</f>
        <v>8334.08</v>
      </c>
      <c r="I82">
        <f t="shared" si="2"/>
        <v>25002.239999999998</v>
      </c>
    </row>
    <row r="83" spans="1:9" x14ac:dyDescent="0.35">
      <c r="A83" t="s">
        <v>136</v>
      </c>
      <c r="B83" s="2">
        <v>46120</v>
      </c>
      <c r="C83" t="str">
        <f>IF('Uncleaned Data'!C83="","Unknown",PROPER(TRIM(CLEAN(SUBSTITUTE('Uncleaned Data'!C83,CHAR(160)," ")))))</f>
        <v>Ananya Rao</v>
      </c>
      <c r="D83" t="str">
        <f>IF('Uncleaned Data'!D83="","Unknown",PROPER(TRIM(CLEAN(SUBSTITUTE('Uncleaned Data'!D83,CHAR(160)," ")))))</f>
        <v>Monitor</v>
      </c>
      <c r="E83" t="str">
        <f>IF('Uncleaned Data'!E83="","Unknown",PROPER(TRIM(CLEAN(SUBSTITUTE('Uncleaned Data'!E83,CHAR(160)," ")))))</f>
        <v>Electronics</v>
      </c>
      <c r="F83" t="str">
        <f>IF('Uncleaned Data'!F83="","Unknown",PROPER(TRIM(CLEAN(SUBSTITUTE('Uncleaned Data'!F83,CHAR(160)," ")))))</f>
        <v>Central</v>
      </c>
      <c r="G83">
        <f>IF('Uncleaned Data'!G83="","",IF('Uncleaned Data'!G83&lt;=0,"", 'Uncleaned Data'!G83))</f>
        <v>4</v>
      </c>
      <c r="H83">
        <f>IF('Uncleaned Data'!H83="","",'Uncleaned Data'!H83)</f>
        <v>15494.79</v>
      </c>
      <c r="I83">
        <f t="shared" si="2"/>
        <v>61979.16</v>
      </c>
    </row>
    <row r="84" spans="1:9" x14ac:dyDescent="0.35">
      <c r="A84" t="s">
        <v>137</v>
      </c>
      <c r="B84" s="2">
        <v>46236</v>
      </c>
      <c r="C84" t="str">
        <f>IF('Uncleaned Data'!C84="","Unknown",PROPER(TRIM(CLEAN(SUBSTITUTE('Uncleaned Data'!C84,CHAR(160)," ")))))</f>
        <v>Rahul Sharma</v>
      </c>
      <c r="D84" t="str">
        <f>IF('Uncleaned Data'!D84="","Unknown",PROPER(TRIM(CLEAN(SUBSTITUTE('Uncleaned Data'!D84,CHAR(160)," ")))))</f>
        <v>Unknown</v>
      </c>
      <c r="E84" t="str">
        <f>IF('Uncleaned Data'!E84="","Unknown",PROPER(TRIM(CLEAN(SUBSTITUTE('Uncleaned Data'!E84,CHAR(160)," ")))))</f>
        <v>Electronics</v>
      </c>
      <c r="F84" t="str">
        <f>IF('Uncleaned Data'!F84="","Unknown",PROPER(TRIM(CLEAN(SUBSTITUTE('Uncleaned Data'!F84,CHAR(160)," ")))))</f>
        <v>East</v>
      </c>
      <c r="G84">
        <f>IF('Uncleaned Data'!G84="","",IF('Uncleaned Data'!G84&lt;=0,"", 'Uncleaned Data'!G84))</f>
        <v>3</v>
      </c>
      <c r="H84">
        <f>IF('Uncleaned Data'!H84="","",'Uncleaned Data'!H84)</f>
        <v>11774.58</v>
      </c>
      <c r="I84">
        <f t="shared" si="2"/>
        <v>35323.74</v>
      </c>
    </row>
    <row r="85" spans="1:9" x14ac:dyDescent="0.35">
      <c r="A85" t="s">
        <v>138</v>
      </c>
      <c r="B85" s="2">
        <v>46171</v>
      </c>
      <c r="C85" t="str">
        <f>IF('Uncleaned Data'!C85="","Unknown",PROPER(TRIM(CLEAN(SUBSTITUTE('Uncleaned Data'!C85,CHAR(160)," ")))))</f>
        <v>Lakshmi Devi</v>
      </c>
      <c r="D85" t="str">
        <f>IF('Uncleaned Data'!D85="","Unknown",PROPER(TRIM(CLEAN(SUBSTITUTE('Uncleaned Data'!D85,CHAR(160)," ")))))</f>
        <v>Keyboard</v>
      </c>
      <c r="E85" t="str">
        <f>IF('Uncleaned Data'!E85="","Unknown",PROPER(TRIM(CLEAN(SUBSTITUTE('Uncleaned Data'!E85,CHAR(160)," ")))))</f>
        <v>Accessories</v>
      </c>
      <c r="F85" t="str">
        <f>IF('Uncleaned Data'!F85="","Unknown",PROPER(TRIM(CLEAN(SUBSTITUTE('Uncleaned Data'!F85,CHAR(160)," ")))))</f>
        <v>East</v>
      </c>
      <c r="G85">
        <f>IF('Uncleaned Data'!G85="","",IF('Uncleaned Data'!G85&lt;=0,"", 'Uncleaned Data'!G85))</f>
        <v>2</v>
      </c>
      <c r="H85">
        <f>IF('Uncleaned Data'!H85="","",'Uncleaned Data'!H85)</f>
        <v>1774.76</v>
      </c>
      <c r="I85">
        <f t="shared" si="2"/>
        <v>3549.52</v>
      </c>
    </row>
    <row r="86" spans="1:9" x14ac:dyDescent="0.35">
      <c r="A86" t="s">
        <v>139</v>
      </c>
      <c r="B86" s="2">
        <v>46077</v>
      </c>
      <c r="C86" t="str">
        <f>IF('Uncleaned Data'!C86="","Unknown",PROPER(TRIM(CLEAN(SUBSTITUTE('Uncleaned Data'!C86,CHAR(160)," ")))))</f>
        <v>Ravi Kumar</v>
      </c>
      <c r="D86" t="str">
        <f>IF('Uncleaned Data'!D86="","Unknown",PROPER(TRIM(CLEAN(SUBSTITUTE('Uncleaned Data'!D86,CHAR(160)," ")))))</f>
        <v>Desk</v>
      </c>
      <c r="E86" t="str">
        <f>IF('Uncleaned Data'!E86="","Unknown",PROPER(TRIM(CLEAN(SUBSTITUTE('Uncleaned Data'!E86,CHAR(160)," ")))))</f>
        <v>Furniture</v>
      </c>
      <c r="F86" t="str">
        <f>IF('Uncleaned Data'!F86="","Unknown",PROPER(TRIM(CLEAN(SUBSTITUTE('Uncleaned Data'!F86,CHAR(160)," ")))))</f>
        <v>West</v>
      </c>
      <c r="G86">
        <f>IF('Uncleaned Data'!G86="","",IF('Uncleaned Data'!G86&lt;=0,"", 'Uncleaned Data'!G86))</f>
        <v>4</v>
      </c>
      <c r="H86">
        <f>IF('Uncleaned Data'!H86="","",'Uncleaned Data'!H86)</f>
        <v>11861.18</v>
      </c>
      <c r="I86">
        <f t="shared" si="2"/>
        <v>47444.72</v>
      </c>
    </row>
    <row r="87" spans="1:9" x14ac:dyDescent="0.35">
      <c r="A87" t="s">
        <v>140</v>
      </c>
      <c r="B87" s="2">
        <v>46192</v>
      </c>
      <c r="C87" t="str">
        <f>IF('Uncleaned Data'!C87="","Unknown",PROPER(TRIM(CLEAN(SUBSTITUTE('Uncleaned Data'!C87,CHAR(160)," ")))))</f>
        <v>Lakshmi Devi</v>
      </c>
      <c r="D87" t="str">
        <f>IF('Uncleaned Data'!D87="","Unknown",PROPER(TRIM(CLEAN(SUBSTITUTE('Uncleaned Data'!D87,CHAR(160)," ")))))</f>
        <v>Headphones</v>
      </c>
      <c r="E87" t="str">
        <f>IF('Uncleaned Data'!E87="","Unknown",PROPER(TRIM(CLEAN(SUBSTITUTE('Uncleaned Data'!E87,CHAR(160)," ")))))</f>
        <v>Electronics</v>
      </c>
      <c r="F87" t="str">
        <f>IF('Uncleaned Data'!F87="","Unknown",PROPER(TRIM(CLEAN(SUBSTITUTE('Uncleaned Data'!F87,CHAR(160)," ")))))</f>
        <v>East</v>
      </c>
      <c r="G87">
        <f>IF('Uncleaned Data'!G87="","",IF('Uncleaned Data'!G87&lt;=0,"", 'Uncleaned Data'!G87))</f>
        <v>1</v>
      </c>
      <c r="H87">
        <f>IF('Uncleaned Data'!H87="","",'Uncleaned Data'!H87)</f>
        <v>2391.89</v>
      </c>
      <c r="I87">
        <f t="shared" si="2"/>
        <v>2391.89</v>
      </c>
    </row>
    <row r="88" spans="1:9" x14ac:dyDescent="0.35">
      <c r="A88" t="s">
        <v>141</v>
      </c>
      <c r="B88" s="2">
        <v>46080</v>
      </c>
      <c r="C88" t="str">
        <f>IF('Uncleaned Data'!C88="","Unknown",PROPER(TRIM(CLEAN(SUBSTITUTE('Uncleaned Data'!C88,CHAR(160)," ")))))</f>
        <v>Kiran Das</v>
      </c>
      <c r="D88" t="str">
        <f>IF('Uncleaned Data'!D88="","Unknown",PROPER(TRIM(CLEAN(SUBSTITUTE('Uncleaned Data'!D88,CHAR(160)," ")))))</f>
        <v>Smartphone</v>
      </c>
      <c r="E88" t="str">
        <f>IF('Uncleaned Data'!E88="","Unknown",PROPER(TRIM(CLEAN(SUBSTITUTE('Uncleaned Data'!E88,CHAR(160)," ")))))</f>
        <v>Electronics</v>
      </c>
      <c r="F88" t="str">
        <f>IF('Uncleaned Data'!F88="","Unknown",PROPER(TRIM(CLEAN(SUBSTITUTE('Uncleaned Data'!F88,CHAR(160)," ")))))</f>
        <v>South</v>
      </c>
      <c r="G88">
        <f>IF('Uncleaned Data'!G88="","",IF('Uncleaned Data'!G88&lt;=0,"", 'Uncleaned Data'!G88))</f>
        <v>2</v>
      </c>
      <c r="H88">
        <f>IF('Uncleaned Data'!H88="","",'Uncleaned Data'!H88)</f>
        <v>28967.66</v>
      </c>
      <c r="I88">
        <f t="shared" si="2"/>
        <v>57935.32</v>
      </c>
    </row>
    <row r="89" spans="1:9" x14ac:dyDescent="0.35">
      <c r="A89" t="s">
        <v>142</v>
      </c>
      <c r="B89" s="2">
        <v>46144</v>
      </c>
      <c r="C89" t="str">
        <f>IF('Uncleaned Data'!C89="","Unknown",PROPER(TRIM(CLEAN(SUBSTITUTE('Uncleaned Data'!C89,CHAR(160)," ")))))</f>
        <v>Lakshmi Devi</v>
      </c>
      <c r="D89" t="str">
        <f>IF('Uncleaned Data'!D89="","Unknown",PROPER(TRIM(CLEAN(SUBSTITUTE('Uncleaned Data'!D89,CHAR(160)," ")))))</f>
        <v>Laptop</v>
      </c>
      <c r="E89" t="str">
        <f>IF('Uncleaned Data'!E89="","Unknown",PROPER(TRIM(CLEAN(SUBSTITUTE('Uncleaned Data'!E89,CHAR(160)," ")))))</f>
        <v>Electronics</v>
      </c>
      <c r="F89" t="str">
        <f>IF('Uncleaned Data'!F89="","Unknown",PROPER(TRIM(CLEAN(SUBSTITUTE('Uncleaned Data'!F89,CHAR(160)," ")))))</f>
        <v>North</v>
      </c>
      <c r="G89">
        <f>IF('Uncleaned Data'!G89="","",IF('Uncleaned Data'!G89&lt;=0,"", 'Uncleaned Data'!G89))</f>
        <v>1</v>
      </c>
      <c r="H89">
        <f>IF('Uncleaned Data'!H89="","",'Uncleaned Data'!H89)</f>
        <v>52193.27</v>
      </c>
      <c r="I89">
        <f t="shared" si="2"/>
        <v>52193.27</v>
      </c>
    </row>
    <row r="90" spans="1:9" x14ac:dyDescent="0.35">
      <c r="A90" t="s">
        <v>144</v>
      </c>
      <c r="B90" s="2">
        <v>46170</v>
      </c>
      <c r="C90" t="str">
        <f>IF('Uncleaned Data'!C90="","Unknown",PROPER(TRIM(CLEAN(SUBSTITUTE('Uncleaned Data'!C90,CHAR(160)," ")))))</f>
        <v>Kiran Das</v>
      </c>
      <c r="D90" t="str">
        <f>IF('Uncleaned Data'!D90="","Unknown",PROPER(TRIM(CLEAN(SUBSTITUTE('Uncleaned Data'!D90,CHAR(160)," ")))))</f>
        <v>Desk</v>
      </c>
      <c r="E90" t="str">
        <f>IF('Uncleaned Data'!E90="","Unknown",PROPER(TRIM(CLEAN(SUBSTITUTE('Uncleaned Data'!E90,CHAR(160)," ")))))</f>
        <v>Furniture</v>
      </c>
      <c r="F90" t="str">
        <f>IF('Uncleaned Data'!F90="","Unknown",PROPER(TRIM(CLEAN(SUBSTITUTE('Uncleaned Data'!F90,CHAR(160)," ")))))</f>
        <v>West</v>
      </c>
      <c r="G90">
        <f>IF('Uncleaned Data'!G90="","",IF('Uncleaned Data'!G90&lt;=0,"", 'Uncleaned Data'!G90))</f>
        <v>4</v>
      </c>
      <c r="H90">
        <f>IF('Uncleaned Data'!H90="","",'Uncleaned Data'!H90)</f>
        <v>12926.73</v>
      </c>
      <c r="I90">
        <f t="shared" si="2"/>
        <v>51706.92</v>
      </c>
    </row>
    <row r="91" spans="1:9" x14ac:dyDescent="0.35">
      <c r="A91" t="s">
        <v>145</v>
      </c>
      <c r="B91" s="2">
        <v>46190</v>
      </c>
      <c r="C91" t="str">
        <f>IF('Uncleaned Data'!C91="","Unknown",PROPER(TRIM(CLEAN(SUBSTITUTE('Uncleaned Data'!C91,CHAR(160)," ")))))</f>
        <v>Rahul Sharma</v>
      </c>
      <c r="D91" t="str">
        <f>IF('Uncleaned Data'!D91="","Unknown",PROPER(TRIM(CLEAN(SUBSTITUTE('Uncleaned Data'!D91,CHAR(160)," ")))))</f>
        <v>Desk</v>
      </c>
      <c r="E91" t="str">
        <f>IF('Uncleaned Data'!E91="","Unknown",PROPER(TRIM(CLEAN(SUBSTITUTE('Uncleaned Data'!E91,CHAR(160)," ")))))</f>
        <v>Furniture</v>
      </c>
      <c r="F91" t="str">
        <f>IF('Uncleaned Data'!F91="","Unknown",PROPER(TRIM(CLEAN(SUBSTITUTE('Uncleaned Data'!F91,CHAR(160)," ")))))</f>
        <v>North</v>
      </c>
      <c r="G91">
        <f>IF('Uncleaned Data'!G91="","",IF('Uncleaned Data'!G91&lt;=0,"", 'Uncleaned Data'!G91))</f>
        <v>4</v>
      </c>
      <c r="H91">
        <f>IF('Uncleaned Data'!H91="","",'Uncleaned Data'!H91)</f>
        <v>11385.56</v>
      </c>
      <c r="I91">
        <f t="shared" si="2"/>
        <v>45542.239999999998</v>
      </c>
    </row>
    <row r="92" spans="1:9" x14ac:dyDescent="0.35">
      <c r="A92" t="s">
        <v>146</v>
      </c>
      <c r="B92" s="2">
        <v>46201</v>
      </c>
      <c r="C92" t="str">
        <f>IF('Uncleaned Data'!C92="","Unknown",PROPER(TRIM(CLEAN(SUBSTITUTE('Uncleaned Data'!C92,CHAR(160)," ")))))</f>
        <v>Ravi Kumar</v>
      </c>
      <c r="D92" t="str">
        <f>IF('Uncleaned Data'!D92="","Unknown",PROPER(TRIM(CLEAN(SUBSTITUTE('Uncleaned Data'!D92,CHAR(160)," ")))))</f>
        <v>Office Chair</v>
      </c>
      <c r="E92" t="str">
        <f>IF('Uncleaned Data'!E92="","Unknown",PROPER(TRIM(CLEAN(SUBSTITUTE('Uncleaned Data'!E92,CHAR(160)," ")))))</f>
        <v>Furniture</v>
      </c>
      <c r="F92" t="str">
        <f>IF('Uncleaned Data'!F92="","Unknown",PROPER(TRIM(CLEAN(SUBSTITUTE('Uncleaned Data'!F92,CHAR(160)," ")))))</f>
        <v>West</v>
      </c>
      <c r="G92">
        <f>IF('Uncleaned Data'!G92="","",IF('Uncleaned Data'!G92&lt;=0,"", 'Uncleaned Data'!G92))</f>
        <v>2</v>
      </c>
      <c r="H92">
        <f>IF('Uncleaned Data'!H92="","",'Uncleaned Data'!H92)</f>
        <v>7949.01</v>
      </c>
      <c r="I92">
        <f t="shared" si="2"/>
        <v>15898.02</v>
      </c>
    </row>
    <row r="93" spans="1:9" x14ac:dyDescent="0.35">
      <c r="A93" t="s">
        <v>147</v>
      </c>
      <c r="B93" s="2">
        <v>46240</v>
      </c>
      <c r="C93" t="str">
        <f>IF('Uncleaned Data'!C93="","Unknown",PROPER(TRIM(CLEAN(SUBSTITUTE('Uncleaned Data'!C93,CHAR(160)," ")))))</f>
        <v>Sneha Patel</v>
      </c>
      <c r="D93" t="str">
        <f>IF('Uncleaned Data'!D93="","Unknown",PROPER(TRIM(CLEAN(SUBSTITUTE('Uncleaned Data'!D93,CHAR(160)," ")))))</f>
        <v>Laptop</v>
      </c>
      <c r="E93" t="str">
        <f>IF('Uncleaned Data'!E93="","Unknown",PROPER(TRIM(CLEAN(SUBSTITUTE('Uncleaned Data'!E93,CHAR(160)," ")))))</f>
        <v>Electronics</v>
      </c>
      <c r="F93" t="str">
        <f>IF('Uncleaned Data'!F93="","Unknown",PROPER(TRIM(CLEAN(SUBSTITUTE('Uncleaned Data'!F93,CHAR(160)," ")))))</f>
        <v>West</v>
      </c>
      <c r="G93" t="str">
        <f>IF('Uncleaned Data'!G93="","",IF('Uncleaned Data'!G93&lt;=0,"", 'Uncleaned Data'!G93))</f>
        <v/>
      </c>
      <c r="H93">
        <f>IF('Uncleaned Data'!H93="","",'Uncleaned Data'!H93)</f>
        <v>52241.18</v>
      </c>
      <c r="I93" t="str">
        <f t="shared" si="2"/>
        <v/>
      </c>
    </row>
    <row r="94" spans="1:9" x14ac:dyDescent="0.35">
      <c r="A94" t="s">
        <v>148</v>
      </c>
      <c r="B94" s="2">
        <v>46166</v>
      </c>
      <c r="C94" t="str">
        <f>IF('Uncleaned Data'!C94="","Unknown",PROPER(TRIM(CLEAN(SUBSTITUTE('Uncleaned Data'!C94,CHAR(160)," ")))))</f>
        <v>Lakshmi Devi</v>
      </c>
      <c r="D94" t="str">
        <f>IF('Uncleaned Data'!D94="","Unknown",PROPER(TRIM(CLEAN(SUBSTITUTE('Uncleaned Data'!D94,CHAR(160)," ")))))</f>
        <v>Headphones</v>
      </c>
      <c r="E94" t="str">
        <f>IF('Uncleaned Data'!E94="","Unknown",PROPER(TRIM(CLEAN(SUBSTITUTE('Uncleaned Data'!E94,CHAR(160)," ")))))</f>
        <v>Electronics</v>
      </c>
      <c r="F94" t="str">
        <f>IF('Uncleaned Data'!F94="","Unknown",PROPER(TRIM(CLEAN(SUBSTITUTE('Uncleaned Data'!F94,CHAR(160)," ")))))</f>
        <v>East</v>
      </c>
      <c r="G94">
        <f>IF('Uncleaned Data'!G94="","",IF('Uncleaned Data'!G94&lt;=0,"", 'Uncleaned Data'!G94))</f>
        <v>4</v>
      </c>
      <c r="H94">
        <f>IF('Uncleaned Data'!H94="","",'Uncleaned Data'!H94)</f>
        <v>2583.79</v>
      </c>
      <c r="I94">
        <f t="shared" si="2"/>
        <v>10335.16</v>
      </c>
    </row>
    <row r="95" spans="1:9" x14ac:dyDescent="0.35">
      <c r="A95" t="s">
        <v>149</v>
      </c>
      <c r="B95" s="2">
        <v>46251</v>
      </c>
      <c r="C95" t="str">
        <f>IF('Uncleaned Data'!C95="","Unknown",PROPER(TRIM(CLEAN(SUBSTITUTE('Uncleaned Data'!C95,CHAR(160)," ")))))</f>
        <v>Ravi Kumar</v>
      </c>
      <c r="D95" t="str">
        <f>IF('Uncleaned Data'!D95="","Unknown",PROPER(TRIM(CLEAN(SUBSTITUTE('Uncleaned Data'!D95,CHAR(160)," ")))))</f>
        <v>Desk</v>
      </c>
      <c r="E95" t="str">
        <f>IF('Uncleaned Data'!E95="","Unknown",PROPER(TRIM(CLEAN(SUBSTITUTE('Uncleaned Data'!E95,CHAR(160)," ")))))</f>
        <v>Furniture</v>
      </c>
      <c r="F95" t="str">
        <f>IF('Uncleaned Data'!F95="","Unknown",PROPER(TRIM(CLEAN(SUBSTITUTE('Uncleaned Data'!F95,CHAR(160)," ")))))</f>
        <v>West</v>
      </c>
      <c r="G95">
        <f>IF('Uncleaned Data'!G95="","",IF('Uncleaned Data'!G95&lt;=0,"", 'Uncleaned Data'!G95))</f>
        <v>5</v>
      </c>
      <c r="H95">
        <f>IF('Uncleaned Data'!H95="","",'Uncleaned Data'!H95)</f>
        <v>12756.02</v>
      </c>
      <c r="I95">
        <f t="shared" si="2"/>
        <v>63780.100000000006</v>
      </c>
    </row>
    <row r="96" spans="1:9" x14ac:dyDescent="0.35">
      <c r="A96" t="s">
        <v>150</v>
      </c>
      <c r="B96" s="2">
        <v>46213</v>
      </c>
      <c r="C96" t="str">
        <f>IF('Uncleaned Data'!C96="","Unknown",PROPER(TRIM(CLEAN(SUBSTITUTE('Uncleaned Data'!C96,CHAR(160)," ")))))</f>
        <v>Kavya Rao</v>
      </c>
      <c r="D96" t="str">
        <f>IF('Uncleaned Data'!D96="","Unknown",PROPER(TRIM(CLEAN(SUBSTITUTE('Uncleaned Data'!D96,CHAR(160)," ")))))</f>
        <v>Backpack</v>
      </c>
      <c r="E96" t="str">
        <f>IF('Uncleaned Data'!E96="","Unknown",PROPER(TRIM(CLEAN(SUBSTITUTE('Uncleaned Data'!E96,CHAR(160)," ")))))</f>
        <v>Accessories</v>
      </c>
      <c r="F96" t="str">
        <f>IF('Uncleaned Data'!F96="","Unknown",PROPER(TRIM(CLEAN(SUBSTITUTE('Uncleaned Data'!F96,CHAR(160)," ")))))</f>
        <v>West</v>
      </c>
      <c r="G96">
        <f>IF('Uncleaned Data'!G96="","",IF('Uncleaned Data'!G96&lt;=0,"", 'Uncleaned Data'!G96))</f>
        <v>4</v>
      </c>
      <c r="H96">
        <f>IF('Uncleaned Data'!H96="","",'Uncleaned Data'!H96)</f>
        <v>2374.77</v>
      </c>
      <c r="I96">
        <f t="shared" si="2"/>
        <v>9499.08</v>
      </c>
    </row>
    <row r="97" spans="1:9" x14ac:dyDescent="0.35">
      <c r="A97" t="s">
        <v>151</v>
      </c>
      <c r="B97" s="2">
        <v>46093</v>
      </c>
      <c r="C97" t="str">
        <f>IF('Uncleaned Data'!C97="","Unknown",PROPER(TRIM(CLEAN(SUBSTITUTE('Uncleaned Data'!C97,CHAR(160)," ")))))</f>
        <v>Ravi Kumar</v>
      </c>
      <c r="D97" t="str">
        <f>IF('Uncleaned Data'!D97="","Unknown",PROPER(TRIM(CLEAN(SUBSTITUTE('Uncleaned Data'!D97,CHAR(160)," ")))))</f>
        <v>Keyboard</v>
      </c>
      <c r="E97" t="str">
        <f>IF('Uncleaned Data'!E97="","Unknown",PROPER(TRIM(CLEAN(SUBSTITUTE('Uncleaned Data'!E97,CHAR(160)," ")))))</f>
        <v>Accessories</v>
      </c>
      <c r="F97" t="str">
        <f>IF('Uncleaned Data'!F97="","Unknown",PROPER(TRIM(CLEAN(SUBSTITUTE('Uncleaned Data'!F97,CHAR(160)," ")))))</f>
        <v>West</v>
      </c>
      <c r="G97">
        <f>IF('Uncleaned Data'!G97="","",IF('Uncleaned Data'!G97&lt;=0,"", 'Uncleaned Data'!G97))</f>
        <v>2</v>
      </c>
      <c r="H97">
        <f>IF('Uncleaned Data'!H97="","",'Uncleaned Data'!H97)</f>
        <v>1922.35</v>
      </c>
      <c r="I97">
        <f t="shared" si="2"/>
        <v>3844.7</v>
      </c>
    </row>
    <row r="98" spans="1:9" x14ac:dyDescent="0.35">
      <c r="A98" t="s">
        <v>152</v>
      </c>
      <c r="B98" s="2">
        <v>46205</v>
      </c>
      <c r="C98" t="str">
        <f>IF('Uncleaned Data'!C98="","Unknown",PROPER(TRIM(CLEAN(SUBSTITUTE('Uncleaned Data'!C98,CHAR(160)," ")))))</f>
        <v>Neha Gupta</v>
      </c>
      <c r="D98" t="str">
        <f>IF('Uncleaned Data'!D98="","Unknown",PROPER(TRIM(CLEAN(SUBSTITUTE('Uncleaned Data'!D98,CHAR(160)," ")))))</f>
        <v>Monitor</v>
      </c>
      <c r="E98" t="str">
        <f>IF('Uncleaned Data'!E98="","Unknown",PROPER(TRIM(CLEAN(SUBSTITUTE('Uncleaned Data'!E98,CHAR(160)," ")))))</f>
        <v>Electronics</v>
      </c>
      <c r="F98" t="str">
        <f>IF('Uncleaned Data'!F98="","Unknown",PROPER(TRIM(CLEAN(SUBSTITUTE('Uncleaned Data'!F98,CHAR(160)," ")))))</f>
        <v>South</v>
      </c>
      <c r="G98">
        <f>IF('Uncleaned Data'!G98="","",IF('Uncleaned Data'!G98&lt;=0,"", 'Uncleaned Data'!G98))</f>
        <v>3</v>
      </c>
      <c r="H98">
        <f>IF('Uncleaned Data'!H98="","",'Uncleaned Data'!H98)</f>
        <v>14819.62</v>
      </c>
      <c r="I98">
        <f t="shared" ref="I98:I129" si="3">IF(OR(G98="",H98=""),"",G98*H98)</f>
        <v>44458.86</v>
      </c>
    </row>
    <row r="99" spans="1:9" x14ac:dyDescent="0.35">
      <c r="A99" t="s">
        <v>154</v>
      </c>
      <c r="B99" s="2">
        <v>46161</v>
      </c>
      <c r="C99" t="str">
        <f>IF('Uncleaned Data'!C99="","Unknown",PROPER(TRIM(CLEAN(SUBSTITUTE('Uncleaned Data'!C99,CHAR(160)," ")))))</f>
        <v>Arjun Kumar</v>
      </c>
      <c r="D99" t="str">
        <f>IF('Uncleaned Data'!D99="","Unknown",PROPER(TRIM(CLEAN(SUBSTITUTE('Uncleaned Data'!D99,CHAR(160)," ")))))</f>
        <v>Keyboard</v>
      </c>
      <c r="E99" t="str">
        <f>IF('Uncleaned Data'!E99="","Unknown",PROPER(TRIM(CLEAN(SUBSTITUTE('Uncleaned Data'!E99,CHAR(160)," ")))))</f>
        <v>Accessories</v>
      </c>
      <c r="F99" t="str">
        <f>IF('Uncleaned Data'!F99="","Unknown",PROPER(TRIM(CLEAN(SUBSTITUTE('Uncleaned Data'!F99,CHAR(160)," ")))))</f>
        <v>South</v>
      </c>
      <c r="G99">
        <f>IF('Uncleaned Data'!G99="","",IF('Uncleaned Data'!G99&lt;=0,"", 'Uncleaned Data'!G99))</f>
        <v>3</v>
      </c>
      <c r="H99">
        <f>IF('Uncleaned Data'!H99="","",'Uncleaned Data'!H99)</f>
        <v>1735.1</v>
      </c>
      <c r="I99">
        <f t="shared" si="3"/>
        <v>5205.2999999999993</v>
      </c>
    </row>
    <row r="100" spans="1:9" x14ac:dyDescent="0.35">
      <c r="A100" t="s">
        <v>155</v>
      </c>
      <c r="B100" s="2">
        <v>46062</v>
      </c>
      <c r="C100" t="str">
        <f>IF('Uncleaned Data'!C100="","Unknown",PROPER(TRIM(CLEAN(SUBSTITUTE('Uncleaned Data'!C100,CHAR(160)," ")))))</f>
        <v>Kiran Das</v>
      </c>
      <c r="D100" t="str">
        <f>IF('Uncleaned Data'!D100="","Unknown",PROPER(TRIM(CLEAN(SUBSTITUTE('Uncleaned Data'!D100,CHAR(160)," ")))))</f>
        <v>Headphones</v>
      </c>
      <c r="E100" t="str">
        <f>IF('Uncleaned Data'!E100="","Unknown",PROPER(TRIM(CLEAN(SUBSTITUTE('Uncleaned Data'!E100,CHAR(160)," ")))))</f>
        <v>Electronics</v>
      </c>
      <c r="F100" t="str">
        <f>IF('Uncleaned Data'!F100="","Unknown",PROPER(TRIM(CLEAN(SUBSTITUTE('Uncleaned Data'!F100,CHAR(160)," ")))))</f>
        <v>North</v>
      </c>
      <c r="G100">
        <f>IF('Uncleaned Data'!G100="","",IF('Uncleaned Data'!G100&lt;=0,"", 'Uncleaned Data'!G100))</f>
        <v>2</v>
      </c>
      <c r="H100">
        <f>IF('Uncleaned Data'!H100="","",'Uncleaned Data'!H100)</f>
        <v>2441.52</v>
      </c>
      <c r="I100">
        <f t="shared" si="3"/>
        <v>4883.04</v>
      </c>
    </row>
    <row r="101" spans="1:9" x14ac:dyDescent="0.35">
      <c r="A101" t="s">
        <v>156</v>
      </c>
      <c r="B101" s="2">
        <v>46142</v>
      </c>
      <c r="C101" t="str">
        <f>IF('Uncleaned Data'!C101="","Unknown",PROPER(TRIM(CLEAN(SUBSTITUTE('Uncleaned Data'!C101,CHAR(160)," ")))))</f>
        <v>Divya Menon</v>
      </c>
      <c r="D101" t="str">
        <f>IF('Uncleaned Data'!D101="","Unknown",PROPER(TRIM(CLEAN(SUBSTITUTE('Uncleaned Data'!D101,CHAR(160)," ")))))</f>
        <v>Office Chair</v>
      </c>
      <c r="E101" t="str">
        <f>IF('Uncleaned Data'!E101="","Unknown",PROPER(TRIM(CLEAN(SUBSTITUTE('Uncleaned Data'!E101,CHAR(160)," ")))))</f>
        <v>Furniture</v>
      </c>
      <c r="F101" t="str">
        <f>IF('Uncleaned Data'!F101="","Unknown",PROPER(TRIM(CLEAN(SUBSTITUTE('Uncleaned Data'!F101,CHAR(160)," ")))))</f>
        <v>North</v>
      </c>
      <c r="G101">
        <f>IF('Uncleaned Data'!G101="","",IF('Uncleaned Data'!G101&lt;=0,"", 'Uncleaned Data'!G101))</f>
        <v>4</v>
      </c>
      <c r="H101">
        <f>IF('Uncleaned Data'!H101="","",'Uncleaned Data'!H101)</f>
        <v>8212.5</v>
      </c>
      <c r="I101">
        <f t="shared" si="3"/>
        <v>32850</v>
      </c>
    </row>
    <row r="102" spans="1:9" x14ac:dyDescent="0.35">
      <c r="A102" t="s">
        <v>157</v>
      </c>
      <c r="B102" s="2">
        <v>46220</v>
      </c>
      <c r="C102" t="str">
        <f>IF('Uncleaned Data'!C102="","Unknown",PROPER(TRIM(CLEAN(SUBSTITUTE('Uncleaned Data'!C102,CHAR(160)," ")))))</f>
        <v>Nikhil Jain</v>
      </c>
      <c r="D102" t="str">
        <f>IF('Uncleaned Data'!D102="","Unknown",PROPER(TRIM(CLEAN(SUBSTITUTE('Uncleaned Data'!D102,CHAR(160)," ")))))</f>
        <v>Monitor</v>
      </c>
      <c r="E102" t="str">
        <f>IF('Uncleaned Data'!E102="","Unknown",PROPER(TRIM(CLEAN(SUBSTITUTE('Uncleaned Data'!E102,CHAR(160)," ")))))</f>
        <v>Electronics</v>
      </c>
      <c r="F102" t="str">
        <f>IF('Uncleaned Data'!F102="","Unknown",PROPER(TRIM(CLEAN(SUBSTITUTE('Uncleaned Data'!F102,CHAR(160)," ")))))</f>
        <v>North</v>
      </c>
      <c r="G102">
        <f>IF('Uncleaned Data'!G102="","",IF('Uncleaned Data'!G102&lt;=0,"", 'Uncleaned Data'!G102))</f>
        <v>4</v>
      </c>
      <c r="H102">
        <f>IF('Uncleaned Data'!H102="","",'Uncleaned Data'!H102)</f>
        <v>14668.43</v>
      </c>
      <c r="I102">
        <f t="shared" si="3"/>
        <v>58673.72</v>
      </c>
    </row>
    <row r="103" spans="1:9" x14ac:dyDescent="0.35">
      <c r="A103" t="s">
        <v>158</v>
      </c>
      <c r="B103" s="2">
        <v>46264</v>
      </c>
      <c r="C103" t="str">
        <f>IF('Uncleaned Data'!C103="","Unknown",PROPER(TRIM(CLEAN(SUBSTITUTE('Uncleaned Data'!C103,CHAR(160)," ")))))</f>
        <v>Pooja Iyer</v>
      </c>
      <c r="D103" t="str">
        <f>IF('Uncleaned Data'!D103="","Unknown",PROPER(TRIM(CLEAN(SUBSTITUTE('Uncleaned Data'!D103,CHAR(160)," ")))))</f>
        <v>Printer</v>
      </c>
      <c r="E103" t="str">
        <f>IF('Uncleaned Data'!E103="","Unknown",PROPER(TRIM(CLEAN(SUBSTITUTE('Uncleaned Data'!E103,CHAR(160)," ")))))</f>
        <v>Electronics</v>
      </c>
      <c r="F103" t="str">
        <f>IF('Uncleaned Data'!F103="","Unknown",PROPER(TRIM(CLEAN(SUBSTITUTE('Uncleaned Data'!F103,CHAR(160)," ")))))</f>
        <v>East</v>
      </c>
      <c r="G103">
        <f>IF('Uncleaned Data'!G103="","",IF('Uncleaned Data'!G103&lt;=0,"", 'Uncleaned Data'!G103))</f>
        <v>4</v>
      </c>
      <c r="H103">
        <f>IF('Uncleaned Data'!H103="","",'Uncleaned Data'!H103)</f>
        <v>11944.75</v>
      </c>
      <c r="I103">
        <f t="shared" si="3"/>
        <v>47779</v>
      </c>
    </row>
    <row r="104" spans="1:9" x14ac:dyDescent="0.35">
      <c r="A104" t="s">
        <v>159</v>
      </c>
      <c r="B104" s="2">
        <v>46211</v>
      </c>
      <c r="C104" t="str">
        <f>IF('Uncleaned Data'!C104="","Unknown",PROPER(TRIM(CLEAN(SUBSTITUTE('Uncleaned Data'!C104,CHAR(160)," ")))))</f>
        <v>Swathi Das</v>
      </c>
      <c r="D104" t="str">
        <f>IF('Uncleaned Data'!D104="","Unknown",PROPER(TRIM(CLEAN(SUBSTITUTE('Uncleaned Data'!D104,CHAR(160)," ")))))</f>
        <v>Office Chair</v>
      </c>
      <c r="E104" t="str">
        <f>IF('Uncleaned Data'!E104="","Unknown",PROPER(TRIM(CLEAN(SUBSTITUTE('Uncleaned Data'!E104,CHAR(160)," ")))))</f>
        <v>Furniture</v>
      </c>
      <c r="F104" t="str">
        <f>IF('Uncleaned Data'!F104="","Unknown",PROPER(TRIM(CLEAN(SUBSTITUTE('Uncleaned Data'!F104,CHAR(160)," ")))))</f>
        <v>Central</v>
      </c>
      <c r="G104">
        <f>IF('Uncleaned Data'!G104="","",IF('Uncleaned Data'!G104&lt;=0,"", 'Uncleaned Data'!G104))</f>
        <v>4</v>
      </c>
      <c r="H104">
        <f>IF('Uncleaned Data'!H104="","",'Uncleaned Data'!H104)</f>
        <v>8564.9699999999993</v>
      </c>
      <c r="I104">
        <f t="shared" si="3"/>
        <v>34259.879999999997</v>
      </c>
    </row>
    <row r="105" spans="1:9" x14ac:dyDescent="0.35">
      <c r="A105" t="s">
        <v>160</v>
      </c>
      <c r="B105" s="2">
        <v>46134</v>
      </c>
      <c r="C105" t="str">
        <f>IF('Uncleaned Data'!C105="","Unknown",PROPER(TRIM(CLEAN(SUBSTITUTE('Uncleaned Data'!C105,CHAR(160)," ")))))</f>
        <v>Kavya Rao</v>
      </c>
      <c r="D105" t="str">
        <f>IF('Uncleaned Data'!D105="","Unknown",PROPER(TRIM(CLEAN(SUBSTITUTE('Uncleaned Data'!D105,CHAR(160)," ")))))</f>
        <v>Monitor</v>
      </c>
      <c r="E105" t="str">
        <f>IF('Uncleaned Data'!E105="","Unknown",PROPER(TRIM(CLEAN(SUBSTITUTE('Uncleaned Data'!E105,CHAR(160)," ")))))</f>
        <v>Unknown</v>
      </c>
      <c r="F105" t="str">
        <f>IF('Uncleaned Data'!F105="","Unknown",PROPER(TRIM(CLEAN(SUBSTITUTE('Uncleaned Data'!F105,CHAR(160)," ")))))</f>
        <v>North</v>
      </c>
      <c r="G105">
        <f>IF('Uncleaned Data'!G105="","",IF('Uncleaned Data'!G105&lt;=0,"", 'Uncleaned Data'!G105))</f>
        <v>4</v>
      </c>
      <c r="H105">
        <f>IF('Uncleaned Data'!H105="","",'Uncleaned Data'!H105)</f>
        <v>14158.26</v>
      </c>
      <c r="I105">
        <f t="shared" si="3"/>
        <v>56633.04</v>
      </c>
    </row>
    <row r="106" spans="1:9" x14ac:dyDescent="0.35">
      <c r="A106" t="s">
        <v>161</v>
      </c>
      <c r="B106" s="2">
        <v>46227</v>
      </c>
      <c r="C106" t="str">
        <f>IF('Uncleaned Data'!C106="","Unknown",PROPER(TRIM(CLEAN(SUBSTITUTE('Uncleaned Data'!C106,CHAR(160)," ")))))</f>
        <v>Amit Shah</v>
      </c>
      <c r="D106" t="str">
        <f>IF('Uncleaned Data'!D106="","Unknown",PROPER(TRIM(CLEAN(SUBSTITUTE('Uncleaned Data'!D106,CHAR(160)," ")))))</f>
        <v>Office Chair</v>
      </c>
      <c r="E106" t="str">
        <f>IF('Uncleaned Data'!E106="","Unknown",PROPER(TRIM(CLEAN(SUBSTITUTE('Uncleaned Data'!E106,CHAR(160)," ")))))</f>
        <v>Furniture</v>
      </c>
      <c r="F106" t="str">
        <f>IF('Uncleaned Data'!F106="","Unknown",PROPER(TRIM(CLEAN(SUBSTITUTE('Uncleaned Data'!F106,CHAR(160)," ")))))</f>
        <v>South</v>
      </c>
      <c r="G106">
        <f>IF('Uncleaned Data'!G106="","",IF('Uncleaned Data'!G106&lt;=0,"", 'Uncleaned Data'!G106))</f>
        <v>3</v>
      </c>
      <c r="H106">
        <f>IF('Uncleaned Data'!H106="","",'Uncleaned Data'!H106)</f>
        <v>8787.09</v>
      </c>
      <c r="I106">
        <f t="shared" si="3"/>
        <v>26361.27</v>
      </c>
    </row>
    <row r="107" spans="1:9" x14ac:dyDescent="0.35">
      <c r="A107" t="s">
        <v>162</v>
      </c>
      <c r="B107" s="2">
        <v>46159</v>
      </c>
      <c r="C107" t="str">
        <f>IF('Uncleaned Data'!C107="","Unknown",PROPER(TRIM(CLEAN(SUBSTITUTE('Uncleaned Data'!C107,CHAR(160)," ")))))</f>
        <v>Rahul Sharma</v>
      </c>
      <c r="D107" t="str">
        <f>IF('Uncleaned Data'!D107="","Unknown",PROPER(TRIM(CLEAN(SUBSTITUTE('Uncleaned Data'!D107,CHAR(160)," ")))))</f>
        <v>Desk</v>
      </c>
      <c r="E107" t="str">
        <f>IF('Uncleaned Data'!E107="","Unknown",PROPER(TRIM(CLEAN(SUBSTITUTE('Uncleaned Data'!E107,CHAR(160)," ")))))</f>
        <v>Furniture</v>
      </c>
      <c r="F107" t="str">
        <f>IF('Uncleaned Data'!F107="","Unknown",PROPER(TRIM(CLEAN(SUBSTITUTE('Uncleaned Data'!F107,CHAR(160)," ")))))</f>
        <v>West</v>
      </c>
      <c r="G107">
        <f>IF('Uncleaned Data'!G107="","",IF('Uncleaned Data'!G107&lt;=0,"", 'Uncleaned Data'!G107))</f>
        <v>2</v>
      </c>
      <c r="H107">
        <f>IF('Uncleaned Data'!H107="","",'Uncleaned Data'!H107)</f>
        <v>13153.73</v>
      </c>
      <c r="I107">
        <f t="shared" si="3"/>
        <v>26307.46</v>
      </c>
    </row>
    <row r="108" spans="1:9" x14ac:dyDescent="0.35">
      <c r="A108" t="s">
        <v>163</v>
      </c>
      <c r="B108" s="2">
        <v>46044</v>
      </c>
      <c r="C108" t="str">
        <f>IF('Uncleaned Data'!C108="","Unknown",PROPER(TRIM(CLEAN(SUBSTITUTE('Uncleaned Data'!C108,CHAR(160)," ")))))</f>
        <v>Divya Menon</v>
      </c>
      <c r="D108" t="str">
        <f>IF('Uncleaned Data'!D108="","Unknown",PROPER(TRIM(CLEAN(SUBSTITUTE('Uncleaned Data'!D108,CHAR(160)," ")))))</f>
        <v>Printer</v>
      </c>
      <c r="E108" t="str">
        <f>IF('Uncleaned Data'!E108="","Unknown",PROPER(TRIM(CLEAN(SUBSTITUTE('Uncleaned Data'!E108,CHAR(160)," ")))))</f>
        <v>Electronics</v>
      </c>
      <c r="F108" t="str">
        <f>IF('Uncleaned Data'!F108="","Unknown",PROPER(TRIM(CLEAN(SUBSTITUTE('Uncleaned Data'!F108,CHAR(160)," ")))))</f>
        <v>South</v>
      </c>
      <c r="G108">
        <f>IF('Uncleaned Data'!G108="","",IF('Uncleaned Data'!G108&lt;=0,"", 'Uncleaned Data'!G108))</f>
        <v>5</v>
      </c>
      <c r="H108">
        <f>IF('Uncleaned Data'!H108="","",'Uncleaned Data'!H108)</f>
        <v>12391.2</v>
      </c>
      <c r="I108">
        <f t="shared" si="3"/>
        <v>61956</v>
      </c>
    </row>
    <row r="109" spans="1:9" x14ac:dyDescent="0.35">
      <c r="A109" t="s">
        <v>164</v>
      </c>
      <c r="B109" s="2">
        <v>46120</v>
      </c>
      <c r="C109" t="str">
        <f>IF('Uncleaned Data'!C109="","Unknown",PROPER(TRIM(CLEAN(SUBSTITUTE('Uncleaned Data'!C109,CHAR(160)," ")))))</f>
        <v>Suresh Nair</v>
      </c>
      <c r="D109" t="str">
        <f>IF('Uncleaned Data'!D109="","Unknown",PROPER(TRIM(CLEAN(SUBSTITUTE('Uncleaned Data'!D109,CHAR(160)," ")))))</f>
        <v>Desk</v>
      </c>
      <c r="E109" t="str">
        <f>IF('Uncleaned Data'!E109="","Unknown",PROPER(TRIM(CLEAN(SUBSTITUTE('Uncleaned Data'!E109,CHAR(160)," ")))))</f>
        <v>Furniture</v>
      </c>
      <c r="F109" t="str">
        <f>IF('Uncleaned Data'!F109="","Unknown",PROPER(TRIM(CLEAN(SUBSTITUTE('Uncleaned Data'!F109,CHAR(160)," ")))))</f>
        <v>South</v>
      </c>
      <c r="G109">
        <f>IF('Uncleaned Data'!G109="","",IF('Uncleaned Data'!G109&lt;=0,"", 'Uncleaned Data'!G109))</f>
        <v>2</v>
      </c>
      <c r="H109">
        <f>IF('Uncleaned Data'!H109="","",'Uncleaned Data'!H109)</f>
        <v>10920.68</v>
      </c>
      <c r="I109">
        <f t="shared" si="3"/>
        <v>21841.360000000001</v>
      </c>
    </row>
    <row r="110" spans="1:9" x14ac:dyDescent="0.35">
      <c r="A110" t="s">
        <v>165</v>
      </c>
      <c r="B110" s="2">
        <v>46248</v>
      </c>
      <c r="C110" t="str">
        <f>IF('Uncleaned Data'!C110="","Unknown",PROPER(TRIM(CLEAN(SUBSTITUTE('Uncleaned Data'!C110,CHAR(160)," ")))))</f>
        <v>Amit Shah</v>
      </c>
      <c r="D110" t="str">
        <f>IF('Uncleaned Data'!D110="","Unknown",PROPER(TRIM(CLEAN(SUBSTITUTE('Uncleaned Data'!D110,CHAR(160)," ")))))</f>
        <v>Desk</v>
      </c>
      <c r="E110" t="str">
        <f>IF('Uncleaned Data'!E110="","Unknown",PROPER(TRIM(CLEAN(SUBSTITUTE('Uncleaned Data'!E110,CHAR(160)," ")))))</f>
        <v>Furniture</v>
      </c>
      <c r="F110" t="str">
        <f>IF('Uncleaned Data'!F110="","Unknown",PROPER(TRIM(CLEAN(SUBSTITUTE('Uncleaned Data'!F110,CHAR(160)," ")))))</f>
        <v>East</v>
      </c>
      <c r="G110">
        <f>IF('Uncleaned Data'!G110="","",IF('Uncleaned Data'!G110&lt;=0,"", 'Uncleaned Data'!G110))</f>
        <v>3</v>
      </c>
      <c r="H110">
        <f>IF('Uncleaned Data'!H110="","",'Uncleaned Data'!H110)</f>
        <v>11610</v>
      </c>
      <c r="I110">
        <f t="shared" si="3"/>
        <v>34830</v>
      </c>
    </row>
    <row r="111" spans="1:9" x14ac:dyDescent="0.35">
      <c r="A111" t="s">
        <v>166</v>
      </c>
      <c r="B111" s="2">
        <v>46143</v>
      </c>
      <c r="C111" t="str">
        <f>IF('Uncleaned Data'!C111="","Unknown",PROPER(TRIM(CLEAN(SUBSTITUTE('Uncleaned Data'!C111,CHAR(160)," ")))))</f>
        <v>Rahul Sharma</v>
      </c>
      <c r="D111" t="str">
        <f>IF('Uncleaned Data'!D111="","Unknown",PROPER(TRIM(CLEAN(SUBSTITUTE('Uncleaned Data'!D111,CHAR(160)," ")))))</f>
        <v>Office Chair</v>
      </c>
      <c r="E111" t="str">
        <f>IF('Uncleaned Data'!E111="","Unknown",PROPER(TRIM(CLEAN(SUBSTITUTE('Uncleaned Data'!E111,CHAR(160)," ")))))</f>
        <v>Furniture</v>
      </c>
      <c r="F111" t="str">
        <f>IF('Uncleaned Data'!F111="","Unknown",PROPER(TRIM(CLEAN(SUBSTITUTE('Uncleaned Data'!F111,CHAR(160)," ")))))</f>
        <v>Central</v>
      </c>
      <c r="G111">
        <f>IF('Uncleaned Data'!G111="","",IF('Uncleaned Data'!G111&lt;=0,"", 'Uncleaned Data'!G111))</f>
        <v>3</v>
      </c>
      <c r="H111">
        <f>IF('Uncleaned Data'!H111="","",'Uncleaned Data'!H111)</f>
        <v>9069.35</v>
      </c>
      <c r="I111">
        <f t="shared" si="3"/>
        <v>27208.050000000003</v>
      </c>
    </row>
    <row r="112" spans="1:9" x14ac:dyDescent="0.35">
      <c r="A112" t="s">
        <v>167</v>
      </c>
      <c r="B112" s="2">
        <v>46040</v>
      </c>
      <c r="C112" t="str">
        <f>IF('Uncleaned Data'!C112="","Unknown",PROPER(TRIM(CLEAN(SUBSTITUTE('Uncleaned Data'!C112,CHAR(160)," ")))))</f>
        <v>Priya Reddy</v>
      </c>
      <c r="D112" t="str">
        <f>IF('Uncleaned Data'!D112="","Unknown",PROPER(TRIM(CLEAN(SUBSTITUTE('Uncleaned Data'!D112,CHAR(160)," ")))))</f>
        <v>Laptop</v>
      </c>
      <c r="E112" t="str">
        <f>IF('Uncleaned Data'!E112="","Unknown",PROPER(TRIM(CLEAN(SUBSTITUTE('Uncleaned Data'!E112,CHAR(160)," ")))))</f>
        <v>Electronics</v>
      </c>
      <c r="F112" t="str">
        <f>IF('Uncleaned Data'!F112="","Unknown",PROPER(TRIM(CLEAN(SUBSTITUTE('Uncleaned Data'!F112,CHAR(160)," ")))))</f>
        <v>North</v>
      </c>
      <c r="G112">
        <f>IF('Uncleaned Data'!G112="","",IF('Uncleaned Data'!G112&lt;=0,"", 'Uncleaned Data'!G112))</f>
        <v>999</v>
      </c>
      <c r="H112">
        <f>IF('Uncleaned Data'!H112="","",'Uncleaned Data'!H112)</f>
        <v>51966.44</v>
      </c>
      <c r="I112">
        <f t="shared" si="3"/>
        <v>51914473.560000002</v>
      </c>
    </row>
    <row r="113" spans="1:9" x14ac:dyDescent="0.35">
      <c r="A113" t="s">
        <v>168</v>
      </c>
      <c r="B113" s="2">
        <v>46182</v>
      </c>
      <c r="C113" t="str">
        <f>IF('Uncleaned Data'!C113="","Unknown",PROPER(TRIM(CLEAN(SUBSTITUTE('Uncleaned Data'!C113,CHAR(160)," ")))))</f>
        <v>Vikram Singh</v>
      </c>
      <c r="D113" t="str">
        <f>IF('Uncleaned Data'!D113="","Unknown",PROPER(TRIM(CLEAN(SUBSTITUTE('Uncleaned Data'!D113,CHAR(160)," ")))))</f>
        <v>Monitor</v>
      </c>
      <c r="E113" t="str">
        <f>IF('Uncleaned Data'!E113="","Unknown",PROPER(TRIM(CLEAN(SUBSTITUTE('Uncleaned Data'!E113,CHAR(160)," ")))))</f>
        <v>Electronics</v>
      </c>
      <c r="F113" t="str">
        <f>IF('Uncleaned Data'!F113="","Unknown",PROPER(TRIM(CLEAN(SUBSTITUTE('Uncleaned Data'!F113,CHAR(160)," ")))))</f>
        <v>South</v>
      </c>
      <c r="G113">
        <f>IF('Uncleaned Data'!G113="","",IF('Uncleaned Data'!G113&lt;=0,"", 'Uncleaned Data'!G113))</f>
        <v>2</v>
      </c>
      <c r="H113">
        <f>IF('Uncleaned Data'!H113="","",'Uncleaned Data'!H113)</f>
        <v>16017.69</v>
      </c>
      <c r="I113">
        <f t="shared" si="3"/>
        <v>32035.38</v>
      </c>
    </row>
    <row r="114" spans="1:9" x14ac:dyDescent="0.35">
      <c r="A114" t="s">
        <v>169</v>
      </c>
      <c r="B114" s="2">
        <v>46167</v>
      </c>
      <c r="C114" t="str">
        <f>IF('Uncleaned Data'!C114="","Unknown",PROPER(TRIM(CLEAN(SUBSTITUTE('Uncleaned Data'!C114,CHAR(160)," ")))))</f>
        <v>Kiran Das</v>
      </c>
      <c r="D114" t="str">
        <f>IF('Uncleaned Data'!D114="","Unknown",PROPER(TRIM(CLEAN(SUBSTITUTE('Uncleaned Data'!D114,CHAR(160)," ")))))</f>
        <v>Headphones</v>
      </c>
      <c r="E114" t="str">
        <f>IF('Uncleaned Data'!E114="","Unknown",PROPER(TRIM(CLEAN(SUBSTITUTE('Uncleaned Data'!E114,CHAR(160)," ")))))</f>
        <v>Electronics</v>
      </c>
      <c r="F114" t="str">
        <f>IF('Uncleaned Data'!F114="","Unknown",PROPER(TRIM(CLEAN(SUBSTITUTE('Uncleaned Data'!F114,CHAR(160)," ")))))</f>
        <v>West</v>
      </c>
      <c r="G114">
        <f>IF('Uncleaned Data'!G114="","",IF('Uncleaned Data'!G114&lt;=0,"", 'Uncleaned Data'!G114))</f>
        <v>4</v>
      </c>
      <c r="H114">
        <f>IF('Uncleaned Data'!H114="","",'Uncleaned Data'!H114)</f>
        <v>2584.73</v>
      </c>
      <c r="I114">
        <f t="shared" si="3"/>
        <v>10338.92</v>
      </c>
    </row>
    <row r="115" spans="1:9" x14ac:dyDescent="0.35">
      <c r="A115" t="s">
        <v>170</v>
      </c>
      <c r="B115" s="2">
        <v>46178</v>
      </c>
      <c r="C115" t="str">
        <f>IF('Uncleaned Data'!C115="","Unknown",PROPER(TRIM(CLEAN(SUBSTITUTE('Uncleaned Data'!C115,CHAR(160)," ")))))</f>
        <v>Sneha Patel</v>
      </c>
      <c r="D115" t="str">
        <f>IF('Uncleaned Data'!D115="","Unknown",PROPER(TRIM(CLEAN(SUBSTITUTE('Uncleaned Data'!D115,CHAR(160)," ")))))</f>
        <v>Keyboard</v>
      </c>
      <c r="E115" t="str">
        <f>IF('Uncleaned Data'!E115="","Unknown",PROPER(TRIM(CLEAN(SUBSTITUTE('Uncleaned Data'!E115,CHAR(160)," ")))))</f>
        <v>Accessories</v>
      </c>
      <c r="F115" t="str">
        <f>IF('Uncleaned Data'!F115="","Unknown",PROPER(TRIM(CLEAN(SUBSTITUTE('Uncleaned Data'!F115,CHAR(160)," ")))))</f>
        <v>South</v>
      </c>
      <c r="G115">
        <f>IF('Uncleaned Data'!G115="","",IF('Uncleaned Data'!G115&lt;=0,"", 'Uncleaned Data'!G115))</f>
        <v>3</v>
      </c>
      <c r="H115">
        <f>IF('Uncleaned Data'!H115="","",'Uncleaned Data'!H115)</f>
        <v>1680.4</v>
      </c>
      <c r="I115">
        <f t="shared" si="3"/>
        <v>5041.2000000000007</v>
      </c>
    </row>
    <row r="116" spans="1:9" x14ac:dyDescent="0.35">
      <c r="A116" t="s">
        <v>171</v>
      </c>
      <c r="B116" s="2">
        <v>46260</v>
      </c>
      <c r="C116" t="str">
        <f>IF('Uncleaned Data'!C116="","Unknown",PROPER(TRIM(CLEAN(SUBSTITUTE('Uncleaned Data'!C116,CHAR(160)," ")))))</f>
        <v>Neha Gupta</v>
      </c>
      <c r="D116" t="str">
        <f>IF('Uncleaned Data'!D116="","Unknown",PROPER(TRIM(CLEAN(SUBSTITUTE('Uncleaned Data'!D116,CHAR(160)," ")))))</f>
        <v>Keyboard</v>
      </c>
      <c r="E116" t="str">
        <f>IF('Uncleaned Data'!E116="","Unknown",PROPER(TRIM(CLEAN(SUBSTITUTE('Uncleaned Data'!E116,CHAR(160)," ")))))</f>
        <v>Accessories</v>
      </c>
      <c r="F116" t="str">
        <f>IF('Uncleaned Data'!F116="","Unknown",PROPER(TRIM(CLEAN(SUBSTITUTE('Uncleaned Data'!F116,CHAR(160)," ")))))</f>
        <v>Central</v>
      </c>
      <c r="G116">
        <f>IF('Uncleaned Data'!G116="","",IF('Uncleaned Data'!G116&lt;=0,"", 'Uncleaned Data'!G116))</f>
        <v>1</v>
      </c>
      <c r="H116">
        <f>IF('Uncleaned Data'!H116="","",'Uncleaned Data'!H116)</f>
        <v>1828.33</v>
      </c>
      <c r="I116">
        <f t="shared" si="3"/>
        <v>1828.33</v>
      </c>
    </row>
    <row r="117" spans="1:9" x14ac:dyDescent="0.35">
      <c r="A117" t="s">
        <v>172</v>
      </c>
      <c r="B117" s="2">
        <v>46073</v>
      </c>
      <c r="C117" t="str">
        <f>IF('Uncleaned Data'!C117="","Unknown",PROPER(TRIM(CLEAN(SUBSTITUTE('Uncleaned Data'!C117,CHAR(160)," ")))))</f>
        <v>Arjun Kumar</v>
      </c>
      <c r="D117" t="str">
        <f>IF('Uncleaned Data'!D117="","Unknown",PROPER(TRIM(CLEAN(SUBSTITUTE('Uncleaned Data'!D117,CHAR(160)," ")))))</f>
        <v>Office Chair</v>
      </c>
      <c r="E117" t="str">
        <f>IF('Uncleaned Data'!E117="","Unknown",PROPER(TRIM(CLEAN(SUBSTITUTE('Uncleaned Data'!E117,CHAR(160)," ")))))</f>
        <v>Furniture</v>
      </c>
      <c r="F117" t="str">
        <f>IF('Uncleaned Data'!F117="","Unknown",PROPER(TRIM(CLEAN(SUBSTITUTE('Uncleaned Data'!F117,CHAR(160)," ")))))</f>
        <v>Central</v>
      </c>
      <c r="G117">
        <f>IF('Uncleaned Data'!G117="","",IF('Uncleaned Data'!G117&lt;=0,"", 'Uncleaned Data'!G117))</f>
        <v>4</v>
      </c>
      <c r="H117">
        <f>IF('Uncleaned Data'!H117="","",'Uncleaned Data'!H117)</f>
        <v>9250.5</v>
      </c>
      <c r="I117">
        <f t="shared" si="3"/>
        <v>37002</v>
      </c>
    </row>
    <row r="118" spans="1:9" x14ac:dyDescent="0.35">
      <c r="A118" t="s">
        <v>173</v>
      </c>
      <c r="B118" s="2">
        <v>46100</v>
      </c>
      <c r="C118" t="str">
        <f>IF('Uncleaned Data'!C118="","Unknown",PROPER(TRIM(CLEAN(SUBSTITUTE('Uncleaned Data'!C118,CHAR(160)," ")))))</f>
        <v>Lakshmi Devi</v>
      </c>
      <c r="D118" t="str">
        <f>IF('Uncleaned Data'!D118="","Unknown",PROPER(TRIM(CLEAN(SUBSTITUTE('Uncleaned Data'!D118,CHAR(160)," ")))))</f>
        <v>Monitor</v>
      </c>
      <c r="E118" t="str">
        <f>IF('Uncleaned Data'!E118="","Unknown",PROPER(TRIM(CLEAN(SUBSTITUTE('Uncleaned Data'!E118,CHAR(160)," ")))))</f>
        <v>Electronics</v>
      </c>
      <c r="F118" t="str">
        <f>IF('Uncleaned Data'!F118="","Unknown",PROPER(TRIM(CLEAN(SUBSTITUTE('Uncleaned Data'!F118,CHAR(160)," ")))))</f>
        <v>North</v>
      </c>
      <c r="G118">
        <f>IF('Uncleaned Data'!G118="","",IF('Uncleaned Data'!G118&lt;=0,"", 'Uncleaned Data'!G118))</f>
        <v>1</v>
      </c>
      <c r="H118">
        <f>IF('Uncleaned Data'!H118="","",'Uncleaned Data'!H118)</f>
        <v>15591.58</v>
      </c>
      <c r="I118">
        <f t="shared" si="3"/>
        <v>15591.58</v>
      </c>
    </row>
    <row r="119" spans="1:9" x14ac:dyDescent="0.35">
      <c r="A119" t="s">
        <v>174</v>
      </c>
      <c r="B119" s="2">
        <v>46132</v>
      </c>
      <c r="C119" t="str">
        <f>IF('Uncleaned Data'!C119="","Unknown",PROPER(TRIM(CLEAN(SUBSTITUTE('Uncleaned Data'!C119,CHAR(160)," ")))))</f>
        <v>Pooja Iyer</v>
      </c>
      <c r="D119" t="str">
        <f>IF('Uncleaned Data'!D119="","Unknown",PROPER(TRIM(CLEAN(SUBSTITUTE('Uncleaned Data'!D119,CHAR(160)," ")))))</f>
        <v>Printer</v>
      </c>
      <c r="E119" t="str">
        <f>IF('Uncleaned Data'!E119="","Unknown",PROPER(TRIM(CLEAN(SUBSTITUTE('Uncleaned Data'!E119,CHAR(160)," ")))))</f>
        <v>Electronics</v>
      </c>
      <c r="F119" t="str">
        <f>IF('Uncleaned Data'!F119="","Unknown",PROPER(TRIM(CLEAN(SUBSTITUTE('Uncleaned Data'!F119,CHAR(160)," ")))))</f>
        <v>North</v>
      </c>
      <c r="G119">
        <f>IF('Uncleaned Data'!G119="","",IF('Uncleaned Data'!G119&lt;=0,"", 'Uncleaned Data'!G119))</f>
        <v>1</v>
      </c>
      <c r="H119">
        <f>IF('Uncleaned Data'!H119="","",'Uncleaned Data'!H119)</f>
        <v>11633.29</v>
      </c>
      <c r="I119">
        <f t="shared" si="3"/>
        <v>11633.29</v>
      </c>
    </row>
    <row r="120" spans="1:9" x14ac:dyDescent="0.35">
      <c r="A120" t="s">
        <v>175</v>
      </c>
      <c r="B120" s="2">
        <v>46130</v>
      </c>
      <c r="C120" t="str">
        <f>IF('Uncleaned Data'!C120="","Unknown",PROPER(TRIM(CLEAN(SUBSTITUTE('Uncleaned Data'!C120,CHAR(160)," ")))))</f>
        <v>Kavya Rao</v>
      </c>
      <c r="D120" t="str">
        <f>IF('Uncleaned Data'!D120="","Unknown",PROPER(TRIM(CLEAN(SUBSTITUTE('Uncleaned Data'!D120,CHAR(160)," ")))))</f>
        <v>Backpack</v>
      </c>
      <c r="E120" t="str">
        <f>IF('Uncleaned Data'!E120="","Unknown",PROPER(TRIM(CLEAN(SUBSTITUTE('Uncleaned Data'!E120,CHAR(160)," ")))))</f>
        <v>Accessories</v>
      </c>
      <c r="F120" t="str">
        <f>IF('Uncleaned Data'!F120="","Unknown",PROPER(TRIM(CLEAN(SUBSTITUTE('Uncleaned Data'!F120,CHAR(160)," ")))))</f>
        <v>North</v>
      </c>
      <c r="G120">
        <f>IF('Uncleaned Data'!G120="","",IF('Uncleaned Data'!G120&lt;=0,"", 'Uncleaned Data'!G120))</f>
        <v>3</v>
      </c>
      <c r="H120">
        <f>IF('Uncleaned Data'!H120="","",'Uncleaned Data'!H120)</f>
        <v>1985.57</v>
      </c>
      <c r="I120">
        <f t="shared" si="3"/>
        <v>5956.71</v>
      </c>
    </row>
    <row r="121" spans="1:9" x14ac:dyDescent="0.35">
      <c r="A121" t="s">
        <v>176</v>
      </c>
      <c r="B121" s="2">
        <v>46235</v>
      </c>
      <c r="C121" t="str">
        <f>IF('Uncleaned Data'!C121="","Unknown",PROPER(TRIM(CLEAN(SUBSTITUTE('Uncleaned Data'!C121,CHAR(160)," ")))))</f>
        <v>Manoj Reddy</v>
      </c>
      <c r="D121" t="str">
        <f>IF('Uncleaned Data'!D121="","Unknown",PROPER(TRIM(CLEAN(SUBSTITUTE('Uncleaned Data'!D121,CHAR(160)," ")))))</f>
        <v>Office Chair</v>
      </c>
      <c r="E121" t="str">
        <f>IF('Uncleaned Data'!E121="","Unknown",PROPER(TRIM(CLEAN(SUBSTITUTE('Uncleaned Data'!E121,CHAR(160)," ")))))</f>
        <v>Furniture</v>
      </c>
      <c r="F121" t="str">
        <f>IF('Uncleaned Data'!F121="","Unknown",PROPER(TRIM(CLEAN(SUBSTITUTE('Uncleaned Data'!F121,CHAR(160)," ")))))</f>
        <v>South</v>
      </c>
      <c r="G121">
        <f>IF('Uncleaned Data'!G121="","",IF('Uncleaned Data'!G121&lt;=0,"", 'Uncleaned Data'!G121))</f>
        <v>3</v>
      </c>
      <c r="H121">
        <f>IF('Uncleaned Data'!H121="","",'Uncleaned Data'!H121)</f>
        <v>8730.49</v>
      </c>
      <c r="I121">
        <f t="shared" si="3"/>
        <v>26191.47</v>
      </c>
    </row>
  </sheetData>
  <conditionalFormatting sqref="A1:A12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9F1B-5604-4AA6-BD6F-03A2346DA366}">
  <dimension ref="A1:I121"/>
  <sheetViews>
    <sheetView workbookViewId="0">
      <selection activeCell="E2" sqref="E2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8.26953125" bestFit="1" customWidth="1"/>
    <col min="4" max="4" width="11.36328125" bestFit="1" customWidth="1"/>
    <col min="5" max="5" width="10.453125" bestFit="1" customWidth="1"/>
    <col min="6" max="6" width="8.26953125" bestFit="1" customWidth="1"/>
    <col min="7" max="7" width="10.36328125" bestFit="1" customWidth="1"/>
    <col min="8" max="8" width="11.36328125" bestFit="1" customWidth="1"/>
    <col min="9" max="9" width="11.81640625" bestFit="1" customWidth="1"/>
  </cols>
  <sheetData>
    <row r="1" spans="1: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46085</v>
      </c>
      <c r="C2" t="str">
        <f>IF('Uncleaned Data'!C2="","Unknown",PROPER(TRIM(CLEAN(SUBSTITUTE('Uncleaned Data'!C2,CHAR(160)," ")))))</f>
        <v>Meena Joshi</v>
      </c>
      <c r="D2" t="str">
        <f>IF('Uncleaned Data'!D2="","Unknown",PROPER(TRIM(CLEAN(SUBSTITUTE('Uncleaned Data'!D2,CHAR(160)," ")))))</f>
        <v>Smartphone</v>
      </c>
      <c r="E2" t="str">
        <f>IF('Uncleaned Data'!E2="","Unknown",PROPER(TRIM(CLEAN(SUBSTITUTE('Uncleaned Data'!E2,CHAR(160)," ")))))</f>
        <v>Electronics</v>
      </c>
      <c r="F2" t="str">
        <f>IF('Uncleaned Data'!F2="","Unknown",PROPER(TRIM(CLEAN(SUBSTITUTE('Uncleaned Data'!F2,CHAR(160)," ")))))</f>
        <v>South</v>
      </c>
      <c r="G2">
        <f>IF('Uncleaned Data'!G2="","",IF('Uncleaned Data'!G2&lt;=0,"", 'Uncleaned Data'!G2))</f>
        <v>1</v>
      </c>
      <c r="H2">
        <f>IF('Uncleaned Data'!H2="","",'Uncleaned Data'!H2)</f>
        <v>29352.68</v>
      </c>
      <c r="I2">
        <f t="shared" ref="I2:I33" si="0">IF(OR(G2="",H2=""),"",G2*H2)</f>
        <v>29352.68</v>
      </c>
    </row>
    <row r="3" spans="1:9" x14ac:dyDescent="0.35">
      <c r="A3" t="s">
        <v>14</v>
      </c>
      <c r="B3" s="2">
        <v>46131</v>
      </c>
      <c r="C3" t="str">
        <f>IF('Uncleaned Data'!C3="","Unknown",PROPER(TRIM(CLEAN(SUBSTITUTE('Uncleaned Data'!C3,CHAR(160)," ")))))</f>
        <v>Priya Reddy</v>
      </c>
      <c r="D3" t="str">
        <f>IF('Uncleaned Data'!D3="","Unknown",PROPER(TRIM(CLEAN(SUBSTITUTE('Uncleaned Data'!D3,CHAR(160)," ")))))</f>
        <v>Smartphone</v>
      </c>
      <c r="E3" t="str">
        <f>IF('Uncleaned Data'!E3="","Unknown",PROPER(TRIM(CLEAN(SUBSTITUTE('Uncleaned Data'!E3,CHAR(160)," ")))))</f>
        <v>Electronics</v>
      </c>
      <c r="F3" t="str">
        <f>IF('Uncleaned Data'!F3="","Unknown",PROPER(TRIM(CLEAN(SUBSTITUTE('Uncleaned Data'!F3,CHAR(160)," ")))))</f>
        <v>North</v>
      </c>
      <c r="G3">
        <f>IF('Uncleaned Data'!G3="","",IF('Uncleaned Data'!G3&lt;=0,"", 'Uncleaned Data'!G3))</f>
        <v>5</v>
      </c>
      <c r="H3">
        <f>IF('Uncleaned Data'!H3="","",'Uncleaned Data'!H3)</f>
        <v>25686.86</v>
      </c>
      <c r="I3">
        <f t="shared" si="0"/>
        <v>128434.3</v>
      </c>
    </row>
    <row r="4" spans="1:9" x14ac:dyDescent="0.35">
      <c r="A4" t="s">
        <v>17</v>
      </c>
      <c r="B4" s="2">
        <v>46177</v>
      </c>
      <c r="C4" t="str">
        <f>IF('Uncleaned Data'!C4="","Unknown",PROPER(TRIM(CLEAN(SUBSTITUTE('Uncleaned Data'!C4,CHAR(160)," ")))))</f>
        <v>Rahul Sharma</v>
      </c>
      <c r="D4" t="str">
        <f>IF('Uncleaned Data'!D4="","Unknown",PROPER(TRIM(CLEAN(SUBSTITUTE('Uncleaned Data'!D4,CHAR(160)," ")))))</f>
        <v>Smartphone</v>
      </c>
      <c r="E4" t="str">
        <f>IF('Uncleaned Data'!E4="","Unknown",PROPER(TRIM(CLEAN(SUBSTITUTE('Uncleaned Data'!E4,CHAR(160)," ")))))</f>
        <v>Electronics</v>
      </c>
      <c r="F4" t="str">
        <f>IF('Uncleaned Data'!F4="","Unknown",PROPER(TRIM(CLEAN(SUBSTITUTE('Uncleaned Data'!F4,CHAR(160)," ")))))</f>
        <v>Central</v>
      </c>
      <c r="G4">
        <f>IF('Uncleaned Data'!G4="","",IF('Uncleaned Data'!G4&lt;=0,"", 'Uncleaned Data'!G4))</f>
        <v>2</v>
      </c>
      <c r="H4">
        <f>IF('Uncleaned Data'!H4="","",'Uncleaned Data'!H4)</f>
        <v>26502.9</v>
      </c>
      <c r="I4">
        <f t="shared" si="0"/>
        <v>53005.8</v>
      </c>
    </row>
    <row r="5" spans="1:9" x14ac:dyDescent="0.35">
      <c r="A5" t="s">
        <v>21</v>
      </c>
      <c r="B5" s="2">
        <v>46137</v>
      </c>
      <c r="C5" t="str">
        <f>IF('Uncleaned Data'!C5="","Unknown",PROPER(TRIM(CLEAN(SUBSTITUTE('Uncleaned Data'!C5,CHAR(160)," ")))))</f>
        <v>Nikhil Jain</v>
      </c>
      <c r="D5" t="str">
        <f>IF('Uncleaned Data'!D5="","Unknown",PROPER(TRIM(CLEAN(SUBSTITUTE('Uncleaned Data'!D5,CHAR(160)," ")))))</f>
        <v>Monitor</v>
      </c>
      <c r="E5" t="str">
        <f>IF('Uncleaned Data'!E5="","Unknown",PROPER(TRIM(CLEAN(SUBSTITUTE('Uncleaned Data'!E5,CHAR(160)," ")))))</f>
        <v>Electronics</v>
      </c>
      <c r="F5" t="str">
        <f>IF('Uncleaned Data'!F5="","Unknown",PROPER(TRIM(CLEAN(SUBSTITUTE('Uncleaned Data'!F5,CHAR(160)," ")))))</f>
        <v>East</v>
      </c>
      <c r="G5">
        <f>IF('Uncleaned Data'!G5="","",IF('Uncleaned Data'!G5&lt;=0,"", 'Uncleaned Data'!G5))</f>
        <v>5</v>
      </c>
      <c r="H5">
        <f>IF('Uncleaned Data'!H5="","",'Uncleaned Data'!H5)</f>
        <v>14758.56</v>
      </c>
      <c r="I5">
        <f t="shared" si="0"/>
        <v>73792.800000000003</v>
      </c>
    </row>
    <row r="6" spans="1:9" x14ac:dyDescent="0.35">
      <c r="A6" t="s">
        <v>25</v>
      </c>
      <c r="B6" s="2">
        <v>46110</v>
      </c>
      <c r="C6" t="str">
        <f>IF('Uncleaned Data'!C6="","Unknown",PROPER(TRIM(CLEAN(SUBSTITUTE('Uncleaned Data'!C6,CHAR(160)," ")))))</f>
        <v>Rohit Verma</v>
      </c>
      <c r="D6" t="str">
        <f>IF('Uncleaned Data'!D6="","Unknown",PROPER(TRIM(CLEAN(SUBSTITUTE('Uncleaned Data'!D6,CHAR(160)," ")))))</f>
        <v>Unknown</v>
      </c>
      <c r="E6" t="str">
        <f>IF('Uncleaned Data'!E6="","Unknown",PROPER(TRIM(CLEAN(SUBSTITUTE('Uncleaned Data'!E6,CHAR(160)," ")))))</f>
        <v>Electronics</v>
      </c>
      <c r="F6" t="str">
        <f>IF('Uncleaned Data'!F6="","Unknown",PROPER(TRIM(CLEAN(SUBSTITUTE('Uncleaned Data'!F6,CHAR(160)," ")))))</f>
        <v>South</v>
      </c>
      <c r="G6">
        <f>IF('Uncleaned Data'!G6="","",IF('Uncleaned Data'!G6&lt;=0,"", 'Uncleaned Data'!G6))</f>
        <v>2</v>
      </c>
      <c r="H6">
        <f>IF('Uncleaned Data'!H6="","",'Uncleaned Data'!H6)</f>
        <v>57179.53</v>
      </c>
      <c r="I6">
        <f t="shared" si="0"/>
        <v>114359.06</v>
      </c>
    </row>
    <row r="7" spans="1:9" x14ac:dyDescent="0.35">
      <c r="A7" t="s">
        <v>27</v>
      </c>
      <c r="B7" s="2">
        <v>46120</v>
      </c>
      <c r="C7" t="str">
        <f>IF('Uncleaned Data'!C7="","Unknown",PROPER(TRIM(CLEAN(SUBSTITUTE('Uncleaned Data'!C7,CHAR(160)," ")))))</f>
        <v>Sneha Patel</v>
      </c>
      <c r="D7" t="str">
        <f>IF('Uncleaned Data'!D7="","Unknown",PROPER(TRIM(CLEAN(SUBSTITUTE('Uncleaned Data'!D7,CHAR(160)," ")))))</f>
        <v>Monitor</v>
      </c>
      <c r="E7" t="str">
        <f>IF('Uncleaned Data'!E7="","Unknown",PROPER(TRIM(CLEAN(SUBSTITUTE('Uncleaned Data'!E7,CHAR(160)," ")))))</f>
        <v>Electronics</v>
      </c>
      <c r="F7" t="str">
        <f>IF('Uncleaned Data'!F7="","Unknown",PROPER(TRIM(CLEAN(SUBSTITUTE('Uncleaned Data'!F7,CHAR(160)," ")))))</f>
        <v>East</v>
      </c>
      <c r="G7">
        <f>IF('Uncleaned Data'!G7="","",IF('Uncleaned Data'!G7&lt;=0,"", 'Uncleaned Data'!G7))</f>
        <v>3</v>
      </c>
      <c r="H7">
        <f>IF('Uncleaned Data'!H7="","",'Uncleaned Data'!H7)</f>
        <v>13806.63</v>
      </c>
      <c r="I7">
        <f t="shared" si="0"/>
        <v>41419.89</v>
      </c>
    </row>
    <row r="8" spans="1:9" x14ac:dyDescent="0.35">
      <c r="A8" t="s">
        <v>29</v>
      </c>
      <c r="B8" s="2">
        <v>46034</v>
      </c>
      <c r="C8" t="str">
        <f>IF('Uncleaned Data'!C8="","Unknown",PROPER(TRIM(CLEAN(SUBSTITUTE('Uncleaned Data'!C8,CHAR(160)," ")))))</f>
        <v>Manoj Reddy</v>
      </c>
      <c r="D8" t="str">
        <f>IF('Uncleaned Data'!D8="","Unknown",PROPER(TRIM(CLEAN(SUBSTITUTE('Uncleaned Data'!D8,CHAR(160)," ")))))</f>
        <v>Mouse</v>
      </c>
      <c r="E8" t="str">
        <f>IF('Uncleaned Data'!E8="","Unknown",PROPER(TRIM(CLEAN(SUBSTITUTE('Uncleaned Data'!E8,CHAR(160)," ")))))</f>
        <v>Accessories</v>
      </c>
      <c r="F8" t="str">
        <f>IF('Uncleaned Data'!F8="","Unknown",PROPER(TRIM(CLEAN(SUBSTITUTE('Uncleaned Data'!F8,CHAR(160)," ")))))</f>
        <v>Central</v>
      </c>
      <c r="G8">
        <f>IF('Uncleaned Data'!G8="","",IF('Uncleaned Data'!G8&lt;=0,"", 'Uncleaned Data'!G8))</f>
        <v>5</v>
      </c>
      <c r="H8">
        <f>IF('Uncleaned Data'!H8="","",'Uncleaned Data'!H8)</f>
        <v>857.61</v>
      </c>
      <c r="I8">
        <f t="shared" si="0"/>
        <v>4288.05</v>
      </c>
    </row>
    <row r="9" spans="1:9" x14ac:dyDescent="0.35">
      <c r="A9" t="s">
        <v>33</v>
      </c>
      <c r="B9" s="2">
        <v>46098</v>
      </c>
      <c r="C9" t="str">
        <f>IF('Uncleaned Data'!C9="","Unknown",PROPER(TRIM(CLEAN(SUBSTITUTE('Uncleaned Data'!C9,CHAR(160)," ")))))</f>
        <v>Lakshmi Devi</v>
      </c>
      <c r="D9" t="str">
        <f>IF('Uncleaned Data'!D9="","Unknown",PROPER(TRIM(CLEAN(SUBSTITUTE('Uncleaned Data'!D9,CHAR(160)," ")))))</f>
        <v>Smartphone</v>
      </c>
      <c r="E9" t="str">
        <f>IF('Uncleaned Data'!E9="","Unknown",PROPER(TRIM(CLEAN(SUBSTITUTE('Uncleaned Data'!E9,CHAR(160)," ")))))</f>
        <v>Electronics</v>
      </c>
      <c r="F9" t="str">
        <f>IF('Uncleaned Data'!F9="","Unknown",PROPER(TRIM(CLEAN(SUBSTITUTE('Uncleaned Data'!F9,CHAR(160)," ")))))</f>
        <v>East</v>
      </c>
      <c r="G9">
        <f>IF('Uncleaned Data'!G9="","",IF('Uncleaned Data'!G9&lt;=0,"", 'Uncleaned Data'!G9))</f>
        <v>4</v>
      </c>
      <c r="H9">
        <f>IF('Uncleaned Data'!H9="","",'Uncleaned Data'!H9)</f>
        <v>25641.279999999999</v>
      </c>
      <c r="I9">
        <f t="shared" si="0"/>
        <v>102565.12</v>
      </c>
    </row>
    <row r="10" spans="1:9" x14ac:dyDescent="0.35">
      <c r="A10" t="s">
        <v>35</v>
      </c>
      <c r="B10" s="2">
        <v>46034</v>
      </c>
      <c r="C10" t="str">
        <f>IF('Uncleaned Data'!C10="","Unknown",PROPER(TRIM(CLEAN(SUBSTITUTE('Uncleaned Data'!C10,CHAR(160)," ")))))</f>
        <v>Meena Joshi</v>
      </c>
      <c r="D10" t="str">
        <f>IF('Uncleaned Data'!D10="","Unknown",PROPER(TRIM(CLEAN(SUBSTITUTE('Uncleaned Data'!D10,CHAR(160)," ")))))</f>
        <v>Printer</v>
      </c>
      <c r="E10" t="str">
        <f>IF('Uncleaned Data'!E10="","Unknown",PROPER(TRIM(CLEAN(SUBSTITUTE('Uncleaned Data'!E10,CHAR(160)," ")))))</f>
        <v>Electronics</v>
      </c>
      <c r="F10" t="str">
        <f>IF('Uncleaned Data'!F10="","Unknown",PROPER(TRIM(CLEAN(SUBSTITUTE('Uncleaned Data'!F10,CHAR(160)," ")))))</f>
        <v>East</v>
      </c>
      <c r="G10">
        <f>IF('Uncleaned Data'!G10="","",IF('Uncleaned Data'!G10&lt;=0,"", 'Uncleaned Data'!G10))</f>
        <v>2</v>
      </c>
      <c r="H10">
        <f>IF('Uncleaned Data'!H10="","",'Uncleaned Data'!H10)</f>
        <v>12490.97</v>
      </c>
      <c r="I10">
        <f t="shared" si="0"/>
        <v>24981.94</v>
      </c>
    </row>
    <row r="11" spans="1:9" x14ac:dyDescent="0.35">
      <c r="A11" t="s">
        <v>37</v>
      </c>
      <c r="B11" s="2">
        <v>46120</v>
      </c>
      <c r="C11" t="str">
        <f>IF('Uncleaned Data'!C11="","Unknown",PROPER(TRIM(CLEAN(SUBSTITUTE('Uncleaned Data'!C11,CHAR(160)," ")))))</f>
        <v>Rohit Verma</v>
      </c>
      <c r="D11" t="str">
        <f>IF('Uncleaned Data'!D11="","Unknown",PROPER(TRIM(CLEAN(SUBSTITUTE('Uncleaned Data'!D11,CHAR(160)," ")))))</f>
        <v>Smartphone</v>
      </c>
      <c r="E11" t="str">
        <f>IF('Uncleaned Data'!E11="","Unknown",PROPER(TRIM(CLEAN(SUBSTITUTE('Uncleaned Data'!E11,CHAR(160)," ")))))</f>
        <v>Electronics</v>
      </c>
      <c r="F11" t="str">
        <f>IF('Uncleaned Data'!F11="","Unknown",PROPER(TRIM(CLEAN(SUBSTITUTE('Uncleaned Data'!F11,CHAR(160)," ")))))</f>
        <v>West</v>
      </c>
      <c r="G11">
        <f>IF('Uncleaned Data'!G11="","",IF('Uncleaned Data'!G11&lt;=0,"", 'Uncleaned Data'!G11))</f>
        <v>2</v>
      </c>
      <c r="H11">
        <f>IF('Uncleaned Data'!H11="","",'Uncleaned Data'!H11)</f>
        <v>30052.31</v>
      </c>
      <c r="I11">
        <f t="shared" si="0"/>
        <v>60104.62</v>
      </c>
    </row>
    <row r="12" spans="1:9" x14ac:dyDescent="0.35">
      <c r="A12" t="s">
        <v>39</v>
      </c>
      <c r="B12" s="2">
        <v>46076</v>
      </c>
      <c r="C12" t="str">
        <f>IF('Uncleaned Data'!C12="","Unknown",PROPER(TRIM(CLEAN(SUBSTITUTE('Uncleaned Data'!C12,CHAR(160)," ")))))</f>
        <v>Rohit Verma</v>
      </c>
      <c r="D12" t="str">
        <f>IF('Uncleaned Data'!D12="","Unknown",PROPER(TRIM(CLEAN(SUBSTITUTE('Uncleaned Data'!D12,CHAR(160)," ")))))</f>
        <v>Mouse</v>
      </c>
      <c r="E12" t="str">
        <f>IF('Uncleaned Data'!E12="","Unknown",PROPER(TRIM(CLEAN(SUBSTITUTE('Uncleaned Data'!E12,CHAR(160)," ")))))</f>
        <v>Unknown</v>
      </c>
      <c r="F12" t="str">
        <f>IF('Uncleaned Data'!F12="","Unknown",PROPER(TRIM(CLEAN(SUBSTITUTE('Uncleaned Data'!F12,CHAR(160)," ")))))</f>
        <v>North</v>
      </c>
      <c r="G12">
        <f>IF('Uncleaned Data'!G12="","",IF('Uncleaned Data'!G12&lt;=0,"", 'Uncleaned Data'!G12))</f>
        <v>2</v>
      </c>
      <c r="H12">
        <f>IF('Uncleaned Data'!H12="","",'Uncleaned Data'!H12)</f>
        <v>876.63</v>
      </c>
      <c r="I12">
        <f t="shared" si="0"/>
        <v>1753.26</v>
      </c>
    </row>
    <row r="13" spans="1:9" x14ac:dyDescent="0.35">
      <c r="A13" t="s">
        <v>41</v>
      </c>
      <c r="B13" s="2">
        <v>46085</v>
      </c>
      <c r="C13" t="str">
        <f>IF('Uncleaned Data'!C13="","Unknown",PROPER(TRIM(CLEAN(SUBSTITUTE('Uncleaned Data'!C13,CHAR(160)," ")))))</f>
        <v>Ananya Rao</v>
      </c>
      <c r="D13" t="str">
        <f>IF('Uncleaned Data'!D13="","Unknown",PROPER(TRIM(CLEAN(SUBSTITUTE('Uncleaned Data'!D13,CHAR(160)," ")))))</f>
        <v>Printer</v>
      </c>
      <c r="E13" t="str">
        <f>IF('Uncleaned Data'!E13="","Unknown",PROPER(TRIM(CLEAN(SUBSTITUTE('Uncleaned Data'!E13,CHAR(160)," ")))))</f>
        <v>Electronics</v>
      </c>
      <c r="F13" t="str">
        <f>IF('Uncleaned Data'!F13="","Unknown",PROPER(TRIM(CLEAN(SUBSTITUTE('Uncleaned Data'!F13,CHAR(160)," ")))))</f>
        <v>West</v>
      </c>
      <c r="G13">
        <f>IF('Uncleaned Data'!G13="","",IF('Uncleaned Data'!G13&lt;=0,"", 'Uncleaned Data'!G13))</f>
        <v>2</v>
      </c>
      <c r="H13">
        <f>IF('Uncleaned Data'!H13="","",'Uncleaned Data'!H13)</f>
        <v>12081.94</v>
      </c>
      <c r="I13">
        <f t="shared" si="0"/>
        <v>24163.88</v>
      </c>
    </row>
    <row r="14" spans="1:9" x14ac:dyDescent="0.35">
      <c r="A14" t="s">
        <v>43</v>
      </c>
      <c r="B14" s="2">
        <v>46186</v>
      </c>
      <c r="C14" t="str">
        <f>IF('Uncleaned Data'!C14="","Unknown",PROPER(TRIM(CLEAN(SUBSTITUTE('Uncleaned Data'!C14,CHAR(160)," ")))))</f>
        <v>Swathi Das</v>
      </c>
      <c r="D14" t="str">
        <f>IF('Uncleaned Data'!D14="","Unknown",PROPER(TRIM(CLEAN(SUBSTITUTE('Uncleaned Data'!D14,CHAR(160)," ")))))</f>
        <v>Office Chair</v>
      </c>
      <c r="E14" t="str">
        <f>IF('Uncleaned Data'!E14="","Unknown",PROPER(TRIM(CLEAN(SUBSTITUTE('Uncleaned Data'!E14,CHAR(160)," ")))))</f>
        <v>Furniture</v>
      </c>
      <c r="F14" t="str">
        <f>IF('Uncleaned Data'!F14="","Unknown",PROPER(TRIM(CLEAN(SUBSTITUTE('Uncleaned Data'!F14,CHAR(160)," ")))))</f>
        <v>South</v>
      </c>
      <c r="G14">
        <f>IF('Uncleaned Data'!G14="","",IF('Uncleaned Data'!G14&lt;=0,"", 'Uncleaned Data'!G14))</f>
        <v>3</v>
      </c>
      <c r="H14">
        <f>IF('Uncleaned Data'!H14="","",'Uncleaned Data'!H14)</f>
        <v>9332.19</v>
      </c>
      <c r="I14">
        <f t="shared" si="0"/>
        <v>27996.57</v>
      </c>
    </row>
    <row r="15" spans="1:9" x14ac:dyDescent="0.35">
      <c r="A15" t="s">
        <v>47</v>
      </c>
      <c r="B15" s="2">
        <v>46031</v>
      </c>
      <c r="C15" t="str">
        <f>IF('Uncleaned Data'!C15="","Unknown",PROPER(TRIM(CLEAN(SUBSTITUTE('Uncleaned Data'!C15,CHAR(160)," ")))))</f>
        <v>Suresh Nair</v>
      </c>
      <c r="D15" t="str">
        <f>IF('Uncleaned Data'!D15="","Unknown",PROPER(TRIM(CLEAN(SUBSTITUTE('Uncleaned Data'!D15,CHAR(160)," ")))))</f>
        <v>Mouse</v>
      </c>
      <c r="E15" t="str">
        <f>IF('Uncleaned Data'!E15="","Unknown",PROPER(TRIM(CLEAN(SUBSTITUTE('Uncleaned Data'!E15,CHAR(160)," ")))))</f>
        <v>Accessories</v>
      </c>
      <c r="F15" t="str">
        <f>IF('Uncleaned Data'!F15="","Unknown",PROPER(TRIM(CLEAN(SUBSTITUTE('Uncleaned Data'!F15,CHAR(160)," ")))))</f>
        <v>West</v>
      </c>
      <c r="G15">
        <f>IF('Uncleaned Data'!G15="","",IF('Uncleaned Data'!G15&lt;=0,"", 'Uncleaned Data'!G15))</f>
        <v>1</v>
      </c>
      <c r="H15">
        <f>IF('Uncleaned Data'!H15="","",'Uncleaned Data'!H15)</f>
        <v>851.23</v>
      </c>
      <c r="I15">
        <f t="shared" si="0"/>
        <v>851.23</v>
      </c>
    </row>
    <row r="16" spans="1:9" x14ac:dyDescent="0.35">
      <c r="A16" t="s">
        <v>49</v>
      </c>
      <c r="B16" s="2">
        <v>46264</v>
      </c>
      <c r="C16" t="str">
        <f>IF('Uncleaned Data'!C16="","Unknown",PROPER(TRIM(CLEAN(SUBSTITUTE('Uncleaned Data'!C16,CHAR(160)," ")))))</f>
        <v>Nikhil Jain</v>
      </c>
      <c r="D16" t="str">
        <f>IF('Uncleaned Data'!D16="","Unknown",PROPER(TRIM(CLEAN(SUBSTITUTE('Uncleaned Data'!D16,CHAR(160)," ")))))</f>
        <v>Keyboard</v>
      </c>
      <c r="E16" t="str">
        <f>IF('Uncleaned Data'!E16="","Unknown",PROPER(TRIM(CLEAN(SUBSTITUTE('Uncleaned Data'!E16,CHAR(160)," ")))))</f>
        <v>Accessories</v>
      </c>
      <c r="F16" t="str">
        <f>IF('Uncleaned Data'!F16="","Unknown",PROPER(TRIM(CLEAN(SUBSTITUTE('Uncleaned Data'!F16,CHAR(160)," ")))))</f>
        <v>East</v>
      </c>
      <c r="G16">
        <f>IF('Uncleaned Data'!G16="","",IF('Uncleaned Data'!G16&lt;=0,"", 'Uncleaned Data'!G16))</f>
        <v>1</v>
      </c>
      <c r="H16">
        <f>IF('Uncleaned Data'!H16="","",'Uncleaned Data'!H16)</f>
        <v>1695.95</v>
      </c>
      <c r="I16">
        <f t="shared" si="0"/>
        <v>1695.95</v>
      </c>
    </row>
    <row r="17" spans="1:9" x14ac:dyDescent="0.35">
      <c r="A17" t="s">
        <v>51</v>
      </c>
      <c r="B17" s="2">
        <v>46257</v>
      </c>
      <c r="C17" t="str">
        <f>IF('Uncleaned Data'!C17="","Unknown",PROPER(TRIM(CLEAN(SUBSTITUTE('Uncleaned Data'!C17,CHAR(160)," ")))))</f>
        <v>Unknown</v>
      </c>
      <c r="D17" t="str">
        <f>IF('Uncleaned Data'!D17="","Unknown",PROPER(TRIM(CLEAN(SUBSTITUTE('Uncleaned Data'!D17,CHAR(160)," ")))))</f>
        <v>Monitor</v>
      </c>
      <c r="E17" t="str">
        <f>IF('Uncleaned Data'!E17="","Unknown",PROPER(TRIM(CLEAN(SUBSTITUTE('Uncleaned Data'!E17,CHAR(160)," ")))))</f>
        <v>Electronics</v>
      </c>
      <c r="F17" t="str">
        <f>IF('Uncleaned Data'!F17="","Unknown",PROPER(TRIM(CLEAN(SUBSTITUTE('Uncleaned Data'!F17,CHAR(160)," ")))))</f>
        <v>South</v>
      </c>
      <c r="G17">
        <f>IF('Uncleaned Data'!G17="","",IF('Uncleaned Data'!G17&lt;=0,"", 'Uncleaned Data'!G17))</f>
        <v>4</v>
      </c>
      <c r="H17">
        <f>IF('Uncleaned Data'!H17="","",'Uncleaned Data'!H17)</f>
        <v>14686.9</v>
      </c>
      <c r="I17">
        <f t="shared" si="0"/>
        <v>58747.6</v>
      </c>
    </row>
    <row r="18" spans="1:9" x14ac:dyDescent="0.35">
      <c r="A18" t="s">
        <v>52</v>
      </c>
      <c r="B18" s="2">
        <v>46166</v>
      </c>
      <c r="C18" t="str">
        <f>IF('Uncleaned Data'!C18="","Unknown",PROPER(TRIM(CLEAN(SUBSTITUTE('Uncleaned Data'!C18,CHAR(160)," ")))))</f>
        <v>Swathi Das</v>
      </c>
      <c r="D18" t="str">
        <f>IF('Uncleaned Data'!D18="","Unknown",PROPER(TRIM(CLEAN(SUBSTITUTE('Uncleaned Data'!D18,CHAR(160)," ")))))</f>
        <v>Keyboard</v>
      </c>
      <c r="E18" t="str">
        <f>IF('Uncleaned Data'!E18="","Unknown",PROPER(TRIM(CLEAN(SUBSTITUTE('Uncleaned Data'!E18,CHAR(160)," ")))))</f>
        <v>Accessories</v>
      </c>
      <c r="F18" t="str">
        <f>IF('Uncleaned Data'!F18="","Unknown",PROPER(TRIM(CLEAN(SUBSTITUTE('Uncleaned Data'!F18,CHAR(160)," ")))))</f>
        <v>East</v>
      </c>
      <c r="G18">
        <f>IF('Uncleaned Data'!G18="","",IF('Uncleaned Data'!G18&lt;=0,"", 'Uncleaned Data'!G18))</f>
        <v>2</v>
      </c>
      <c r="H18">
        <f>IF('Uncleaned Data'!H18="","",'Uncleaned Data'!H18)</f>
        <v>1708.79</v>
      </c>
      <c r="I18">
        <f t="shared" si="0"/>
        <v>3417.58</v>
      </c>
    </row>
    <row r="19" spans="1:9" x14ac:dyDescent="0.35">
      <c r="A19" t="s">
        <v>53</v>
      </c>
      <c r="B19" s="2">
        <v>46125</v>
      </c>
      <c r="C19" t="str">
        <f>IF('Uncleaned Data'!C19="","Unknown",PROPER(TRIM(CLEAN(SUBSTITUTE('Uncleaned Data'!C19,CHAR(160)," ")))))</f>
        <v>Pooja Iyer</v>
      </c>
      <c r="D19" t="str">
        <f>IF('Uncleaned Data'!D19="","Unknown",PROPER(TRIM(CLEAN(SUBSTITUTE('Uncleaned Data'!D19,CHAR(160)," ")))))</f>
        <v>Printer</v>
      </c>
      <c r="E19" t="str">
        <f>IF('Uncleaned Data'!E19="","Unknown",PROPER(TRIM(CLEAN(SUBSTITUTE('Uncleaned Data'!E19,CHAR(160)," ")))))</f>
        <v>Electronics</v>
      </c>
      <c r="F19" t="str">
        <f>IF('Uncleaned Data'!F19="","Unknown",PROPER(TRIM(CLEAN(SUBSTITUTE('Uncleaned Data'!F19,CHAR(160)," ")))))</f>
        <v>South</v>
      </c>
      <c r="G19">
        <f>IF('Uncleaned Data'!G19="","",IF('Uncleaned Data'!G19&lt;=0,"", 'Uncleaned Data'!G19))</f>
        <v>4</v>
      </c>
      <c r="H19">
        <f>IF('Uncleaned Data'!H19="","",'Uncleaned Data'!H19)</f>
        <v>12954.77</v>
      </c>
      <c r="I19">
        <f t="shared" si="0"/>
        <v>51819.08</v>
      </c>
    </row>
    <row r="20" spans="1:9" x14ac:dyDescent="0.35">
      <c r="A20" t="s">
        <v>55</v>
      </c>
      <c r="B20" s="2">
        <v>46216</v>
      </c>
      <c r="C20" t="str">
        <f>IF('Uncleaned Data'!C20="","Unknown",PROPER(TRIM(CLEAN(SUBSTITUTE('Uncleaned Data'!C20,CHAR(160)," ")))))</f>
        <v>Priya Reddy</v>
      </c>
      <c r="D20" t="str">
        <f>IF('Uncleaned Data'!D20="","Unknown",PROPER(TRIM(CLEAN(SUBSTITUTE('Uncleaned Data'!D20,CHAR(160)," ")))))</f>
        <v>Headphones</v>
      </c>
      <c r="E20" t="str">
        <f>IF('Uncleaned Data'!E20="","Unknown",PROPER(TRIM(CLEAN(SUBSTITUTE('Uncleaned Data'!E20,CHAR(160)," ")))))</f>
        <v>Electronics</v>
      </c>
      <c r="F20" t="str">
        <f>IF('Uncleaned Data'!F20="","Unknown",PROPER(TRIM(CLEAN(SUBSTITUTE('Uncleaned Data'!F20,CHAR(160)," ")))))</f>
        <v>North</v>
      </c>
      <c r="G20">
        <f>IF('Uncleaned Data'!G20="","",IF('Uncleaned Data'!G20&lt;=0,"", 'Uncleaned Data'!G20))</f>
        <v>5</v>
      </c>
      <c r="H20">
        <f>IF('Uncleaned Data'!H20="","",'Uncleaned Data'!H20)</f>
        <v>2496.7600000000002</v>
      </c>
      <c r="I20">
        <f t="shared" si="0"/>
        <v>12483.800000000001</v>
      </c>
    </row>
    <row r="21" spans="1:9" x14ac:dyDescent="0.35">
      <c r="A21" t="s">
        <v>57</v>
      </c>
      <c r="B21" s="2">
        <v>46131</v>
      </c>
      <c r="C21" t="str">
        <f>IF('Uncleaned Data'!C21="","Unknown",PROPER(TRIM(CLEAN(SUBSTITUTE('Uncleaned Data'!C21,CHAR(160)," ")))))</f>
        <v>Lakshmi Devi</v>
      </c>
      <c r="D21" t="str">
        <f>IF('Uncleaned Data'!D21="","Unknown",PROPER(TRIM(CLEAN(SUBSTITUTE('Uncleaned Data'!D21,CHAR(160)," ")))))</f>
        <v>Headphones</v>
      </c>
      <c r="E21" t="str">
        <f>IF('Uncleaned Data'!E21="","Unknown",PROPER(TRIM(CLEAN(SUBSTITUTE('Uncleaned Data'!E21,CHAR(160)," ")))))</f>
        <v>Electronics</v>
      </c>
      <c r="F21" t="str">
        <f>IF('Uncleaned Data'!F21="","Unknown",PROPER(TRIM(CLEAN(SUBSTITUTE('Uncleaned Data'!F21,CHAR(160)," ")))))</f>
        <v>North</v>
      </c>
      <c r="G21">
        <f>IF('Uncleaned Data'!G21="","",IF('Uncleaned Data'!G21&lt;=0,"", 'Uncleaned Data'!G21))</f>
        <v>2</v>
      </c>
      <c r="H21">
        <f>IF('Uncleaned Data'!H21="","",'Uncleaned Data'!H21)</f>
        <v>2646.04</v>
      </c>
      <c r="I21">
        <f t="shared" si="0"/>
        <v>5292.08</v>
      </c>
    </row>
    <row r="22" spans="1:9" x14ac:dyDescent="0.35">
      <c r="A22" t="s">
        <v>59</v>
      </c>
      <c r="B22" s="2">
        <v>46142</v>
      </c>
      <c r="C22" t="str">
        <f>IF('Uncleaned Data'!C22="","Unknown",PROPER(TRIM(CLEAN(SUBSTITUTE('Uncleaned Data'!C22,CHAR(160)," ")))))</f>
        <v>Ravi Kumar</v>
      </c>
      <c r="D22" t="str">
        <f>IF('Uncleaned Data'!D22="","Unknown",PROPER(TRIM(CLEAN(SUBSTITUTE('Uncleaned Data'!D22,CHAR(160)," ")))))</f>
        <v>Office Chair</v>
      </c>
      <c r="E22" t="str">
        <f>IF('Uncleaned Data'!E22="","Unknown",PROPER(TRIM(CLEAN(SUBSTITUTE('Uncleaned Data'!E22,CHAR(160)," ")))))</f>
        <v>Furniture</v>
      </c>
      <c r="F22" t="str">
        <f>IF('Uncleaned Data'!F22="","Unknown",PROPER(TRIM(CLEAN(SUBSTITUTE('Uncleaned Data'!F22,CHAR(160)," ")))))</f>
        <v>East</v>
      </c>
      <c r="G22" t="str">
        <f>IF('Uncleaned Data'!G22="","",IF('Uncleaned Data'!G22&lt;=0,"", 'Uncleaned Data'!G22))</f>
        <v/>
      </c>
      <c r="H22">
        <f>IF('Uncleaned Data'!H22="","",'Uncleaned Data'!H22)</f>
        <v>8663.01</v>
      </c>
      <c r="I22" t="str">
        <f t="shared" si="0"/>
        <v/>
      </c>
    </row>
    <row r="23" spans="1:9" x14ac:dyDescent="0.35">
      <c r="A23" t="s">
        <v>61</v>
      </c>
      <c r="B23" s="2">
        <v>46052</v>
      </c>
      <c r="C23" t="str">
        <f>IF('Uncleaned Data'!C23="","Unknown",PROPER(TRIM(CLEAN(SUBSTITUTE('Uncleaned Data'!C23,CHAR(160)," ")))))</f>
        <v>Swathi Das</v>
      </c>
      <c r="D23" t="str">
        <f>IF('Uncleaned Data'!D23="","Unknown",PROPER(TRIM(CLEAN(SUBSTITUTE('Uncleaned Data'!D23,CHAR(160)," ")))))</f>
        <v>Backpack</v>
      </c>
      <c r="E23" t="str">
        <f>IF('Uncleaned Data'!E23="","Unknown",PROPER(TRIM(CLEAN(SUBSTITUTE('Uncleaned Data'!E23,CHAR(160)," ")))))</f>
        <v>Accessories</v>
      </c>
      <c r="F23" t="str">
        <f>IF('Uncleaned Data'!F23="","Unknown",PROPER(TRIM(CLEAN(SUBSTITUTE('Uncleaned Data'!F23,CHAR(160)," ")))))</f>
        <v>East</v>
      </c>
      <c r="G23">
        <f>IF('Uncleaned Data'!G23="","",IF('Uncleaned Data'!G23&lt;=0,"", 'Uncleaned Data'!G23))</f>
        <v>1</v>
      </c>
      <c r="H23">
        <f>IF('Uncleaned Data'!H23="","",'Uncleaned Data'!H23)</f>
        <v>2279.3200000000002</v>
      </c>
      <c r="I23">
        <f t="shared" si="0"/>
        <v>2279.3200000000002</v>
      </c>
    </row>
    <row r="24" spans="1:9" x14ac:dyDescent="0.35">
      <c r="A24" t="s">
        <v>63</v>
      </c>
      <c r="B24" s="2">
        <v>46063</v>
      </c>
      <c r="C24" t="str">
        <f>IF('Uncleaned Data'!C24="","Unknown",PROPER(TRIM(CLEAN(SUBSTITUTE('Uncleaned Data'!C24,CHAR(160)," ")))))</f>
        <v>Manoj Reddy</v>
      </c>
      <c r="D24" t="str">
        <f>IF('Uncleaned Data'!D24="","Unknown",PROPER(TRIM(CLEAN(SUBSTITUTE('Uncleaned Data'!D24,CHAR(160)," ")))))</f>
        <v>Mouse</v>
      </c>
      <c r="E24" t="str">
        <f>IF('Uncleaned Data'!E24="","Unknown",PROPER(TRIM(CLEAN(SUBSTITUTE('Uncleaned Data'!E24,CHAR(160)," ")))))</f>
        <v>Accessories</v>
      </c>
      <c r="F24" t="str">
        <f>IF('Uncleaned Data'!F24="","Unknown",PROPER(TRIM(CLEAN(SUBSTITUTE('Uncleaned Data'!F24,CHAR(160)," ")))))</f>
        <v>North</v>
      </c>
      <c r="G24">
        <f>IF('Uncleaned Data'!G24="","",IF('Uncleaned Data'!G24&lt;=0,"", 'Uncleaned Data'!G24))</f>
        <v>1</v>
      </c>
      <c r="H24">
        <f>IF('Uncleaned Data'!H24="","",'Uncleaned Data'!H24)</f>
        <v>862.83</v>
      </c>
      <c r="I24">
        <f t="shared" si="0"/>
        <v>862.83</v>
      </c>
    </row>
    <row r="25" spans="1:9" x14ac:dyDescent="0.35">
      <c r="A25" t="s">
        <v>64</v>
      </c>
      <c r="B25" s="2">
        <v>46152</v>
      </c>
      <c r="C25" t="str">
        <f>IF('Uncleaned Data'!C25="","Unknown",PROPER(TRIM(CLEAN(SUBSTITUTE('Uncleaned Data'!C25,CHAR(160)," ")))))</f>
        <v>Sneha Patel</v>
      </c>
      <c r="D25" t="str">
        <f>IF('Uncleaned Data'!D25="","Unknown",PROPER(TRIM(CLEAN(SUBSTITUTE('Uncleaned Data'!D25,CHAR(160)," ")))))</f>
        <v>Keyboard</v>
      </c>
      <c r="E25" t="str">
        <f>IF('Uncleaned Data'!E25="","Unknown",PROPER(TRIM(CLEAN(SUBSTITUTE('Uncleaned Data'!E25,CHAR(160)," ")))))</f>
        <v>Accessories</v>
      </c>
      <c r="F25" t="str">
        <f>IF('Uncleaned Data'!F25="","Unknown",PROPER(TRIM(CLEAN(SUBSTITUTE('Uncleaned Data'!F25,CHAR(160)," ")))))</f>
        <v>East</v>
      </c>
      <c r="G25">
        <f>IF('Uncleaned Data'!G25="","",IF('Uncleaned Data'!G25&lt;=0,"", 'Uncleaned Data'!G25))</f>
        <v>5</v>
      </c>
      <c r="H25">
        <f>IF('Uncleaned Data'!H25="","",'Uncleaned Data'!H25)</f>
        <v>1894.31</v>
      </c>
      <c r="I25">
        <f t="shared" si="0"/>
        <v>9471.5499999999993</v>
      </c>
    </row>
    <row r="26" spans="1:9" x14ac:dyDescent="0.35">
      <c r="A26" t="s">
        <v>65</v>
      </c>
      <c r="B26" s="2">
        <v>46118</v>
      </c>
      <c r="C26" t="str">
        <f>IF('Uncleaned Data'!C26="","Unknown",PROPER(TRIM(CLEAN(SUBSTITUTE('Uncleaned Data'!C26,CHAR(160)," ")))))</f>
        <v>Ananya Rao</v>
      </c>
      <c r="D26" t="str">
        <f>IF('Uncleaned Data'!D26="","Unknown",PROPER(TRIM(CLEAN(SUBSTITUTE('Uncleaned Data'!D26,CHAR(160)," ")))))</f>
        <v>Backpack</v>
      </c>
      <c r="E26" t="str">
        <f>IF('Uncleaned Data'!E26="","Unknown",PROPER(TRIM(CLEAN(SUBSTITUTE('Uncleaned Data'!E26,CHAR(160)," ")))))</f>
        <v>Accessories</v>
      </c>
      <c r="F26" t="str">
        <f>IF('Uncleaned Data'!F26="","Unknown",PROPER(TRIM(CLEAN(SUBSTITUTE('Uncleaned Data'!F26,CHAR(160)," ")))))</f>
        <v>Central</v>
      </c>
      <c r="G26">
        <f>IF('Uncleaned Data'!G26="","",IF('Uncleaned Data'!G26&lt;=0,"", 'Uncleaned Data'!G26))</f>
        <v>5</v>
      </c>
      <c r="H26">
        <f>IF('Uncleaned Data'!H26="","",'Uncleaned Data'!H26)</f>
        <v>2067.52</v>
      </c>
      <c r="I26">
        <f t="shared" si="0"/>
        <v>10337.6</v>
      </c>
    </row>
    <row r="27" spans="1:9" x14ac:dyDescent="0.35">
      <c r="A27" t="s">
        <v>66</v>
      </c>
      <c r="B27" s="2">
        <v>46148</v>
      </c>
      <c r="C27" t="str">
        <f>IF('Uncleaned Data'!C27="","Unknown",PROPER(TRIM(CLEAN(SUBSTITUTE('Uncleaned Data'!C27,CHAR(160)," ")))))</f>
        <v>Rahul Sharma</v>
      </c>
      <c r="D27" t="str">
        <f>IF('Uncleaned Data'!D27="","Unknown",PROPER(TRIM(CLEAN(SUBSTITUTE('Uncleaned Data'!D27,CHAR(160)," ")))))</f>
        <v>Backpack</v>
      </c>
      <c r="E27" t="str">
        <f>IF('Uncleaned Data'!E27="","Unknown",PROPER(TRIM(CLEAN(SUBSTITUTE('Uncleaned Data'!E27,CHAR(160)," ")))))</f>
        <v>Accessories</v>
      </c>
      <c r="F27" t="str">
        <f>IF('Uncleaned Data'!F27="","Unknown",PROPER(TRIM(CLEAN(SUBSTITUTE('Uncleaned Data'!F27,CHAR(160)," ")))))</f>
        <v>North</v>
      </c>
      <c r="G27" t="str">
        <f>IF('Uncleaned Data'!G27="","",IF('Uncleaned Data'!G27&lt;=0,"", 'Uncleaned Data'!G27))</f>
        <v/>
      </c>
      <c r="H27">
        <f>IF('Uncleaned Data'!H27="","",'Uncleaned Data'!H27)</f>
        <v>2243.54</v>
      </c>
      <c r="I27" t="str">
        <f t="shared" si="0"/>
        <v/>
      </c>
    </row>
    <row r="28" spans="1:9" x14ac:dyDescent="0.35">
      <c r="A28" t="s">
        <v>67</v>
      </c>
      <c r="B28" s="2">
        <v>46084</v>
      </c>
      <c r="C28" t="str">
        <f>IF('Uncleaned Data'!C28="","Unknown",PROPER(TRIM(CLEAN(SUBSTITUTE('Uncleaned Data'!C28,CHAR(160)," ")))))</f>
        <v>Nikhil Jain</v>
      </c>
      <c r="D28" t="str">
        <f>IF('Uncleaned Data'!D28="","Unknown",PROPER(TRIM(CLEAN(SUBSTITUTE('Uncleaned Data'!D28,CHAR(160)," ")))))</f>
        <v>Mouse</v>
      </c>
      <c r="E28" t="str">
        <f>IF('Uncleaned Data'!E28="","Unknown",PROPER(TRIM(CLEAN(SUBSTITUTE('Uncleaned Data'!E28,CHAR(160)," ")))))</f>
        <v>Accessories</v>
      </c>
      <c r="F28" t="str">
        <f>IF('Uncleaned Data'!F28="","Unknown",PROPER(TRIM(CLEAN(SUBSTITUTE('Uncleaned Data'!F28,CHAR(160)," ")))))</f>
        <v>North</v>
      </c>
      <c r="G28">
        <f>IF('Uncleaned Data'!G28="","",IF('Uncleaned Data'!G28&lt;=0,"", 'Uncleaned Data'!G28))</f>
        <v>3</v>
      </c>
      <c r="H28">
        <f>IF('Uncleaned Data'!H28="","",'Uncleaned Data'!H28)</f>
        <v>853.1</v>
      </c>
      <c r="I28">
        <f t="shared" si="0"/>
        <v>2559.3000000000002</v>
      </c>
    </row>
    <row r="29" spans="1:9" x14ac:dyDescent="0.35">
      <c r="A29" t="s">
        <v>68</v>
      </c>
      <c r="B29" s="2">
        <v>46217</v>
      </c>
      <c r="C29" t="str">
        <f>IF('Uncleaned Data'!C29="","Unknown",PROPER(TRIM(CLEAN(SUBSTITUTE('Uncleaned Data'!C29,CHAR(160)," ")))))</f>
        <v>Swathi Das</v>
      </c>
      <c r="D29" t="str">
        <f>IF('Uncleaned Data'!D29="","Unknown",PROPER(TRIM(CLEAN(SUBSTITUTE('Uncleaned Data'!D29,CHAR(160)," ")))))</f>
        <v>Smartphone</v>
      </c>
      <c r="E29" t="str">
        <f>IF('Uncleaned Data'!E29="","Unknown",PROPER(TRIM(CLEAN(SUBSTITUTE('Uncleaned Data'!E29,CHAR(160)," ")))))</f>
        <v>Electronics</v>
      </c>
      <c r="F29" t="str">
        <f>IF('Uncleaned Data'!F29="","Unknown",PROPER(TRIM(CLEAN(SUBSTITUTE('Uncleaned Data'!F29,CHAR(160)," ")))))</f>
        <v>South</v>
      </c>
      <c r="G29">
        <f>IF('Uncleaned Data'!G29="","",IF('Uncleaned Data'!G29&lt;=0,"", 'Uncleaned Data'!G29))</f>
        <v>4</v>
      </c>
      <c r="H29">
        <f>IF('Uncleaned Data'!H29="","",'Uncleaned Data'!H29)</f>
        <v>29769.73</v>
      </c>
      <c r="I29">
        <f t="shared" si="0"/>
        <v>119078.92</v>
      </c>
    </row>
    <row r="30" spans="1:9" x14ac:dyDescent="0.35">
      <c r="A30" t="s">
        <v>69</v>
      </c>
      <c r="B30" s="2">
        <v>46065</v>
      </c>
      <c r="C30" t="str">
        <f>IF('Uncleaned Data'!C30="","Unknown",PROPER(TRIM(CLEAN(SUBSTITUTE('Uncleaned Data'!C30,CHAR(160)," ")))))</f>
        <v>Rohit Verma</v>
      </c>
      <c r="D30" t="str">
        <f>IF('Uncleaned Data'!D30="","Unknown",PROPER(TRIM(CLEAN(SUBSTITUTE('Uncleaned Data'!D30,CHAR(160)," ")))))</f>
        <v>Headphones</v>
      </c>
      <c r="E30" t="str">
        <f>IF('Uncleaned Data'!E30="","Unknown",PROPER(TRIM(CLEAN(SUBSTITUTE('Uncleaned Data'!E30,CHAR(160)," ")))))</f>
        <v>Electronics</v>
      </c>
      <c r="F30" t="str">
        <f>IF('Uncleaned Data'!F30="","Unknown",PROPER(TRIM(CLEAN(SUBSTITUTE('Uncleaned Data'!F30,CHAR(160)," ")))))</f>
        <v>Central</v>
      </c>
      <c r="G30">
        <f>IF('Uncleaned Data'!G30="","",IF('Uncleaned Data'!G30&lt;=0,"", 'Uncleaned Data'!G30))</f>
        <v>4</v>
      </c>
      <c r="H30">
        <f>IF('Uncleaned Data'!H30="","",'Uncleaned Data'!H30)</f>
        <v>2723.42</v>
      </c>
      <c r="I30">
        <f t="shared" si="0"/>
        <v>10893.68</v>
      </c>
    </row>
    <row r="31" spans="1:9" x14ac:dyDescent="0.35">
      <c r="A31" t="s">
        <v>71</v>
      </c>
      <c r="B31" s="2">
        <v>46260</v>
      </c>
      <c r="C31" t="str">
        <f>IF('Uncleaned Data'!C31="","Unknown",PROPER(TRIM(CLEAN(SUBSTITUTE('Uncleaned Data'!C31,CHAR(160)," ")))))</f>
        <v>Swathi Das</v>
      </c>
      <c r="D31" t="str">
        <f>IF('Uncleaned Data'!D31="","Unknown",PROPER(TRIM(CLEAN(SUBSTITUTE('Uncleaned Data'!D31,CHAR(160)," ")))))</f>
        <v>Printer</v>
      </c>
      <c r="E31" t="str">
        <f>IF('Uncleaned Data'!E31="","Unknown",PROPER(TRIM(CLEAN(SUBSTITUTE('Uncleaned Data'!E31,CHAR(160)," ")))))</f>
        <v>Electronics</v>
      </c>
      <c r="F31" t="str">
        <f>IF('Uncleaned Data'!F31="","Unknown",PROPER(TRIM(CLEAN(SUBSTITUTE('Uncleaned Data'!F31,CHAR(160)," ")))))</f>
        <v>South</v>
      </c>
      <c r="G31">
        <f>IF('Uncleaned Data'!G31="","",IF('Uncleaned Data'!G31&lt;=0,"", 'Uncleaned Data'!G31))</f>
        <v>4</v>
      </c>
      <c r="H31">
        <f>IF('Uncleaned Data'!H31="","",'Uncleaned Data'!H31)</f>
        <v>13114.47</v>
      </c>
      <c r="I31">
        <f t="shared" si="0"/>
        <v>52457.88</v>
      </c>
    </row>
    <row r="32" spans="1:9" x14ac:dyDescent="0.35">
      <c r="A32" t="s">
        <v>72</v>
      </c>
      <c r="B32" s="2">
        <v>46189</v>
      </c>
      <c r="C32" t="str">
        <f>IF('Uncleaned Data'!C32="","Unknown",PROPER(TRIM(CLEAN(SUBSTITUTE('Uncleaned Data'!C32,CHAR(160)," ")))))</f>
        <v>Pooja Iyer</v>
      </c>
      <c r="D32" t="str">
        <f>IF('Uncleaned Data'!D32="","Unknown",PROPER(TRIM(CLEAN(SUBSTITUTE('Uncleaned Data'!D32,CHAR(160)," ")))))</f>
        <v>Keyboard</v>
      </c>
      <c r="E32" t="str">
        <f>IF('Uncleaned Data'!E32="","Unknown",PROPER(TRIM(CLEAN(SUBSTITUTE('Uncleaned Data'!E32,CHAR(160)," ")))))</f>
        <v>Accessories</v>
      </c>
      <c r="F32" t="str">
        <f>IF('Uncleaned Data'!F32="","Unknown",PROPER(TRIM(CLEAN(SUBSTITUTE('Uncleaned Data'!F32,CHAR(160)," ")))))</f>
        <v>West</v>
      </c>
      <c r="G32">
        <f>IF('Uncleaned Data'!G32="","",IF('Uncleaned Data'!G32&lt;=0,"", 'Uncleaned Data'!G32))</f>
        <v>4</v>
      </c>
      <c r="H32">
        <f>IF('Uncleaned Data'!H32="","",'Uncleaned Data'!H32)</f>
        <v>1978.25</v>
      </c>
      <c r="I32">
        <f t="shared" si="0"/>
        <v>7913</v>
      </c>
    </row>
    <row r="33" spans="1:9" x14ac:dyDescent="0.35">
      <c r="A33" t="s">
        <v>73</v>
      </c>
      <c r="B33" s="2">
        <v>46080</v>
      </c>
      <c r="C33" t="str">
        <f>IF('Uncleaned Data'!C33="","Unknown",PROPER(TRIM(CLEAN(SUBSTITUTE('Uncleaned Data'!C33,CHAR(160)," ")))))</f>
        <v>Arjun Kumar</v>
      </c>
      <c r="D33" t="str">
        <f>IF('Uncleaned Data'!D33="","Unknown",PROPER(TRIM(CLEAN(SUBSTITUTE('Uncleaned Data'!D33,CHAR(160)," ")))))</f>
        <v>Backpack</v>
      </c>
      <c r="E33" t="str">
        <f>IF('Uncleaned Data'!E33="","Unknown",PROPER(TRIM(CLEAN(SUBSTITUTE('Uncleaned Data'!E33,CHAR(160)," ")))))</f>
        <v>Accessories</v>
      </c>
      <c r="F33" t="str">
        <f>IF('Uncleaned Data'!F33="","Unknown",PROPER(TRIM(CLEAN(SUBSTITUTE('Uncleaned Data'!F33,CHAR(160)," ")))))</f>
        <v>East</v>
      </c>
      <c r="G33">
        <f>IF('Uncleaned Data'!G33="","",IF('Uncleaned Data'!G33&lt;=0,"", 'Uncleaned Data'!G33))</f>
        <v>4</v>
      </c>
      <c r="H33">
        <f>IF('Uncleaned Data'!H33="","",'Uncleaned Data'!H33)</f>
        <v>2033.24</v>
      </c>
      <c r="I33">
        <f t="shared" si="0"/>
        <v>8132.96</v>
      </c>
    </row>
    <row r="34" spans="1:9" x14ac:dyDescent="0.35">
      <c r="A34" t="s">
        <v>76</v>
      </c>
      <c r="B34" s="2">
        <v>46173</v>
      </c>
      <c r="C34" t="str">
        <f>IF('Uncleaned Data'!C34="","Unknown",PROPER(TRIM(CLEAN(SUBSTITUTE('Uncleaned Data'!C34,CHAR(160)," ")))))</f>
        <v>Meena Joshi</v>
      </c>
      <c r="D34" t="str">
        <f>IF('Uncleaned Data'!D34="","Unknown",PROPER(TRIM(CLEAN(SUBSTITUTE('Uncleaned Data'!D34,CHAR(160)," ")))))</f>
        <v>Laptop</v>
      </c>
      <c r="E34" t="str">
        <f>IF('Uncleaned Data'!E34="","Unknown",PROPER(TRIM(CLEAN(SUBSTITUTE('Uncleaned Data'!E34,CHAR(160)," ")))))</f>
        <v>Electronics</v>
      </c>
      <c r="F34" t="str">
        <f>IF('Uncleaned Data'!F34="","Unknown",PROPER(TRIM(CLEAN(SUBSTITUTE('Uncleaned Data'!F34,CHAR(160)," ")))))</f>
        <v>North</v>
      </c>
      <c r="G34">
        <f>IF('Uncleaned Data'!G34="","",IF('Uncleaned Data'!G34&lt;=0,"", 'Uncleaned Data'!G34))</f>
        <v>5</v>
      </c>
      <c r="H34">
        <f>IF('Uncleaned Data'!H34="","",'Uncleaned Data'!H34)</f>
        <v>55593.14</v>
      </c>
      <c r="I34">
        <f t="shared" ref="I34:I65" si="1">IF(OR(G34="",H34=""),"",G34*H34)</f>
        <v>277965.7</v>
      </c>
    </row>
    <row r="35" spans="1:9" x14ac:dyDescent="0.35">
      <c r="A35" t="s">
        <v>78</v>
      </c>
      <c r="B35" s="2">
        <v>46254</v>
      </c>
      <c r="C35" t="str">
        <f>IF('Uncleaned Data'!C35="","Unknown",PROPER(TRIM(CLEAN(SUBSTITUTE('Uncleaned Data'!C35,CHAR(160)," ")))))</f>
        <v>Priya Reddy</v>
      </c>
      <c r="D35" t="str">
        <f>IF('Uncleaned Data'!D35="","Unknown",PROPER(TRIM(CLEAN(SUBSTITUTE('Uncleaned Data'!D35,CHAR(160)," ")))))</f>
        <v>Smartphone</v>
      </c>
      <c r="E35" t="str">
        <f>IF('Uncleaned Data'!E35="","Unknown",PROPER(TRIM(CLEAN(SUBSTITUTE('Uncleaned Data'!E35,CHAR(160)," ")))))</f>
        <v>Electronics</v>
      </c>
      <c r="F35" t="str">
        <f>IF('Uncleaned Data'!F35="","Unknown",PROPER(TRIM(CLEAN(SUBSTITUTE('Uncleaned Data'!F35,CHAR(160)," ")))))</f>
        <v>East</v>
      </c>
      <c r="G35">
        <f>IF('Uncleaned Data'!G35="","",IF('Uncleaned Data'!G35&lt;=0,"", 'Uncleaned Data'!G35))</f>
        <v>1</v>
      </c>
      <c r="H35">
        <f>IF('Uncleaned Data'!H35="","",'Uncleaned Data'!H35)</f>
        <v>26482.07</v>
      </c>
      <c r="I35">
        <f t="shared" si="1"/>
        <v>26482.07</v>
      </c>
    </row>
    <row r="36" spans="1:9" x14ac:dyDescent="0.35">
      <c r="A36" t="s">
        <v>79</v>
      </c>
      <c r="B36" s="2">
        <v>46194</v>
      </c>
      <c r="C36" t="str">
        <f>IF('Uncleaned Data'!C36="","Unknown",PROPER(TRIM(CLEAN(SUBSTITUTE('Uncleaned Data'!C36,CHAR(160)," ")))))</f>
        <v>Kavya Rao</v>
      </c>
      <c r="D36" t="str">
        <f>IF('Uncleaned Data'!D36="","Unknown",PROPER(TRIM(CLEAN(SUBSTITUTE('Uncleaned Data'!D36,CHAR(160)," ")))))</f>
        <v>Smartphone</v>
      </c>
      <c r="E36" t="str">
        <f>IF('Uncleaned Data'!E36="","Unknown",PROPER(TRIM(CLEAN(SUBSTITUTE('Uncleaned Data'!E36,CHAR(160)," ")))))</f>
        <v>Electronics</v>
      </c>
      <c r="F36" t="str">
        <f>IF('Uncleaned Data'!F36="","Unknown",PROPER(TRIM(CLEAN(SUBSTITUTE('Uncleaned Data'!F36,CHAR(160)," ")))))</f>
        <v>South</v>
      </c>
      <c r="G36">
        <f>IF('Uncleaned Data'!G36="","",IF('Uncleaned Data'!G36&lt;=0,"", 'Uncleaned Data'!G36))</f>
        <v>5</v>
      </c>
      <c r="H36">
        <f>IF('Uncleaned Data'!H36="","",'Uncleaned Data'!H36)</f>
        <v>26532.83</v>
      </c>
      <c r="I36">
        <f t="shared" si="1"/>
        <v>132664.15000000002</v>
      </c>
    </row>
    <row r="37" spans="1:9" x14ac:dyDescent="0.35">
      <c r="A37" t="s">
        <v>81</v>
      </c>
      <c r="B37" s="2">
        <v>46248</v>
      </c>
      <c r="C37" t="str">
        <f>IF('Uncleaned Data'!C37="","Unknown",PROPER(TRIM(CLEAN(SUBSTITUTE('Uncleaned Data'!C37,CHAR(160)," ")))))</f>
        <v>Nikhil Jain</v>
      </c>
      <c r="D37" t="str">
        <f>IF('Uncleaned Data'!D37="","Unknown",PROPER(TRIM(CLEAN(SUBSTITUTE('Uncleaned Data'!D37,CHAR(160)," ")))))</f>
        <v>Backpack</v>
      </c>
      <c r="E37" t="str">
        <f>IF('Uncleaned Data'!E37="","Unknown",PROPER(TRIM(CLEAN(SUBSTITUTE('Uncleaned Data'!E37,CHAR(160)," ")))))</f>
        <v>Accessories</v>
      </c>
      <c r="F37" t="str">
        <f>IF('Uncleaned Data'!F37="","Unknown",PROPER(TRIM(CLEAN(SUBSTITUTE('Uncleaned Data'!F37,CHAR(160)," ")))))</f>
        <v>Central</v>
      </c>
      <c r="G37">
        <f>IF('Uncleaned Data'!G37="","",IF('Uncleaned Data'!G37&lt;=0,"", 'Uncleaned Data'!G37))</f>
        <v>2</v>
      </c>
      <c r="H37">
        <f>IF('Uncleaned Data'!H37="","",'Uncleaned Data'!H37)</f>
        <v>2298.2800000000002</v>
      </c>
      <c r="I37">
        <f t="shared" si="1"/>
        <v>4596.5600000000004</v>
      </c>
    </row>
    <row r="38" spans="1:9" x14ac:dyDescent="0.35">
      <c r="A38" t="s">
        <v>82</v>
      </c>
      <c r="B38" s="2">
        <v>46229</v>
      </c>
      <c r="C38" t="str">
        <f>IF('Uncleaned Data'!C38="","Unknown",PROPER(TRIM(CLEAN(SUBSTITUTE('Uncleaned Data'!C38,CHAR(160)," ")))))</f>
        <v>Divya Menon</v>
      </c>
      <c r="D38" t="str">
        <f>IF('Uncleaned Data'!D38="","Unknown",PROPER(TRIM(CLEAN(SUBSTITUTE('Uncleaned Data'!D38,CHAR(160)," ")))))</f>
        <v>Desk</v>
      </c>
      <c r="E38" t="str">
        <f>IF('Uncleaned Data'!E38="","Unknown",PROPER(TRIM(CLEAN(SUBSTITUTE('Uncleaned Data'!E38,CHAR(160)," ")))))</f>
        <v>Furniture</v>
      </c>
      <c r="F38" t="str">
        <f>IF('Uncleaned Data'!F38="","Unknown",PROPER(TRIM(CLEAN(SUBSTITUTE('Uncleaned Data'!F38,CHAR(160)," ")))))</f>
        <v>South</v>
      </c>
      <c r="G38">
        <f>IF('Uncleaned Data'!G38="","",IF('Uncleaned Data'!G38&lt;=0,"", 'Uncleaned Data'!G38))</f>
        <v>2</v>
      </c>
      <c r="H38">
        <f>IF('Uncleaned Data'!H38="","",'Uncleaned Data'!H38)</f>
        <v>12683.09</v>
      </c>
      <c r="I38">
        <f t="shared" si="1"/>
        <v>25366.18</v>
      </c>
    </row>
    <row r="39" spans="1:9" x14ac:dyDescent="0.35">
      <c r="A39" t="s">
        <v>85</v>
      </c>
      <c r="B39" s="2">
        <v>46113</v>
      </c>
      <c r="C39" t="str">
        <f>IF('Uncleaned Data'!C39="","Unknown",PROPER(TRIM(CLEAN(SUBSTITUTE('Uncleaned Data'!C39,CHAR(160)," ")))))</f>
        <v>Divya Menon</v>
      </c>
      <c r="D39" t="str">
        <f>IF('Uncleaned Data'!D39="","Unknown",PROPER(TRIM(CLEAN(SUBSTITUTE('Uncleaned Data'!D39,CHAR(160)," ")))))</f>
        <v>Unknown</v>
      </c>
      <c r="E39" t="str">
        <f>IF('Uncleaned Data'!E39="","Unknown",PROPER(TRIM(CLEAN(SUBSTITUTE('Uncleaned Data'!E39,CHAR(160)," ")))))</f>
        <v>Electronics</v>
      </c>
      <c r="F39" t="str">
        <f>IF('Uncleaned Data'!F39="","Unknown",PROPER(TRIM(CLEAN(SUBSTITUTE('Uncleaned Data'!F39,CHAR(160)," ")))))</f>
        <v>West</v>
      </c>
      <c r="G39">
        <f>IF('Uncleaned Data'!G39="","",IF('Uncleaned Data'!G39&lt;=0,"", 'Uncleaned Data'!G39))</f>
        <v>1</v>
      </c>
      <c r="H39">
        <f>IF('Uncleaned Data'!H39="","",'Uncleaned Data'!H39)</f>
        <v>28890.3</v>
      </c>
      <c r="I39">
        <f t="shared" si="1"/>
        <v>28890.3</v>
      </c>
    </row>
    <row r="40" spans="1:9" x14ac:dyDescent="0.35">
      <c r="A40" t="s">
        <v>86</v>
      </c>
      <c r="B40" s="2">
        <v>46188</v>
      </c>
      <c r="C40" t="str">
        <f>IF('Uncleaned Data'!C40="","Unknown",PROPER(TRIM(CLEAN(SUBSTITUTE('Uncleaned Data'!C40,CHAR(160)," ")))))</f>
        <v>Sneha Patel</v>
      </c>
      <c r="D40" t="str">
        <f>IF('Uncleaned Data'!D40="","Unknown",PROPER(TRIM(CLEAN(SUBSTITUTE('Uncleaned Data'!D40,CHAR(160)," ")))))</f>
        <v>Desk</v>
      </c>
      <c r="E40" t="str">
        <f>IF('Uncleaned Data'!E40="","Unknown",PROPER(TRIM(CLEAN(SUBSTITUTE('Uncleaned Data'!E40,CHAR(160)," ")))))</f>
        <v>Furniture</v>
      </c>
      <c r="F40" t="str">
        <f>IF('Uncleaned Data'!F40="","Unknown",PROPER(TRIM(CLEAN(SUBSTITUTE('Uncleaned Data'!F40,CHAR(160)," ")))))</f>
        <v>North</v>
      </c>
      <c r="G40">
        <f>IF('Uncleaned Data'!G40="","",IF('Uncleaned Data'!G40&lt;=0,"", 'Uncleaned Data'!G40))</f>
        <v>1</v>
      </c>
      <c r="H40">
        <f>IF('Uncleaned Data'!H40="","",'Uncleaned Data'!H40)</f>
        <v>12416.07</v>
      </c>
      <c r="I40">
        <f t="shared" si="1"/>
        <v>12416.07</v>
      </c>
    </row>
    <row r="41" spans="1:9" x14ac:dyDescent="0.35">
      <c r="A41" t="s">
        <v>87</v>
      </c>
      <c r="B41" s="2">
        <v>46050</v>
      </c>
      <c r="C41" t="str">
        <f>IF('Uncleaned Data'!C41="","Unknown",PROPER(TRIM(CLEAN(SUBSTITUTE('Uncleaned Data'!C41,CHAR(160)," ")))))</f>
        <v>Meena Joshi</v>
      </c>
      <c r="D41" t="str">
        <f>IF('Uncleaned Data'!D41="","Unknown",PROPER(TRIM(CLEAN(SUBSTITUTE('Uncleaned Data'!D41,CHAR(160)," ")))))</f>
        <v>Office Chair</v>
      </c>
      <c r="E41" t="str">
        <f>IF('Uncleaned Data'!E41="","Unknown",PROPER(TRIM(CLEAN(SUBSTITUTE('Uncleaned Data'!E41,CHAR(160)," ")))))</f>
        <v>Furniture</v>
      </c>
      <c r="F41" t="str">
        <f>IF('Uncleaned Data'!F41="","Unknown",PROPER(TRIM(CLEAN(SUBSTITUTE('Uncleaned Data'!F41,CHAR(160)," ")))))</f>
        <v>South</v>
      </c>
      <c r="G41">
        <f>IF('Uncleaned Data'!G41="","",IF('Uncleaned Data'!G41&lt;=0,"", 'Uncleaned Data'!G41))</f>
        <v>3</v>
      </c>
      <c r="H41">
        <f>IF('Uncleaned Data'!H41="","",'Uncleaned Data'!H41)</f>
        <v>9011.01</v>
      </c>
      <c r="I41">
        <f t="shared" si="1"/>
        <v>27033.03</v>
      </c>
    </row>
    <row r="42" spans="1:9" x14ac:dyDescent="0.35">
      <c r="A42" t="s">
        <v>88</v>
      </c>
      <c r="B42" s="2">
        <v>46131</v>
      </c>
      <c r="C42" t="str">
        <f>IF('Uncleaned Data'!C42="","Unknown",PROPER(TRIM(CLEAN(SUBSTITUTE('Uncleaned Data'!C42,CHAR(160)," ")))))</f>
        <v>Ananya Rao</v>
      </c>
      <c r="D42" t="str">
        <f>IF('Uncleaned Data'!D42="","Unknown",PROPER(TRIM(CLEAN(SUBSTITUTE('Uncleaned Data'!D42,CHAR(160)," ")))))</f>
        <v>Monitor</v>
      </c>
      <c r="E42" t="str">
        <f>IF('Uncleaned Data'!E42="","Unknown",PROPER(TRIM(CLEAN(SUBSTITUTE('Uncleaned Data'!E42,CHAR(160)," ")))))</f>
        <v>Electronics</v>
      </c>
      <c r="F42" t="str">
        <f>IF('Uncleaned Data'!F42="","Unknown",PROPER(TRIM(CLEAN(SUBSTITUTE('Uncleaned Data'!F42,CHAR(160)," ")))))</f>
        <v>East</v>
      </c>
      <c r="G42">
        <f>IF('Uncleaned Data'!G42="","",IF('Uncleaned Data'!G42&lt;=0,"", 'Uncleaned Data'!G42))</f>
        <v>5</v>
      </c>
      <c r="H42">
        <f>IF('Uncleaned Data'!H42="","",'Uncleaned Data'!H42)</f>
        <v>14845.84</v>
      </c>
      <c r="I42">
        <f t="shared" si="1"/>
        <v>74229.2</v>
      </c>
    </row>
    <row r="43" spans="1:9" x14ac:dyDescent="0.35">
      <c r="A43" t="s">
        <v>89</v>
      </c>
      <c r="B43" s="2">
        <v>46042</v>
      </c>
      <c r="C43" t="str">
        <f>IF('Uncleaned Data'!C43="","Unknown",PROPER(TRIM(CLEAN(SUBSTITUTE('Uncleaned Data'!C43,CHAR(160)," ")))))</f>
        <v>Manoj Reddy</v>
      </c>
      <c r="D43" t="str">
        <f>IF('Uncleaned Data'!D43="","Unknown",PROPER(TRIM(CLEAN(SUBSTITUTE('Uncleaned Data'!D43,CHAR(160)," ")))))</f>
        <v>Desk</v>
      </c>
      <c r="E43" t="str">
        <f>IF('Uncleaned Data'!E43="","Unknown",PROPER(TRIM(CLEAN(SUBSTITUTE('Uncleaned Data'!E43,CHAR(160)," ")))))</f>
        <v>Furniture</v>
      </c>
      <c r="F43" t="str">
        <f>IF('Uncleaned Data'!F43="","Unknown",PROPER(TRIM(CLEAN(SUBSTITUTE('Uncleaned Data'!F43,CHAR(160)," ")))))</f>
        <v>Central</v>
      </c>
      <c r="G43">
        <f>IF('Uncleaned Data'!G43="","",IF('Uncleaned Data'!G43&lt;=0,"", 'Uncleaned Data'!G43))</f>
        <v>2</v>
      </c>
      <c r="H43">
        <f>IF('Uncleaned Data'!H43="","",'Uncleaned Data'!H43)</f>
        <v>12898.77</v>
      </c>
      <c r="I43">
        <f t="shared" si="1"/>
        <v>25797.54</v>
      </c>
    </row>
    <row r="44" spans="1:9" x14ac:dyDescent="0.35">
      <c r="A44" t="s">
        <v>91</v>
      </c>
      <c r="B44" s="2">
        <v>46161</v>
      </c>
      <c r="C44" t="str">
        <f>IF('Uncleaned Data'!C44="","Unknown",PROPER(TRIM(CLEAN(SUBSTITUTE('Uncleaned Data'!C44,CHAR(160)," ")))))</f>
        <v>Rahul Sharma</v>
      </c>
      <c r="D44" t="str">
        <f>IF('Uncleaned Data'!D44="","Unknown",PROPER(TRIM(CLEAN(SUBSTITUTE('Uncleaned Data'!D44,CHAR(160)," ")))))</f>
        <v>Smartphone</v>
      </c>
      <c r="E44" t="str">
        <f>IF('Uncleaned Data'!E44="","Unknown",PROPER(TRIM(CLEAN(SUBSTITUTE('Uncleaned Data'!E44,CHAR(160)," ")))))</f>
        <v>Electronics</v>
      </c>
      <c r="F44" t="str">
        <f>IF('Uncleaned Data'!F44="","Unknown",PROPER(TRIM(CLEAN(SUBSTITUTE('Uncleaned Data'!F44,CHAR(160)," ")))))</f>
        <v>North</v>
      </c>
      <c r="G44">
        <f>IF('Uncleaned Data'!G44="","",IF('Uncleaned Data'!G44&lt;=0,"", 'Uncleaned Data'!G44))</f>
        <v>1</v>
      </c>
      <c r="H44">
        <f>IF('Uncleaned Data'!H44="","",'Uncleaned Data'!H44)</f>
        <v>28852.01</v>
      </c>
      <c r="I44">
        <f t="shared" si="1"/>
        <v>28852.01</v>
      </c>
    </row>
    <row r="45" spans="1:9" x14ac:dyDescent="0.35">
      <c r="A45" t="s">
        <v>92</v>
      </c>
      <c r="B45" s="2">
        <v>46146</v>
      </c>
      <c r="C45" t="str">
        <f>IF('Uncleaned Data'!C45="","Unknown",PROPER(TRIM(CLEAN(SUBSTITUTE('Uncleaned Data'!C45,CHAR(160)," ")))))</f>
        <v>Kiran Das</v>
      </c>
      <c r="D45" t="str">
        <f>IF('Uncleaned Data'!D45="","Unknown",PROPER(TRIM(CLEAN(SUBSTITUTE('Uncleaned Data'!D45,CHAR(160)," ")))))</f>
        <v>Monitor</v>
      </c>
      <c r="E45" t="str">
        <f>IF('Uncleaned Data'!E45="","Unknown",PROPER(TRIM(CLEAN(SUBSTITUTE('Uncleaned Data'!E45,CHAR(160)," ")))))</f>
        <v>Electronics</v>
      </c>
      <c r="F45" t="str">
        <f>IF('Uncleaned Data'!F45="","Unknown",PROPER(TRIM(CLEAN(SUBSTITUTE('Uncleaned Data'!F45,CHAR(160)," ")))))</f>
        <v>West</v>
      </c>
      <c r="G45">
        <f>IF('Uncleaned Data'!G45="","",IF('Uncleaned Data'!G45&lt;=0,"", 'Uncleaned Data'!G45))</f>
        <v>2</v>
      </c>
      <c r="H45">
        <f>IF('Uncleaned Data'!H45="","",'Uncleaned Data'!H45)</f>
        <v>14719.24</v>
      </c>
      <c r="I45">
        <f t="shared" si="1"/>
        <v>29438.48</v>
      </c>
    </row>
    <row r="46" spans="1:9" x14ac:dyDescent="0.35">
      <c r="A46" t="s">
        <v>94</v>
      </c>
      <c r="B46" s="2">
        <v>46122</v>
      </c>
      <c r="C46" t="str">
        <f>IF('Uncleaned Data'!C46="","Unknown",PROPER(TRIM(CLEAN(SUBSTITUTE('Uncleaned Data'!C46,CHAR(160)," ")))))</f>
        <v>Rohit Verma</v>
      </c>
      <c r="D46" t="str">
        <f>IF('Uncleaned Data'!D46="","Unknown",PROPER(TRIM(CLEAN(SUBSTITUTE('Uncleaned Data'!D46,CHAR(160)," ")))))</f>
        <v>Laptop</v>
      </c>
      <c r="E46" t="str">
        <f>IF('Uncleaned Data'!E46="","Unknown",PROPER(TRIM(CLEAN(SUBSTITUTE('Uncleaned Data'!E46,CHAR(160)," ")))))</f>
        <v>Electronics</v>
      </c>
      <c r="F46" t="str">
        <f>IF('Uncleaned Data'!F46="","Unknown",PROPER(TRIM(CLEAN(SUBSTITUTE('Uncleaned Data'!F46,CHAR(160)," ")))))</f>
        <v>West</v>
      </c>
      <c r="G46">
        <f>IF('Uncleaned Data'!G46="","",IF('Uncleaned Data'!G46&lt;=0,"", 'Uncleaned Data'!G46))</f>
        <v>2</v>
      </c>
      <c r="H46">
        <f>IF('Uncleaned Data'!H46="","",'Uncleaned Data'!H46)</f>
        <v>53668.7</v>
      </c>
      <c r="I46">
        <f t="shared" si="1"/>
        <v>107337.4</v>
      </c>
    </row>
    <row r="47" spans="1:9" x14ac:dyDescent="0.35">
      <c r="A47" t="s">
        <v>95</v>
      </c>
      <c r="B47" s="2">
        <v>46210</v>
      </c>
      <c r="C47" t="str">
        <f>IF('Uncleaned Data'!C47="","Unknown",PROPER(TRIM(CLEAN(SUBSTITUTE('Uncleaned Data'!C47,CHAR(160)," ")))))</f>
        <v>Swathi Das</v>
      </c>
      <c r="D47" t="str">
        <f>IF('Uncleaned Data'!D47="","Unknown",PROPER(TRIM(CLEAN(SUBSTITUTE('Uncleaned Data'!D47,CHAR(160)," ")))))</f>
        <v>Keyboard</v>
      </c>
      <c r="E47" t="str">
        <f>IF('Uncleaned Data'!E47="","Unknown",PROPER(TRIM(CLEAN(SUBSTITUTE('Uncleaned Data'!E47,CHAR(160)," ")))))</f>
        <v>Accessories</v>
      </c>
      <c r="F47" t="str">
        <f>IF('Uncleaned Data'!F47="","Unknown",PROPER(TRIM(CLEAN(SUBSTITUTE('Uncleaned Data'!F47,CHAR(160)," ")))))</f>
        <v>West</v>
      </c>
      <c r="G47">
        <f>IF('Uncleaned Data'!G47="","",IF('Uncleaned Data'!G47&lt;=0,"", 'Uncleaned Data'!G47))</f>
        <v>4</v>
      </c>
      <c r="H47">
        <f>IF('Uncleaned Data'!H47="","",'Uncleaned Data'!H47)</f>
        <v>1870.77</v>
      </c>
      <c r="I47">
        <f t="shared" si="1"/>
        <v>7483.08</v>
      </c>
    </row>
    <row r="48" spans="1:9" x14ac:dyDescent="0.35">
      <c r="A48" t="s">
        <v>96</v>
      </c>
      <c r="B48" s="2">
        <v>46037</v>
      </c>
      <c r="C48" t="str">
        <f>IF('Uncleaned Data'!C48="","Unknown",PROPER(TRIM(CLEAN(SUBSTITUTE('Uncleaned Data'!C48,CHAR(160)," ")))))</f>
        <v>Nikhil Jain</v>
      </c>
      <c r="D48" t="str">
        <f>IF('Uncleaned Data'!D48="","Unknown",PROPER(TRIM(CLEAN(SUBSTITUTE('Uncleaned Data'!D48,CHAR(160)," ")))))</f>
        <v>Headphones</v>
      </c>
      <c r="E48" t="str">
        <f>IF('Uncleaned Data'!E48="","Unknown",PROPER(TRIM(CLEAN(SUBSTITUTE('Uncleaned Data'!E48,CHAR(160)," ")))))</f>
        <v>Electronics</v>
      </c>
      <c r="F48" t="str">
        <f>IF('Uncleaned Data'!F48="","Unknown",PROPER(TRIM(CLEAN(SUBSTITUTE('Uncleaned Data'!F48,CHAR(160)," ")))))</f>
        <v>Central</v>
      </c>
      <c r="G48">
        <f>IF('Uncleaned Data'!G48="","",IF('Uncleaned Data'!G48&lt;=0,"", 'Uncleaned Data'!G48))</f>
        <v>2</v>
      </c>
      <c r="H48">
        <f>IF('Uncleaned Data'!H48="","",'Uncleaned Data'!H48)</f>
        <v>2398.35</v>
      </c>
      <c r="I48">
        <f t="shared" si="1"/>
        <v>4796.7</v>
      </c>
    </row>
    <row r="49" spans="1:9" x14ac:dyDescent="0.35">
      <c r="A49" t="s">
        <v>97</v>
      </c>
      <c r="B49" s="2">
        <v>46172</v>
      </c>
      <c r="C49" t="str">
        <f>IF('Uncleaned Data'!C49="","Unknown",PROPER(TRIM(CLEAN(SUBSTITUTE('Uncleaned Data'!C49,CHAR(160)," ")))))</f>
        <v>Kavya Rao</v>
      </c>
      <c r="D49" t="str">
        <f>IF('Uncleaned Data'!D49="","Unknown",PROPER(TRIM(CLEAN(SUBSTITUTE('Uncleaned Data'!D49,CHAR(160)," ")))))</f>
        <v>Laptop</v>
      </c>
      <c r="E49" t="str">
        <f>IF('Uncleaned Data'!E49="","Unknown",PROPER(TRIM(CLEAN(SUBSTITUTE('Uncleaned Data'!E49,CHAR(160)," ")))))</f>
        <v>Electronics</v>
      </c>
      <c r="F49" t="str">
        <f>IF('Uncleaned Data'!F49="","Unknown",PROPER(TRIM(CLEAN(SUBSTITUTE('Uncleaned Data'!F49,CHAR(160)," ")))))</f>
        <v>Central</v>
      </c>
      <c r="G49">
        <f>IF('Uncleaned Data'!G49="","",IF('Uncleaned Data'!G49&lt;=0,"", 'Uncleaned Data'!G49))</f>
        <v>3</v>
      </c>
      <c r="H49">
        <f>IF('Uncleaned Data'!H49="","",'Uncleaned Data'!H49)</f>
        <v>50128.82</v>
      </c>
      <c r="I49">
        <f t="shared" si="1"/>
        <v>150386.46</v>
      </c>
    </row>
    <row r="50" spans="1:9" x14ac:dyDescent="0.35">
      <c r="A50" t="s">
        <v>98</v>
      </c>
      <c r="B50" s="2">
        <v>46153</v>
      </c>
      <c r="C50" t="str">
        <f>IF('Uncleaned Data'!C50="","Unknown",PROPER(TRIM(CLEAN(SUBSTITUTE('Uncleaned Data'!C50,CHAR(160)," ")))))</f>
        <v>Arjun Kumar</v>
      </c>
      <c r="D50" t="str">
        <f>IF('Uncleaned Data'!D50="","Unknown",PROPER(TRIM(CLEAN(SUBSTITUTE('Uncleaned Data'!D50,CHAR(160)," ")))))</f>
        <v>Backpack</v>
      </c>
      <c r="E50" t="str">
        <f>IF('Uncleaned Data'!E50="","Unknown",PROPER(TRIM(CLEAN(SUBSTITUTE('Uncleaned Data'!E50,CHAR(160)," ")))))</f>
        <v>Accessories</v>
      </c>
      <c r="F50" t="str">
        <f>IF('Uncleaned Data'!F50="","Unknown",PROPER(TRIM(CLEAN(SUBSTITUTE('Uncleaned Data'!F50,CHAR(160)," ")))))</f>
        <v>South</v>
      </c>
      <c r="G50">
        <f>IF('Uncleaned Data'!G50="","",IF('Uncleaned Data'!G50&lt;=0,"", 'Uncleaned Data'!G50))</f>
        <v>2</v>
      </c>
      <c r="H50">
        <f>IF('Uncleaned Data'!H50="","",'Uncleaned Data'!H50)</f>
        <v>2005.03</v>
      </c>
      <c r="I50">
        <f t="shared" si="1"/>
        <v>4010.06</v>
      </c>
    </row>
    <row r="51" spans="1:9" x14ac:dyDescent="0.35">
      <c r="A51" t="s">
        <v>99</v>
      </c>
      <c r="B51" s="2">
        <v>46243</v>
      </c>
      <c r="C51" t="str">
        <f>IF('Uncleaned Data'!C51="","Unknown",PROPER(TRIM(CLEAN(SUBSTITUTE('Uncleaned Data'!C51,CHAR(160)," ")))))</f>
        <v>Meena Joshi</v>
      </c>
      <c r="D51" t="str">
        <f>IF('Uncleaned Data'!D51="","Unknown",PROPER(TRIM(CLEAN(SUBSTITUTE('Uncleaned Data'!D51,CHAR(160)," ")))))</f>
        <v>Smartphone</v>
      </c>
      <c r="E51" t="str">
        <f>IF('Uncleaned Data'!E51="","Unknown",PROPER(TRIM(CLEAN(SUBSTITUTE('Uncleaned Data'!E51,CHAR(160)," ")))))</f>
        <v>Electronics</v>
      </c>
      <c r="F51" t="str">
        <f>IF('Uncleaned Data'!F51="","Unknown",PROPER(TRIM(CLEAN(SUBSTITUTE('Uncleaned Data'!F51,CHAR(160)," ")))))</f>
        <v>West</v>
      </c>
      <c r="G51">
        <f>IF('Uncleaned Data'!G51="","",IF('Uncleaned Data'!G51&lt;=0,"", 'Uncleaned Data'!G51))</f>
        <v>5</v>
      </c>
      <c r="H51">
        <f>IF('Uncleaned Data'!H51="","",'Uncleaned Data'!H51)</f>
        <v>25580.58</v>
      </c>
      <c r="I51">
        <f t="shared" si="1"/>
        <v>127902.90000000001</v>
      </c>
    </row>
    <row r="52" spans="1:9" x14ac:dyDescent="0.35">
      <c r="A52" t="s">
        <v>100</v>
      </c>
      <c r="B52" s="2">
        <v>46175</v>
      </c>
      <c r="C52" t="str">
        <f>IF('Uncleaned Data'!C52="","Unknown",PROPER(TRIM(CLEAN(SUBSTITUTE('Uncleaned Data'!C52,CHAR(160)," ")))))</f>
        <v>Priya Reddy</v>
      </c>
      <c r="D52" t="str">
        <f>IF('Uncleaned Data'!D52="","Unknown",PROPER(TRIM(CLEAN(SUBSTITUTE('Uncleaned Data'!D52,CHAR(160)," ")))))</f>
        <v>Smartphone</v>
      </c>
      <c r="E52" t="str">
        <f>IF('Uncleaned Data'!E52="","Unknown",PROPER(TRIM(CLEAN(SUBSTITUTE('Uncleaned Data'!E52,CHAR(160)," ")))))</f>
        <v>Electronics</v>
      </c>
      <c r="F52" t="str">
        <f>IF('Uncleaned Data'!F52="","Unknown",PROPER(TRIM(CLEAN(SUBSTITUTE('Uncleaned Data'!F52,CHAR(160)," ")))))</f>
        <v>Central</v>
      </c>
      <c r="G52">
        <f>IF('Uncleaned Data'!G52="","",IF('Uncleaned Data'!G52&lt;=0,"", 'Uncleaned Data'!G52))</f>
        <v>5</v>
      </c>
      <c r="H52">
        <f>IF('Uncleaned Data'!H52="","",'Uncleaned Data'!H52)</f>
        <v>26578.81</v>
      </c>
      <c r="I52">
        <f t="shared" si="1"/>
        <v>132894.05000000002</v>
      </c>
    </row>
    <row r="53" spans="1:9" x14ac:dyDescent="0.35">
      <c r="A53" t="s">
        <v>101</v>
      </c>
      <c r="B53" s="2">
        <v>46167</v>
      </c>
      <c r="C53" t="str">
        <f>IF('Uncleaned Data'!C53="","Unknown",PROPER(TRIM(CLEAN(SUBSTITUTE('Uncleaned Data'!C53,CHAR(160)," ")))))</f>
        <v>Ravi Kumar</v>
      </c>
      <c r="D53" t="str">
        <f>IF('Uncleaned Data'!D53="","Unknown",PROPER(TRIM(CLEAN(SUBSTITUTE('Uncleaned Data'!D53,CHAR(160)," ")))))</f>
        <v>Smartphone</v>
      </c>
      <c r="E53" t="str">
        <f>IF('Uncleaned Data'!E53="","Unknown",PROPER(TRIM(CLEAN(SUBSTITUTE('Uncleaned Data'!E53,CHAR(160)," ")))))</f>
        <v>Electronics</v>
      </c>
      <c r="F53" t="str">
        <f>IF('Uncleaned Data'!F53="","Unknown",PROPER(TRIM(CLEAN(SUBSTITUTE('Uncleaned Data'!F53,CHAR(160)," ")))))</f>
        <v>East</v>
      </c>
      <c r="G53">
        <f>IF('Uncleaned Data'!G53="","",IF('Uncleaned Data'!G53&lt;=0,"", 'Uncleaned Data'!G53))</f>
        <v>4</v>
      </c>
      <c r="H53">
        <f>IF('Uncleaned Data'!H53="","",'Uncleaned Data'!H53)</f>
        <v>28881.29</v>
      </c>
      <c r="I53">
        <f t="shared" si="1"/>
        <v>115525.16</v>
      </c>
    </row>
    <row r="54" spans="1:9" x14ac:dyDescent="0.35">
      <c r="A54" t="s">
        <v>102</v>
      </c>
      <c r="B54" s="2">
        <v>46103</v>
      </c>
      <c r="C54" t="str">
        <f>IF('Uncleaned Data'!C54="","Unknown",PROPER(TRIM(CLEAN(SUBSTITUTE('Uncleaned Data'!C54,CHAR(160)," ")))))</f>
        <v>Meena Joshi</v>
      </c>
      <c r="D54" t="str">
        <f>IF('Uncleaned Data'!D54="","Unknown",PROPER(TRIM(CLEAN(SUBSTITUTE('Uncleaned Data'!D54,CHAR(160)," ")))))</f>
        <v>Keyboard</v>
      </c>
      <c r="E54" t="str">
        <f>IF('Uncleaned Data'!E54="","Unknown",PROPER(TRIM(CLEAN(SUBSTITUTE('Uncleaned Data'!E54,CHAR(160)," ")))))</f>
        <v>Accessories</v>
      </c>
      <c r="F54" t="str">
        <f>IF('Uncleaned Data'!F54="","Unknown",PROPER(TRIM(CLEAN(SUBSTITUTE('Uncleaned Data'!F54,CHAR(160)," ")))))</f>
        <v>East</v>
      </c>
      <c r="G54">
        <f>IF('Uncleaned Data'!G54="","",IF('Uncleaned Data'!G54&lt;=0,"", 'Uncleaned Data'!G54))</f>
        <v>2</v>
      </c>
      <c r="H54">
        <f>IF('Uncleaned Data'!H54="","",'Uncleaned Data'!H54)</f>
        <v>1861.1</v>
      </c>
      <c r="I54">
        <f t="shared" si="1"/>
        <v>3722.2</v>
      </c>
    </row>
    <row r="55" spans="1:9" x14ac:dyDescent="0.35">
      <c r="A55" t="s">
        <v>103</v>
      </c>
      <c r="B55" s="2">
        <v>46099</v>
      </c>
      <c r="C55" t="str">
        <f>IF('Uncleaned Data'!C55="","Unknown",PROPER(TRIM(CLEAN(SUBSTITUTE('Uncleaned Data'!C55,CHAR(160)," ")))))</f>
        <v>Manoj Reddy</v>
      </c>
      <c r="D55" t="str">
        <f>IF('Uncleaned Data'!D55="","Unknown",PROPER(TRIM(CLEAN(SUBSTITUTE('Uncleaned Data'!D55,CHAR(160)," ")))))</f>
        <v>Office Chair</v>
      </c>
      <c r="E55" t="str">
        <f>IF('Uncleaned Data'!E55="","Unknown",PROPER(TRIM(CLEAN(SUBSTITUTE('Uncleaned Data'!E55,CHAR(160)," ")))))</f>
        <v>Furniture</v>
      </c>
      <c r="F55" t="str">
        <f>IF('Uncleaned Data'!F55="","Unknown",PROPER(TRIM(CLEAN(SUBSTITUTE('Uncleaned Data'!F55,CHAR(160)," ")))))</f>
        <v>East</v>
      </c>
      <c r="G55">
        <f>IF('Uncleaned Data'!G55="","",IF('Uncleaned Data'!G55&lt;=0,"", 'Uncleaned Data'!G55))</f>
        <v>2</v>
      </c>
      <c r="H55">
        <f>IF('Uncleaned Data'!H55="","",'Uncleaned Data'!H55)</f>
        <v>8791.8700000000008</v>
      </c>
      <c r="I55">
        <f t="shared" si="1"/>
        <v>17583.740000000002</v>
      </c>
    </row>
    <row r="56" spans="1:9" x14ac:dyDescent="0.35">
      <c r="A56" t="s">
        <v>104</v>
      </c>
      <c r="B56" s="2">
        <v>46167</v>
      </c>
      <c r="C56" t="str">
        <f>IF('Uncleaned Data'!C56="","Unknown",PROPER(TRIM(CLEAN(SUBSTITUTE('Uncleaned Data'!C56,CHAR(160)," ")))))</f>
        <v>Sneha Patel</v>
      </c>
      <c r="D56" t="str">
        <f>IF('Uncleaned Data'!D56="","Unknown",PROPER(TRIM(CLEAN(SUBSTITUTE('Uncleaned Data'!D56,CHAR(160)," ")))))</f>
        <v>Smartphone</v>
      </c>
      <c r="E56" t="str">
        <f>IF('Uncleaned Data'!E56="","Unknown",PROPER(TRIM(CLEAN(SUBSTITUTE('Uncleaned Data'!E56,CHAR(160)," ")))))</f>
        <v>Electronics</v>
      </c>
      <c r="F56" t="str">
        <f>IF('Uncleaned Data'!F56="","Unknown",PROPER(TRIM(CLEAN(SUBSTITUTE('Uncleaned Data'!F56,CHAR(160)," ")))))</f>
        <v>North</v>
      </c>
      <c r="G56">
        <f>IF('Uncleaned Data'!G56="","",IF('Uncleaned Data'!G56&lt;=0,"", 'Uncleaned Data'!G56))</f>
        <v>1</v>
      </c>
      <c r="H56">
        <f>IF('Uncleaned Data'!H56="","",'Uncleaned Data'!H56)</f>
        <v>27766.400000000001</v>
      </c>
      <c r="I56">
        <f t="shared" si="1"/>
        <v>27766.400000000001</v>
      </c>
    </row>
    <row r="57" spans="1:9" x14ac:dyDescent="0.35">
      <c r="A57" t="s">
        <v>105</v>
      </c>
      <c r="B57" s="2">
        <v>46056</v>
      </c>
      <c r="C57" t="str">
        <f>IF('Uncleaned Data'!C57="","Unknown",PROPER(TRIM(CLEAN(SUBSTITUTE('Uncleaned Data'!C57,CHAR(160)," ")))))</f>
        <v>Pooja Iyer</v>
      </c>
      <c r="D57" t="str">
        <f>IF('Uncleaned Data'!D57="","Unknown",PROPER(TRIM(CLEAN(SUBSTITUTE('Uncleaned Data'!D57,CHAR(160)," ")))))</f>
        <v>Backpack</v>
      </c>
      <c r="E57" t="str">
        <f>IF('Uncleaned Data'!E57="","Unknown",PROPER(TRIM(CLEAN(SUBSTITUTE('Uncleaned Data'!E57,CHAR(160)," ")))))</f>
        <v>Accessories</v>
      </c>
      <c r="F57" t="str">
        <f>IF('Uncleaned Data'!F57="","Unknown",PROPER(TRIM(CLEAN(SUBSTITUTE('Uncleaned Data'!F57,CHAR(160)," ")))))</f>
        <v>North</v>
      </c>
      <c r="G57">
        <f>IF('Uncleaned Data'!G57="","",IF('Uncleaned Data'!G57&lt;=0,"", 'Uncleaned Data'!G57))</f>
        <v>2</v>
      </c>
      <c r="H57">
        <f>IF('Uncleaned Data'!H57="","",'Uncleaned Data'!H57)</f>
        <v>2202.59</v>
      </c>
      <c r="I57">
        <f t="shared" si="1"/>
        <v>4405.18</v>
      </c>
    </row>
    <row r="58" spans="1:9" x14ac:dyDescent="0.35">
      <c r="A58" t="s">
        <v>107</v>
      </c>
      <c r="B58" s="2">
        <v>46135</v>
      </c>
      <c r="C58" t="str">
        <f>IF('Uncleaned Data'!C58="","Unknown",PROPER(TRIM(CLEAN(SUBSTITUTE('Uncleaned Data'!C58,CHAR(160)," ")))))</f>
        <v>Swathi Das</v>
      </c>
      <c r="D58" t="str">
        <f>IF('Uncleaned Data'!D58="","Unknown",PROPER(TRIM(CLEAN(SUBSTITUTE('Uncleaned Data'!D58,CHAR(160)," ")))))</f>
        <v>Monitor</v>
      </c>
      <c r="E58" t="str">
        <f>IF('Uncleaned Data'!E58="","Unknown",PROPER(TRIM(CLEAN(SUBSTITUTE('Uncleaned Data'!E58,CHAR(160)," ")))))</f>
        <v>Electronics</v>
      </c>
      <c r="F58" t="str">
        <f>IF('Uncleaned Data'!F58="","Unknown",PROPER(TRIM(CLEAN(SUBSTITUTE('Uncleaned Data'!F58,CHAR(160)," ")))))</f>
        <v>East</v>
      </c>
      <c r="G58">
        <f>IF('Uncleaned Data'!G58="","",IF('Uncleaned Data'!G58&lt;=0,"", 'Uncleaned Data'!G58))</f>
        <v>3</v>
      </c>
      <c r="H58">
        <f>IF('Uncleaned Data'!H58="","",'Uncleaned Data'!H58)</f>
        <v>14354.96</v>
      </c>
      <c r="I58">
        <f t="shared" si="1"/>
        <v>43064.88</v>
      </c>
    </row>
    <row r="59" spans="1:9" x14ac:dyDescent="0.35">
      <c r="A59" t="s">
        <v>108</v>
      </c>
      <c r="B59" s="2">
        <v>46232</v>
      </c>
      <c r="C59" t="str">
        <f>IF('Uncleaned Data'!C59="","Unknown",PROPER(TRIM(CLEAN(SUBSTITUTE('Uncleaned Data'!C59,CHAR(160)," ")))))</f>
        <v>Swathi Das</v>
      </c>
      <c r="D59" t="str">
        <f>IF('Uncleaned Data'!D59="","Unknown",PROPER(TRIM(CLEAN(SUBSTITUTE('Uncleaned Data'!D59,CHAR(160)," ")))))</f>
        <v>Printer</v>
      </c>
      <c r="E59" t="str">
        <f>IF('Uncleaned Data'!E59="","Unknown",PROPER(TRIM(CLEAN(SUBSTITUTE('Uncleaned Data'!E59,CHAR(160)," ")))))</f>
        <v>Electronics</v>
      </c>
      <c r="F59" t="str">
        <f>IF('Uncleaned Data'!F59="","Unknown",PROPER(TRIM(CLEAN(SUBSTITUTE('Uncleaned Data'!F59,CHAR(160)," ")))))</f>
        <v>East</v>
      </c>
      <c r="G59">
        <f>IF('Uncleaned Data'!G59="","",IF('Uncleaned Data'!G59&lt;=0,"", 'Uncleaned Data'!G59))</f>
        <v>5</v>
      </c>
      <c r="H59">
        <f>IF('Uncleaned Data'!H59="","",'Uncleaned Data'!H59)</f>
        <v>10818.78</v>
      </c>
      <c r="I59">
        <f t="shared" si="1"/>
        <v>54093.9</v>
      </c>
    </row>
    <row r="60" spans="1:9" x14ac:dyDescent="0.35">
      <c r="A60" t="s">
        <v>109</v>
      </c>
      <c r="B60" s="2">
        <v>46250</v>
      </c>
      <c r="C60" t="str">
        <f>IF('Uncleaned Data'!C60="","Unknown",PROPER(TRIM(CLEAN(SUBSTITUTE('Uncleaned Data'!C60,CHAR(160)," ")))))</f>
        <v>Sneha Patel</v>
      </c>
      <c r="D60" t="str">
        <f>IF('Uncleaned Data'!D60="","Unknown",PROPER(TRIM(CLEAN(SUBSTITUTE('Uncleaned Data'!D60,CHAR(160)," ")))))</f>
        <v>Smartphone</v>
      </c>
      <c r="E60" t="str">
        <f>IF('Uncleaned Data'!E60="","Unknown",PROPER(TRIM(CLEAN(SUBSTITUTE('Uncleaned Data'!E60,CHAR(160)," ")))))</f>
        <v>Unknown</v>
      </c>
      <c r="F60" t="str">
        <f>IF('Uncleaned Data'!F60="","Unknown",PROPER(TRIM(CLEAN(SUBSTITUTE('Uncleaned Data'!F60,CHAR(160)," ")))))</f>
        <v>Central</v>
      </c>
      <c r="G60">
        <f>IF('Uncleaned Data'!G60="","",IF('Uncleaned Data'!G60&lt;=0,"", 'Uncleaned Data'!G60))</f>
        <v>2</v>
      </c>
      <c r="H60">
        <f>IF('Uncleaned Data'!H60="","",'Uncleaned Data'!H60)</f>
        <v>26681.01</v>
      </c>
      <c r="I60">
        <f t="shared" si="1"/>
        <v>53362.02</v>
      </c>
    </row>
    <row r="61" spans="1:9" x14ac:dyDescent="0.35">
      <c r="A61" t="s">
        <v>110</v>
      </c>
      <c r="B61" s="2">
        <v>46076</v>
      </c>
      <c r="C61" t="str">
        <f>IF('Uncleaned Data'!C61="","Unknown",PROPER(TRIM(CLEAN(SUBSTITUTE('Uncleaned Data'!C61,CHAR(160)," ")))))</f>
        <v>Suresh Nair</v>
      </c>
      <c r="D61" t="str">
        <f>IF('Uncleaned Data'!D61="","Unknown",PROPER(TRIM(CLEAN(SUBSTITUTE('Uncleaned Data'!D61,CHAR(160)," ")))))</f>
        <v>Headphones</v>
      </c>
      <c r="E61" t="str">
        <f>IF('Uncleaned Data'!E61="","Unknown",PROPER(TRIM(CLEAN(SUBSTITUTE('Uncleaned Data'!E61,CHAR(160)," ")))))</f>
        <v>Electronics</v>
      </c>
      <c r="F61" t="str">
        <f>IF('Uncleaned Data'!F61="","Unknown",PROPER(TRIM(CLEAN(SUBSTITUTE('Uncleaned Data'!F61,CHAR(160)," ")))))</f>
        <v>South</v>
      </c>
      <c r="G61">
        <f>IF('Uncleaned Data'!G61="","",IF('Uncleaned Data'!G61&lt;=0,"", 'Uncleaned Data'!G61))</f>
        <v>3</v>
      </c>
      <c r="H61">
        <f>IF('Uncleaned Data'!H61="","",'Uncleaned Data'!H61)</f>
        <v>2390.88</v>
      </c>
      <c r="I61">
        <f t="shared" si="1"/>
        <v>7172.64</v>
      </c>
    </row>
    <row r="62" spans="1:9" x14ac:dyDescent="0.35">
      <c r="A62" t="s">
        <v>111</v>
      </c>
      <c r="B62" s="2">
        <v>46254</v>
      </c>
      <c r="C62" t="str">
        <f>IF('Uncleaned Data'!C62="","Unknown",PROPER(TRIM(CLEAN(SUBSTITUTE('Uncleaned Data'!C62,CHAR(160)," ")))))</f>
        <v>Priya Reddy</v>
      </c>
      <c r="D62" t="str">
        <f>IF('Uncleaned Data'!D62="","Unknown",PROPER(TRIM(CLEAN(SUBSTITUTE('Uncleaned Data'!D62,CHAR(160)," ")))))</f>
        <v>Keyboard</v>
      </c>
      <c r="E62" t="str">
        <f>IF('Uncleaned Data'!E62="","Unknown",PROPER(TRIM(CLEAN(SUBSTITUTE('Uncleaned Data'!E62,CHAR(160)," ")))))</f>
        <v>Accessories</v>
      </c>
      <c r="F62" t="str">
        <f>IF('Uncleaned Data'!F62="","Unknown",PROPER(TRIM(CLEAN(SUBSTITUTE('Uncleaned Data'!F62,CHAR(160)," ")))))</f>
        <v>North</v>
      </c>
      <c r="G62">
        <f>IF('Uncleaned Data'!G62="","",IF('Uncleaned Data'!G62&lt;=0,"", 'Uncleaned Data'!G62))</f>
        <v>5</v>
      </c>
      <c r="H62">
        <f>IF('Uncleaned Data'!H62="","",'Uncleaned Data'!H62)</f>
        <v>1795.87</v>
      </c>
      <c r="I62">
        <f t="shared" si="1"/>
        <v>8979.3499999999985</v>
      </c>
    </row>
    <row r="63" spans="1:9" x14ac:dyDescent="0.35">
      <c r="A63" t="s">
        <v>112</v>
      </c>
      <c r="B63" s="2">
        <v>46108</v>
      </c>
      <c r="C63" t="str">
        <f>IF('Uncleaned Data'!C63="","Unknown",PROPER(TRIM(CLEAN(SUBSTITUTE('Uncleaned Data'!C63,CHAR(160)," ")))))</f>
        <v>Vikram Singh</v>
      </c>
      <c r="D63" t="str">
        <f>IF('Uncleaned Data'!D63="","Unknown",PROPER(TRIM(CLEAN(SUBSTITUTE('Uncleaned Data'!D63,CHAR(160)," ")))))</f>
        <v>Office Chair</v>
      </c>
      <c r="E63" t="str">
        <f>IF('Uncleaned Data'!E63="","Unknown",PROPER(TRIM(CLEAN(SUBSTITUTE('Uncleaned Data'!E63,CHAR(160)," ")))))</f>
        <v>Furniture</v>
      </c>
      <c r="F63" t="str">
        <f>IF('Uncleaned Data'!F63="","Unknown",PROPER(TRIM(CLEAN(SUBSTITUTE('Uncleaned Data'!F63,CHAR(160)," ")))))</f>
        <v>East</v>
      </c>
      <c r="G63">
        <f>IF('Uncleaned Data'!G63="","",IF('Uncleaned Data'!G63&lt;=0,"", 'Uncleaned Data'!G63))</f>
        <v>3</v>
      </c>
      <c r="H63">
        <f>IF('Uncleaned Data'!H63="","",'Uncleaned Data'!H63)</f>
        <v>7724.95</v>
      </c>
      <c r="I63">
        <f t="shared" si="1"/>
        <v>23174.85</v>
      </c>
    </row>
    <row r="64" spans="1:9" x14ac:dyDescent="0.35">
      <c r="A64" t="s">
        <v>114</v>
      </c>
      <c r="B64" s="2">
        <v>46132</v>
      </c>
      <c r="C64" t="str">
        <f>IF('Uncleaned Data'!C64="","Unknown",PROPER(TRIM(CLEAN(SUBSTITUTE('Uncleaned Data'!C64,CHAR(160)," ")))))</f>
        <v>Swathi Das</v>
      </c>
      <c r="D64" t="str">
        <f>IF('Uncleaned Data'!D64="","Unknown",PROPER(TRIM(CLEAN(SUBSTITUTE('Uncleaned Data'!D64,CHAR(160)," ")))))</f>
        <v>Headphones</v>
      </c>
      <c r="E64" t="str">
        <f>IF('Uncleaned Data'!E64="","Unknown",PROPER(TRIM(CLEAN(SUBSTITUTE('Uncleaned Data'!E64,CHAR(160)," ")))))</f>
        <v>Electronics</v>
      </c>
      <c r="F64" t="str">
        <f>IF('Uncleaned Data'!F64="","Unknown",PROPER(TRIM(CLEAN(SUBSTITUTE('Uncleaned Data'!F64,CHAR(160)," ")))))</f>
        <v>North</v>
      </c>
      <c r="G64">
        <f>IF('Uncleaned Data'!G64="","",IF('Uncleaned Data'!G64&lt;=0,"", 'Uncleaned Data'!G64))</f>
        <v>4</v>
      </c>
      <c r="H64">
        <f>IF('Uncleaned Data'!H64="","",'Uncleaned Data'!H64)</f>
        <v>2525.84</v>
      </c>
      <c r="I64">
        <f t="shared" si="1"/>
        <v>10103.36</v>
      </c>
    </row>
    <row r="65" spans="1:9" x14ac:dyDescent="0.35">
      <c r="A65" t="s">
        <v>115</v>
      </c>
      <c r="B65" s="2">
        <v>46199</v>
      </c>
      <c r="C65" t="str">
        <f>IF('Uncleaned Data'!C65="","Unknown",PROPER(TRIM(CLEAN(SUBSTITUTE('Uncleaned Data'!C65,CHAR(160)," ")))))</f>
        <v>Vikram Singh</v>
      </c>
      <c r="D65" t="str">
        <f>IF('Uncleaned Data'!D65="","Unknown",PROPER(TRIM(CLEAN(SUBSTITUTE('Uncleaned Data'!D65,CHAR(160)," ")))))</f>
        <v>Smartphone</v>
      </c>
      <c r="E65" t="str">
        <f>IF('Uncleaned Data'!E65="","Unknown",PROPER(TRIM(CLEAN(SUBSTITUTE('Uncleaned Data'!E65,CHAR(160)," ")))))</f>
        <v>Electronics</v>
      </c>
      <c r="F65" t="str">
        <f>IF('Uncleaned Data'!F65="","Unknown",PROPER(TRIM(CLEAN(SUBSTITUTE('Uncleaned Data'!F65,CHAR(160)," ")))))</f>
        <v>Central</v>
      </c>
      <c r="G65" t="str">
        <f>IF('Uncleaned Data'!G65="","",IF('Uncleaned Data'!G65&lt;=0,"", 'Uncleaned Data'!G65))</f>
        <v/>
      </c>
      <c r="H65">
        <f>IF('Uncleaned Data'!H65="","",'Uncleaned Data'!H65)</f>
        <v>30492.29</v>
      </c>
      <c r="I65" t="str">
        <f t="shared" si="1"/>
        <v/>
      </c>
    </row>
    <row r="66" spans="1:9" x14ac:dyDescent="0.35">
      <c r="A66" t="s">
        <v>116</v>
      </c>
      <c r="B66" s="2">
        <v>46060</v>
      </c>
      <c r="C66" t="str">
        <f>IF('Uncleaned Data'!C66="","Unknown",PROPER(TRIM(CLEAN(SUBSTITUTE('Uncleaned Data'!C66,CHAR(160)," ")))))</f>
        <v>Divya Menon</v>
      </c>
      <c r="D66" t="str">
        <f>IF('Uncleaned Data'!D66="","Unknown",PROPER(TRIM(CLEAN(SUBSTITUTE('Uncleaned Data'!D66,CHAR(160)," ")))))</f>
        <v>Laptop</v>
      </c>
      <c r="E66" t="str">
        <f>IF('Uncleaned Data'!E66="","Unknown",PROPER(TRIM(CLEAN(SUBSTITUTE('Uncleaned Data'!E66,CHAR(160)," ")))))</f>
        <v>Electronics</v>
      </c>
      <c r="F66" t="str">
        <f>IF('Uncleaned Data'!F66="","Unknown",PROPER(TRIM(CLEAN(SUBSTITUTE('Uncleaned Data'!F66,CHAR(160)," ")))))</f>
        <v>South</v>
      </c>
      <c r="G66">
        <f>IF('Uncleaned Data'!G66="","",IF('Uncleaned Data'!G66&lt;=0,"", 'Uncleaned Data'!G66))</f>
        <v>3</v>
      </c>
      <c r="H66">
        <f>IF('Uncleaned Data'!H66="","",'Uncleaned Data'!H66)</f>
        <v>55907.61</v>
      </c>
      <c r="I66">
        <f t="shared" ref="I66:I97" si="2">IF(OR(G66="",H66=""),"",G66*H66)</f>
        <v>167722.83000000002</v>
      </c>
    </row>
    <row r="67" spans="1:9" x14ac:dyDescent="0.35">
      <c r="A67" t="s">
        <v>117</v>
      </c>
      <c r="B67" s="2">
        <v>46261</v>
      </c>
      <c r="C67" t="str">
        <f>IF('Uncleaned Data'!C67="","Unknown",PROPER(TRIM(CLEAN(SUBSTITUTE('Uncleaned Data'!C67,CHAR(160)," ")))))</f>
        <v>Priya Reddy</v>
      </c>
      <c r="D67" t="str">
        <f>IF('Uncleaned Data'!D67="","Unknown",PROPER(TRIM(CLEAN(SUBSTITUTE('Uncleaned Data'!D67,CHAR(160)," ")))))</f>
        <v>Laptop</v>
      </c>
      <c r="E67" t="str">
        <f>IF('Uncleaned Data'!E67="","Unknown",PROPER(TRIM(CLEAN(SUBSTITUTE('Uncleaned Data'!E67,CHAR(160)," ")))))</f>
        <v>Electronics</v>
      </c>
      <c r="F67" t="str">
        <f>IF('Uncleaned Data'!F67="","Unknown",PROPER(TRIM(CLEAN(SUBSTITUTE('Uncleaned Data'!F67,CHAR(160)," ")))))</f>
        <v>East</v>
      </c>
      <c r="G67">
        <f>IF('Uncleaned Data'!G67="","",IF('Uncleaned Data'!G67&lt;=0,"", 'Uncleaned Data'!G67))</f>
        <v>3</v>
      </c>
      <c r="H67">
        <f>IF('Uncleaned Data'!H67="","",'Uncleaned Data'!H67)</f>
        <v>53511.17</v>
      </c>
      <c r="I67">
        <f t="shared" si="2"/>
        <v>160533.51</v>
      </c>
    </row>
    <row r="68" spans="1:9" x14ac:dyDescent="0.35">
      <c r="A68" t="s">
        <v>118</v>
      </c>
      <c r="B68" s="2">
        <v>46113</v>
      </c>
      <c r="C68" t="str">
        <f>IF('Uncleaned Data'!C68="","Unknown",PROPER(TRIM(CLEAN(SUBSTITUTE('Uncleaned Data'!C68,CHAR(160)," ")))))</f>
        <v>Unknown</v>
      </c>
      <c r="D68" t="str">
        <f>IF('Uncleaned Data'!D68="","Unknown",PROPER(TRIM(CLEAN(SUBSTITUTE('Uncleaned Data'!D68,CHAR(160)," ")))))</f>
        <v>Monitor</v>
      </c>
      <c r="E68" t="str">
        <f>IF('Uncleaned Data'!E68="","Unknown",PROPER(TRIM(CLEAN(SUBSTITUTE('Uncleaned Data'!E68,CHAR(160)," ")))))</f>
        <v>Electronics</v>
      </c>
      <c r="F68" t="str">
        <f>IF('Uncleaned Data'!F68="","Unknown",PROPER(TRIM(CLEAN(SUBSTITUTE('Uncleaned Data'!F68,CHAR(160)," ")))))</f>
        <v>West</v>
      </c>
      <c r="G68">
        <f>IF('Uncleaned Data'!G68="","",IF('Uncleaned Data'!G68&lt;=0,"", 'Uncleaned Data'!G68))</f>
        <v>2</v>
      </c>
      <c r="H68">
        <f>IF('Uncleaned Data'!H68="","",'Uncleaned Data'!H68)</f>
        <v>15500.8</v>
      </c>
      <c r="I68">
        <f t="shared" si="2"/>
        <v>31001.599999999999</v>
      </c>
    </row>
    <row r="69" spans="1:9" x14ac:dyDescent="0.35">
      <c r="A69" t="s">
        <v>119</v>
      </c>
      <c r="B69" s="2">
        <v>46083</v>
      </c>
      <c r="C69" t="str">
        <f>IF('Uncleaned Data'!C69="","Unknown",PROPER(TRIM(CLEAN(SUBSTITUTE('Uncleaned Data'!C69,CHAR(160)," ")))))</f>
        <v>Ananya Rao</v>
      </c>
      <c r="D69" t="str">
        <f>IF('Uncleaned Data'!D69="","Unknown",PROPER(TRIM(CLEAN(SUBSTITUTE('Uncleaned Data'!D69,CHAR(160)," ")))))</f>
        <v>Printer</v>
      </c>
      <c r="E69" t="str">
        <f>IF('Uncleaned Data'!E69="","Unknown",PROPER(TRIM(CLEAN(SUBSTITUTE('Uncleaned Data'!E69,CHAR(160)," ")))))</f>
        <v>Electronics</v>
      </c>
      <c r="F69" t="str">
        <f>IF('Uncleaned Data'!F69="","Unknown",PROPER(TRIM(CLEAN(SUBSTITUTE('Uncleaned Data'!F69,CHAR(160)," ")))))</f>
        <v>South</v>
      </c>
      <c r="G69">
        <f>IF('Uncleaned Data'!G69="","",IF('Uncleaned Data'!G69&lt;=0,"", 'Uncleaned Data'!G69))</f>
        <v>2</v>
      </c>
      <c r="H69">
        <f>IF('Uncleaned Data'!H69="","",'Uncleaned Data'!H69)</f>
        <v>13021.83</v>
      </c>
      <c r="I69">
        <f t="shared" si="2"/>
        <v>26043.66</v>
      </c>
    </row>
    <row r="70" spans="1:9" x14ac:dyDescent="0.35">
      <c r="A70" t="s">
        <v>120</v>
      </c>
      <c r="B70" s="2">
        <v>46259</v>
      </c>
      <c r="C70" t="str">
        <f>IF('Uncleaned Data'!C70="","Unknown",PROPER(TRIM(CLEAN(SUBSTITUTE('Uncleaned Data'!C70,CHAR(160)," ")))))</f>
        <v>Suresh Nair</v>
      </c>
      <c r="D70" t="str">
        <f>IF('Uncleaned Data'!D70="","Unknown",PROPER(TRIM(CLEAN(SUBSTITUTE('Uncleaned Data'!D70,CHAR(160)," ")))))</f>
        <v>Office Chair</v>
      </c>
      <c r="E70" t="str">
        <f>IF('Uncleaned Data'!E70="","Unknown",PROPER(TRIM(CLEAN(SUBSTITUTE('Uncleaned Data'!E70,CHAR(160)," ")))))</f>
        <v>Furniture</v>
      </c>
      <c r="F70" t="str">
        <f>IF('Uncleaned Data'!F70="","Unknown",PROPER(TRIM(CLEAN(SUBSTITUTE('Uncleaned Data'!F70,CHAR(160)," ")))))</f>
        <v>West</v>
      </c>
      <c r="G70">
        <f>IF('Uncleaned Data'!G70="","",IF('Uncleaned Data'!G70&lt;=0,"", 'Uncleaned Data'!G70))</f>
        <v>1</v>
      </c>
      <c r="H70">
        <f>IF('Uncleaned Data'!H70="","",'Uncleaned Data'!H70)</f>
        <v>7954.91</v>
      </c>
      <c r="I70">
        <f t="shared" si="2"/>
        <v>7954.91</v>
      </c>
    </row>
    <row r="71" spans="1:9" x14ac:dyDescent="0.35">
      <c r="A71" t="s">
        <v>121</v>
      </c>
      <c r="B71" s="2">
        <v>46202</v>
      </c>
      <c r="C71" t="str">
        <f>IF('Uncleaned Data'!C71="","Unknown",PROPER(TRIM(CLEAN(SUBSTITUTE('Uncleaned Data'!C71,CHAR(160)," ")))))</f>
        <v>Sneha Patel</v>
      </c>
      <c r="D71" t="str">
        <f>IF('Uncleaned Data'!D71="","Unknown",PROPER(TRIM(CLEAN(SUBSTITUTE('Uncleaned Data'!D71,CHAR(160)," ")))))</f>
        <v>Monitor</v>
      </c>
      <c r="E71" t="str">
        <f>IF('Uncleaned Data'!E71="","Unknown",PROPER(TRIM(CLEAN(SUBSTITUTE('Uncleaned Data'!E71,CHAR(160)," ")))))</f>
        <v>Electronics</v>
      </c>
      <c r="F71" t="str">
        <f>IF('Uncleaned Data'!F71="","Unknown",PROPER(TRIM(CLEAN(SUBSTITUTE('Uncleaned Data'!F71,CHAR(160)," ")))))</f>
        <v>West</v>
      </c>
      <c r="G71">
        <f>IF('Uncleaned Data'!G71="","",IF('Uncleaned Data'!G71&lt;=0,"", 'Uncleaned Data'!G71))</f>
        <v>3</v>
      </c>
      <c r="H71">
        <f>IF('Uncleaned Data'!H71="","",'Uncleaned Data'!H71)</f>
        <v>13977.59</v>
      </c>
      <c r="I71">
        <f t="shared" si="2"/>
        <v>41932.770000000004</v>
      </c>
    </row>
    <row r="72" spans="1:9" x14ac:dyDescent="0.35">
      <c r="A72" t="s">
        <v>122</v>
      </c>
      <c r="B72" s="2">
        <v>46232</v>
      </c>
      <c r="C72" t="str">
        <f>IF('Uncleaned Data'!C72="","Unknown",PROPER(TRIM(CLEAN(SUBSTITUTE('Uncleaned Data'!C72,CHAR(160)," ")))))</f>
        <v>Manoj Reddy</v>
      </c>
      <c r="D72" t="str">
        <f>IF('Uncleaned Data'!D72="","Unknown",PROPER(TRIM(CLEAN(SUBSTITUTE('Uncleaned Data'!D72,CHAR(160)," ")))))</f>
        <v>Laptop</v>
      </c>
      <c r="E72" t="str">
        <f>IF('Uncleaned Data'!E72="","Unknown",PROPER(TRIM(CLEAN(SUBSTITUTE('Uncleaned Data'!E72,CHAR(160)," ")))))</f>
        <v>Electronics</v>
      </c>
      <c r="F72" t="str">
        <f>IF('Uncleaned Data'!F72="","Unknown",PROPER(TRIM(CLEAN(SUBSTITUTE('Uncleaned Data'!F72,CHAR(160)," ")))))</f>
        <v>East</v>
      </c>
      <c r="G72">
        <f>IF('Uncleaned Data'!G72="","",IF('Uncleaned Data'!G72&lt;=0,"", 'Uncleaned Data'!G72))</f>
        <v>4</v>
      </c>
      <c r="H72">
        <f>IF('Uncleaned Data'!H72="","",'Uncleaned Data'!H72)</f>
        <v>51946.77</v>
      </c>
      <c r="I72">
        <f t="shared" si="2"/>
        <v>207787.08</v>
      </c>
    </row>
    <row r="73" spans="1:9" x14ac:dyDescent="0.35">
      <c r="A73" t="s">
        <v>123</v>
      </c>
      <c r="B73" s="2">
        <v>46191</v>
      </c>
      <c r="C73" t="str">
        <f>IF('Uncleaned Data'!C73="","Unknown",PROPER(TRIM(CLEAN(SUBSTITUTE('Uncleaned Data'!C73,CHAR(160)," ")))))</f>
        <v>Kiran Das</v>
      </c>
      <c r="D73" t="str">
        <f>IF('Uncleaned Data'!D73="","Unknown",PROPER(TRIM(CLEAN(SUBSTITUTE('Uncleaned Data'!D73,CHAR(160)," ")))))</f>
        <v>Keyboard</v>
      </c>
      <c r="E73" t="str">
        <f>IF('Uncleaned Data'!E73="","Unknown",PROPER(TRIM(CLEAN(SUBSTITUTE('Uncleaned Data'!E73,CHAR(160)," ")))))</f>
        <v>Accessories</v>
      </c>
      <c r="F73" t="str">
        <f>IF('Uncleaned Data'!F73="","Unknown",PROPER(TRIM(CLEAN(SUBSTITUTE('Uncleaned Data'!F73,CHAR(160)," ")))))</f>
        <v>West</v>
      </c>
      <c r="G73">
        <f>IF('Uncleaned Data'!G73="","",IF('Uncleaned Data'!G73&lt;=0,"", 'Uncleaned Data'!G73))</f>
        <v>2</v>
      </c>
      <c r="H73">
        <f>IF('Uncleaned Data'!H73="","",'Uncleaned Data'!H73)</f>
        <v>1700.25</v>
      </c>
      <c r="I73">
        <f t="shared" si="2"/>
        <v>3400.5</v>
      </c>
    </row>
    <row r="74" spans="1:9" x14ac:dyDescent="0.35">
      <c r="A74" t="s">
        <v>124</v>
      </c>
      <c r="B74" s="2">
        <v>46220</v>
      </c>
      <c r="C74" t="str">
        <f>IF('Uncleaned Data'!C74="","Unknown",PROPER(TRIM(CLEAN(SUBSTITUTE('Uncleaned Data'!C74,CHAR(160)," ")))))</f>
        <v>Rohit Verma</v>
      </c>
      <c r="D74" t="str">
        <f>IF('Uncleaned Data'!D74="","Unknown",PROPER(TRIM(CLEAN(SUBSTITUTE('Uncleaned Data'!D74,CHAR(160)," ")))))</f>
        <v>Mouse</v>
      </c>
      <c r="E74" t="str">
        <f>IF('Uncleaned Data'!E74="","Unknown",PROPER(TRIM(CLEAN(SUBSTITUTE('Uncleaned Data'!E74,CHAR(160)," ")))))</f>
        <v>Accessories</v>
      </c>
      <c r="F74" t="str">
        <f>IF('Uncleaned Data'!F74="","Unknown",PROPER(TRIM(CLEAN(SUBSTITUTE('Uncleaned Data'!F74,CHAR(160)," ")))))</f>
        <v>East</v>
      </c>
      <c r="G74">
        <f>IF('Uncleaned Data'!G74="","",IF('Uncleaned Data'!G74&lt;=0,"", 'Uncleaned Data'!G74))</f>
        <v>3</v>
      </c>
      <c r="H74">
        <f>IF('Uncleaned Data'!H74="","",'Uncleaned Data'!H74)</f>
        <v>965.58</v>
      </c>
      <c r="I74">
        <f t="shared" si="2"/>
        <v>2896.7400000000002</v>
      </c>
    </row>
    <row r="75" spans="1:9" x14ac:dyDescent="0.35">
      <c r="A75" t="s">
        <v>125</v>
      </c>
      <c r="B75" s="2">
        <v>46238</v>
      </c>
      <c r="C75" t="str">
        <f>IF('Uncleaned Data'!C75="","Unknown",PROPER(TRIM(CLEAN(SUBSTITUTE('Uncleaned Data'!C75,CHAR(160)," ")))))</f>
        <v>Swathi Das</v>
      </c>
      <c r="D75" t="str">
        <f>IF('Uncleaned Data'!D75="","Unknown",PROPER(TRIM(CLEAN(SUBSTITUTE('Uncleaned Data'!D75,CHAR(160)," ")))))</f>
        <v>Backpack</v>
      </c>
      <c r="E75" t="str">
        <f>IF('Uncleaned Data'!E75="","Unknown",PROPER(TRIM(CLEAN(SUBSTITUTE('Uncleaned Data'!E75,CHAR(160)," ")))))</f>
        <v>Accessories</v>
      </c>
      <c r="F75" t="str">
        <f>IF('Uncleaned Data'!F75="","Unknown",PROPER(TRIM(CLEAN(SUBSTITUTE('Uncleaned Data'!F75,CHAR(160)," ")))))</f>
        <v>East</v>
      </c>
      <c r="G75">
        <f>IF('Uncleaned Data'!G75="","",IF('Uncleaned Data'!G75&lt;=0,"", 'Uncleaned Data'!G75))</f>
        <v>4</v>
      </c>
      <c r="H75">
        <f>IF('Uncleaned Data'!H75="","",'Uncleaned Data'!H75)</f>
        <v>2278.9899999999998</v>
      </c>
      <c r="I75">
        <f t="shared" si="2"/>
        <v>9115.9599999999991</v>
      </c>
    </row>
    <row r="76" spans="1:9" x14ac:dyDescent="0.35">
      <c r="A76" t="s">
        <v>127</v>
      </c>
      <c r="B76" s="2">
        <v>46089</v>
      </c>
      <c r="C76" t="str">
        <f>IF('Uncleaned Data'!C76="","Unknown",PROPER(TRIM(CLEAN(SUBSTITUTE('Uncleaned Data'!C76,CHAR(160)," ")))))</f>
        <v>Ananya Rao</v>
      </c>
      <c r="D76" t="str">
        <f>IF('Uncleaned Data'!D76="","Unknown",PROPER(TRIM(CLEAN(SUBSTITUTE('Uncleaned Data'!D76,CHAR(160)," ")))))</f>
        <v>Laptop</v>
      </c>
      <c r="E76" t="str">
        <f>IF('Uncleaned Data'!E76="","Unknown",PROPER(TRIM(CLEAN(SUBSTITUTE('Uncleaned Data'!E76,CHAR(160)," ")))))</f>
        <v>Electronics</v>
      </c>
      <c r="F76" t="str">
        <f>IF('Uncleaned Data'!F76="","Unknown",PROPER(TRIM(CLEAN(SUBSTITUTE('Uncleaned Data'!F76,CHAR(160)," ")))))</f>
        <v>Central</v>
      </c>
      <c r="G76">
        <f>IF('Uncleaned Data'!G76="","",IF('Uncleaned Data'!G76&lt;=0,"", 'Uncleaned Data'!G76))</f>
        <v>1</v>
      </c>
      <c r="H76">
        <f>IF('Uncleaned Data'!H76="","",'Uncleaned Data'!H76)</f>
        <v>59147.42</v>
      </c>
      <c r="I76">
        <f t="shared" si="2"/>
        <v>59147.42</v>
      </c>
    </row>
    <row r="77" spans="1:9" x14ac:dyDescent="0.35">
      <c r="A77" t="s">
        <v>128</v>
      </c>
      <c r="B77" s="2">
        <v>46134</v>
      </c>
      <c r="C77" t="str">
        <f>IF('Uncleaned Data'!C77="","Unknown",PROPER(TRIM(CLEAN(SUBSTITUTE('Uncleaned Data'!C77,CHAR(160)," ")))))</f>
        <v>Pooja Iyer</v>
      </c>
      <c r="D77" t="str">
        <f>IF('Uncleaned Data'!D77="","Unknown",PROPER(TRIM(CLEAN(SUBSTITUTE('Uncleaned Data'!D77,CHAR(160)," ")))))</f>
        <v>Keyboard</v>
      </c>
      <c r="E77" t="str">
        <f>IF('Uncleaned Data'!E77="","Unknown",PROPER(TRIM(CLEAN(SUBSTITUTE('Uncleaned Data'!E77,CHAR(160)," ")))))</f>
        <v>Accessories</v>
      </c>
      <c r="F77" t="str">
        <f>IF('Uncleaned Data'!F77="","Unknown",PROPER(TRIM(CLEAN(SUBSTITUTE('Uncleaned Data'!F77,CHAR(160)," ")))))</f>
        <v>East</v>
      </c>
      <c r="G77">
        <f>IF('Uncleaned Data'!G77="","",IF('Uncleaned Data'!G77&lt;=0,"", 'Uncleaned Data'!G77))</f>
        <v>1</v>
      </c>
      <c r="H77">
        <f>IF('Uncleaned Data'!H77="","",'Uncleaned Data'!H77)</f>
        <v>1659.02</v>
      </c>
      <c r="I77">
        <f t="shared" si="2"/>
        <v>1659.02</v>
      </c>
    </row>
    <row r="78" spans="1:9" x14ac:dyDescent="0.35">
      <c r="A78" t="s">
        <v>129</v>
      </c>
      <c r="B78" s="2">
        <v>46052</v>
      </c>
      <c r="C78" t="str">
        <f>IF('Uncleaned Data'!C78="","Unknown",PROPER(TRIM(CLEAN(SUBSTITUTE('Uncleaned Data'!C78,CHAR(160)," ")))))</f>
        <v>Amit Shah</v>
      </c>
      <c r="D78" t="str">
        <f>IF('Uncleaned Data'!D78="","Unknown",PROPER(TRIM(CLEAN(SUBSTITUTE('Uncleaned Data'!D78,CHAR(160)," ")))))</f>
        <v>Office Chair</v>
      </c>
      <c r="E78" t="str">
        <f>IF('Uncleaned Data'!E78="","Unknown",PROPER(TRIM(CLEAN(SUBSTITUTE('Uncleaned Data'!E78,CHAR(160)," ")))))</f>
        <v>Furniture</v>
      </c>
      <c r="F78" t="str">
        <f>IF('Uncleaned Data'!F78="","Unknown",PROPER(TRIM(CLEAN(SUBSTITUTE('Uncleaned Data'!F78,CHAR(160)," ")))))</f>
        <v>Central</v>
      </c>
      <c r="G78">
        <f>IF('Uncleaned Data'!G78="","",IF('Uncleaned Data'!G78&lt;=0,"", 'Uncleaned Data'!G78))</f>
        <v>5</v>
      </c>
      <c r="H78">
        <f>IF('Uncleaned Data'!H78="","",'Uncleaned Data'!H78)</f>
        <v>9323.2000000000007</v>
      </c>
      <c r="I78">
        <f t="shared" si="2"/>
        <v>46616</v>
      </c>
    </row>
    <row r="79" spans="1:9" x14ac:dyDescent="0.35">
      <c r="A79" t="s">
        <v>132</v>
      </c>
      <c r="B79" s="2">
        <v>46134</v>
      </c>
      <c r="C79" t="str">
        <f>IF('Uncleaned Data'!C79="","Unknown",PROPER(TRIM(CLEAN(SUBSTITUTE('Uncleaned Data'!C79,CHAR(160)," ")))))</f>
        <v>Rahul Sharma</v>
      </c>
      <c r="D79" t="str">
        <f>IF('Uncleaned Data'!D79="","Unknown",PROPER(TRIM(CLEAN(SUBSTITUTE('Uncleaned Data'!D79,CHAR(160)," ")))))</f>
        <v>Monitor</v>
      </c>
      <c r="E79" t="str">
        <f>IF('Uncleaned Data'!E79="","Unknown",PROPER(TRIM(CLEAN(SUBSTITUTE('Uncleaned Data'!E79,CHAR(160)," ")))))</f>
        <v>Electronics</v>
      </c>
      <c r="F79" t="str">
        <f>IF('Uncleaned Data'!F79="","Unknown",PROPER(TRIM(CLEAN(SUBSTITUTE('Uncleaned Data'!F79,CHAR(160)," ")))))</f>
        <v>Central</v>
      </c>
      <c r="G79">
        <f>IF('Uncleaned Data'!G79="","",IF('Uncleaned Data'!G79&lt;=0,"", 'Uncleaned Data'!G79))</f>
        <v>3</v>
      </c>
      <c r="H79">
        <f>IF('Uncleaned Data'!H79="","",'Uncleaned Data'!H79)</f>
        <v>13633.16</v>
      </c>
      <c r="I79">
        <f t="shared" si="2"/>
        <v>40899.479999999996</v>
      </c>
    </row>
    <row r="80" spans="1:9" x14ac:dyDescent="0.35">
      <c r="A80" t="s">
        <v>133</v>
      </c>
      <c r="B80" s="2">
        <v>46040</v>
      </c>
      <c r="C80" t="str">
        <f>IF('Uncleaned Data'!C80="","Unknown",PROPER(TRIM(CLEAN(SUBSTITUTE('Uncleaned Data'!C80,CHAR(160)," ")))))</f>
        <v>Suresh Nair</v>
      </c>
      <c r="D80" t="str">
        <f>IF('Uncleaned Data'!D80="","Unknown",PROPER(TRIM(CLEAN(SUBSTITUTE('Uncleaned Data'!D80,CHAR(160)," ")))))</f>
        <v>Backpack</v>
      </c>
      <c r="E80" t="str">
        <f>IF('Uncleaned Data'!E80="","Unknown",PROPER(TRIM(CLEAN(SUBSTITUTE('Uncleaned Data'!E80,CHAR(160)," ")))))</f>
        <v>Accessories</v>
      </c>
      <c r="F80" t="str">
        <f>IF('Uncleaned Data'!F80="","Unknown",PROPER(TRIM(CLEAN(SUBSTITUTE('Uncleaned Data'!F80,CHAR(160)," ")))))</f>
        <v>Central</v>
      </c>
      <c r="G80">
        <f>IF('Uncleaned Data'!G80="","",IF('Uncleaned Data'!G80&lt;=0,"", 'Uncleaned Data'!G80))</f>
        <v>2</v>
      </c>
      <c r="H80">
        <f>IF('Uncleaned Data'!H80="","",'Uncleaned Data'!H80)</f>
        <v>2140.2600000000002</v>
      </c>
      <c r="I80">
        <f t="shared" si="2"/>
        <v>4280.5200000000004</v>
      </c>
    </row>
    <row r="81" spans="1:9" x14ac:dyDescent="0.35">
      <c r="A81" t="s">
        <v>134</v>
      </c>
      <c r="B81" s="2">
        <v>46099</v>
      </c>
      <c r="C81" t="str">
        <f>IF('Uncleaned Data'!C81="","Unknown",PROPER(TRIM(CLEAN(SUBSTITUTE('Uncleaned Data'!C81,CHAR(160)," ")))))</f>
        <v>Ravi Kumar</v>
      </c>
      <c r="D81" t="str">
        <f>IF('Uncleaned Data'!D81="","Unknown",PROPER(TRIM(CLEAN(SUBSTITUTE('Uncleaned Data'!D81,CHAR(160)," ")))))</f>
        <v>Mouse</v>
      </c>
      <c r="E81" t="str">
        <f>IF('Uncleaned Data'!E81="","Unknown",PROPER(TRIM(CLEAN(SUBSTITUTE('Uncleaned Data'!E81,CHAR(160)," ")))))</f>
        <v>Accessories</v>
      </c>
      <c r="F81" t="str">
        <f>IF('Uncleaned Data'!F81="","Unknown",PROPER(TRIM(CLEAN(SUBSTITUTE('Uncleaned Data'!F81,CHAR(160)," ")))))</f>
        <v>East</v>
      </c>
      <c r="G81">
        <f>IF('Uncleaned Data'!G81="","",IF('Uncleaned Data'!G81&lt;=0,"", 'Uncleaned Data'!G81))</f>
        <v>1</v>
      </c>
      <c r="H81">
        <f>IF('Uncleaned Data'!H81="","",'Uncleaned Data'!H81)</f>
        <v>939.56</v>
      </c>
      <c r="I81">
        <f t="shared" si="2"/>
        <v>939.56</v>
      </c>
    </row>
    <row r="82" spans="1:9" x14ac:dyDescent="0.35">
      <c r="A82" t="s">
        <v>135</v>
      </c>
      <c r="B82" s="2">
        <v>46098</v>
      </c>
      <c r="C82" t="str">
        <f>IF('Uncleaned Data'!C82="","Unknown",PROPER(TRIM(CLEAN(SUBSTITUTE('Uncleaned Data'!C82,CHAR(160)," ")))))</f>
        <v>Swathi Das</v>
      </c>
      <c r="D82" t="str">
        <f>IF('Uncleaned Data'!D82="","Unknown",PROPER(TRIM(CLEAN(SUBSTITUTE('Uncleaned Data'!D82,CHAR(160)," ")))))</f>
        <v>Office Chair</v>
      </c>
      <c r="E82" t="str">
        <f>IF('Uncleaned Data'!E82="","Unknown",PROPER(TRIM(CLEAN(SUBSTITUTE('Uncleaned Data'!E82,CHAR(160)," ")))))</f>
        <v>Furniture</v>
      </c>
      <c r="F82" t="str">
        <f>IF('Uncleaned Data'!F82="","Unknown",PROPER(TRIM(CLEAN(SUBSTITUTE('Uncleaned Data'!F82,CHAR(160)," ")))))</f>
        <v>South</v>
      </c>
      <c r="G82">
        <f>IF('Uncleaned Data'!G82="","",IF('Uncleaned Data'!G82&lt;=0,"", 'Uncleaned Data'!G82))</f>
        <v>3</v>
      </c>
      <c r="H82">
        <f>IF('Uncleaned Data'!H82="","",'Uncleaned Data'!H82)</f>
        <v>8334.08</v>
      </c>
      <c r="I82">
        <f t="shared" si="2"/>
        <v>25002.239999999998</v>
      </c>
    </row>
    <row r="83" spans="1:9" x14ac:dyDescent="0.35">
      <c r="A83" t="s">
        <v>136</v>
      </c>
      <c r="B83" s="2">
        <v>46120</v>
      </c>
      <c r="C83" t="str">
        <f>IF('Uncleaned Data'!C83="","Unknown",PROPER(TRIM(CLEAN(SUBSTITUTE('Uncleaned Data'!C83,CHAR(160)," ")))))</f>
        <v>Ananya Rao</v>
      </c>
      <c r="D83" t="str">
        <f>IF('Uncleaned Data'!D83="","Unknown",PROPER(TRIM(CLEAN(SUBSTITUTE('Uncleaned Data'!D83,CHAR(160)," ")))))</f>
        <v>Monitor</v>
      </c>
      <c r="E83" t="str">
        <f>IF('Uncleaned Data'!E83="","Unknown",PROPER(TRIM(CLEAN(SUBSTITUTE('Uncleaned Data'!E83,CHAR(160)," ")))))</f>
        <v>Electronics</v>
      </c>
      <c r="F83" t="str">
        <f>IF('Uncleaned Data'!F83="","Unknown",PROPER(TRIM(CLEAN(SUBSTITUTE('Uncleaned Data'!F83,CHAR(160)," ")))))</f>
        <v>Central</v>
      </c>
      <c r="G83">
        <f>IF('Uncleaned Data'!G83="","",IF('Uncleaned Data'!G83&lt;=0,"", 'Uncleaned Data'!G83))</f>
        <v>4</v>
      </c>
      <c r="H83">
        <f>IF('Uncleaned Data'!H83="","",'Uncleaned Data'!H83)</f>
        <v>15494.79</v>
      </c>
      <c r="I83">
        <f t="shared" si="2"/>
        <v>61979.16</v>
      </c>
    </row>
    <row r="84" spans="1:9" x14ac:dyDescent="0.35">
      <c r="A84" t="s">
        <v>137</v>
      </c>
      <c r="B84" s="2">
        <v>46236</v>
      </c>
      <c r="C84" t="str">
        <f>IF('Uncleaned Data'!C84="","Unknown",PROPER(TRIM(CLEAN(SUBSTITUTE('Uncleaned Data'!C84,CHAR(160)," ")))))</f>
        <v>Rahul Sharma</v>
      </c>
      <c r="D84" t="str">
        <f>IF('Uncleaned Data'!D84="","Unknown",PROPER(TRIM(CLEAN(SUBSTITUTE('Uncleaned Data'!D84,CHAR(160)," ")))))</f>
        <v>Unknown</v>
      </c>
      <c r="E84" t="str">
        <f>IF('Uncleaned Data'!E84="","Unknown",PROPER(TRIM(CLEAN(SUBSTITUTE('Uncleaned Data'!E84,CHAR(160)," ")))))</f>
        <v>Electronics</v>
      </c>
      <c r="F84" t="str">
        <f>IF('Uncleaned Data'!F84="","Unknown",PROPER(TRIM(CLEAN(SUBSTITUTE('Uncleaned Data'!F84,CHAR(160)," ")))))</f>
        <v>East</v>
      </c>
      <c r="G84">
        <f>IF('Uncleaned Data'!G84="","",IF('Uncleaned Data'!G84&lt;=0,"", 'Uncleaned Data'!G84))</f>
        <v>3</v>
      </c>
      <c r="H84">
        <f>IF('Uncleaned Data'!H84="","",'Uncleaned Data'!H84)</f>
        <v>11774.58</v>
      </c>
      <c r="I84">
        <f t="shared" si="2"/>
        <v>35323.74</v>
      </c>
    </row>
    <row r="85" spans="1:9" x14ac:dyDescent="0.35">
      <c r="A85" t="s">
        <v>138</v>
      </c>
      <c r="B85" s="2">
        <v>46171</v>
      </c>
      <c r="C85" t="str">
        <f>IF('Uncleaned Data'!C85="","Unknown",PROPER(TRIM(CLEAN(SUBSTITUTE('Uncleaned Data'!C85,CHAR(160)," ")))))</f>
        <v>Lakshmi Devi</v>
      </c>
      <c r="D85" t="str">
        <f>IF('Uncleaned Data'!D85="","Unknown",PROPER(TRIM(CLEAN(SUBSTITUTE('Uncleaned Data'!D85,CHAR(160)," ")))))</f>
        <v>Keyboard</v>
      </c>
      <c r="E85" t="str">
        <f>IF('Uncleaned Data'!E85="","Unknown",PROPER(TRIM(CLEAN(SUBSTITUTE('Uncleaned Data'!E85,CHAR(160)," ")))))</f>
        <v>Accessories</v>
      </c>
      <c r="F85" t="str">
        <f>IF('Uncleaned Data'!F85="","Unknown",PROPER(TRIM(CLEAN(SUBSTITUTE('Uncleaned Data'!F85,CHAR(160)," ")))))</f>
        <v>East</v>
      </c>
      <c r="G85">
        <f>IF('Uncleaned Data'!G85="","",IF('Uncleaned Data'!G85&lt;=0,"", 'Uncleaned Data'!G85))</f>
        <v>2</v>
      </c>
      <c r="H85">
        <f>IF('Uncleaned Data'!H85="","",'Uncleaned Data'!H85)</f>
        <v>1774.76</v>
      </c>
      <c r="I85">
        <f t="shared" si="2"/>
        <v>3549.52</v>
      </c>
    </row>
    <row r="86" spans="1:9" x14ac:dyDescent="0.35">
      <c r="A86" t="s">
        <v>139</v>
      </c>
      <c r="B86" s="2">
        <v>46077</v>
      </c>
      <c r="C86" t="str">
        <f>IF('Uncleaned Data'!C86="","Unknown",PROPER(TRIM(CLEAN(SUBSTITUTE('Uncleaned Data'!C86,CHAR(160)," ")))))</f>
        <v>Ravi Kumar</v>
      </c>
      <c r="D86" t="str">
        <f>IF('Uncleaned Data'!D86="","Unknown",PROPER(TRIM(CLEAN(SUBSTITUTE('Uncleaned Data'!D86,CHAR(160)," ")))))</f>
        <v>Desk</v>
      </c>
      <c r="E86" t="str">
        <f>IF('Uncleaned Data'!E86="","Unknown",PROPER(TRIM(CLEAN(SUBSTITUTE('Uncleaned Data'!E86,CHAR(160)," ")))))</f>
        <v>Furniture</v>
      </c>
      <c r="F86" t="str">
        <f>IF('Uncleaned Data'!F86="","Unknown",PROPER(TRIM(CLEAN(SUBSTITUTE('Uncleaned Data'!F86,CHAR(160)," ")))))</f>
        <v>West</v>
      </c>
      <c r="G86">
        <f>IF('Uncleaned Data'!G86="","",IF('Uncleaned Data'!G86&lt;=0,"", 'Uncleaned Data'!G86))</f>
        <v>4</v>
      </c>
      <c r="H86">
        <f>IF('Uncleaned Data'!H86="","",'Uncleaned Data'!H86)</f>
        <v>11861.18</v>
      </c>
      <c r="I86">
        <f t="shared" si="2"/>
        <v>47444.72</v>
      </c>
    </row>
    <row r="87" spans="1:9" x14ac:dyDescent="0.35">
      <c r="A87" t="s">
        <v>140</v>
      </c>
      <c r="B87" s="2">
        <v>46192</v>
      </c>
      <c r="C87" t="str">
        <f>IF('Uncleaned Data'!C87="","Unknown",PROPER(TRIM(CLEAN(SUBSTITUTE('Uncleaned Data'!C87,CHAR(160)," ")))))</f>
        <v>Lakshmi Devi</v>
      </c>
      <c r="D87" t="str">
        <f>IF('Uncleaned Data'!D87="","Unknown",PROPER(TRIM(CLEAN(SUBSTITUTE('Uncleaned Data'!D87,CHAR(160)," ")))))</f>
        <v>Headphones</v>
      </c>
      <c r="E87" t="str">
        <f>IF('Uncleaned Data'!E87="","Unknown",PROPER(TRIM(CLEAN(SUBSTITUTE('Uncleaned Data'!E87,CHAR(160)," ")))))</f>
        <v>Electronics</v>
      </c>
      <c r="F87" t="str">
        <f>IF('Uncleaned Data'!F87="","Unknown",PROPER(TRIM(CLEAN(SUBSTITUTE('Uncleaned Data'!F87,CHAR(160)," ")))))</f>
        <v>East</v>
      </c>
      <c r="G87">
        <f>IF('Uncleaned Data'!G87="","",IF('Uncleaned Data'!G87&lt;=0,"", 'Uncleaned Data'!G87))</f>
        <v>1</v>
      </c>
      <c r="H87">
        <f>IF('Uncleaned Data'!H87="","",'Uncleaned Data'!H87)</f>
        <v>2391.89</v>
      </c>
      <c r="I87">
        <f t="shared" si="2"/>
        <v>2391.89</v>
      </c>
    </row>
    <row r="88" spans="1:9" x14ac:dyDescent="0.35">
      <c r="A88" t="s">
        <v>141</v>
      </c>
      <c r="B88" s="2">
        <v>46080</v>
      </c>
      <c r="C88" t="str">
        <f>IF('Uncleaned Data'!C88="","Unknown",PROPER(TRIM(CLEAN(SUBSTITUTE('Uncleaned Data'!C88,CHAR(160)," ")))))</f>
        <v>Kiran Das</v>
      </c>
      <c r="D88" t="str">
        <f>IF('Uncleaned Data'!D88="","Unknown",PROPER(TRIM(CLEAN(SUBSTITUTE('Uncleaned Data'!D88,CHAR(160)," ")))))</f>
        <v>Smartphone</v>
      </c>
      <c r="E88" t="str">
        <f>IF('Uncleaned Data'!E88="","Unknown",PROPER(TRIM(CLEAN(SUBSTITUTE('Uncleaned Data'!E88,CHAR(160)," ")))))</f>
        <v>Electronics</v>
      </c>
      <c r="F88" t="str">
        <f>IF('Uncleaned Data'!F88="","Unknown",PROPER(TRIM(CLEAN(SUBSTITUTE('Uncleaned Data'!F88,CHAR(160)," ")))))</f>
        <v>South</v>
      </c>
      <c r="G88">
        <f>IF('Uncleaned Data'!G88="","",IF('Uncleaned Data'!G88&lt;=0,"", 'Uncleaned Data'!G88))</f>
        <v>2</v>
      </c>
      <c r="H88">
        <f>IF('Uncleaned Data'!H88="","",'Uncleaned Data'!H88)</f>
        <v>28967.66</v>
      </c>
      <c r="I88">
        <f t="shared" si="2"/>
        <v>57935.32</v>
      </c>
    </row>
    <row r="89" spans="1:9" x14ac:dyDescent="0.35">
      <c r="A89" t="s">
        <v>142</v>
      </c>
      <c r="B89" s="2">
        <v>46144</v>
      </c>
      <c r="C89" t="str">
        <f>IF('Uncleaned Data'!C89="","Unknown",PROPER(TRIM(CLEAN(SUBSTITUTE('Uncleaned Data'!C89,CHAR(160)," ")))))</f>
        <v>Lakshmi Devi</v>
      </c>
      <c r="D89" t="str">
        <f>IF('Uncleaned Data'!D89="","Unknown",PROPER(TRIM(CLEAN(SUBSTITUTE('Uncleaned Data'!D89,CHAR(160)," ")))))</f>
        <v>Laptop</v>
      </c>
      <c r="E89" t="str">
        <f>IF('Uncleaned Data'!E89="","Unknown",PROPER(TRIM(CLEAN(SUBSTITUTE('Uncleaned Data'!E89,CHAR(160)," ")))))</f>
        <v>Electronics</v>
      </c>
      <c r="F89" t="str">
        <f>IF('Uncleaned Data'!F89="","Unknown",PROPER(TRIM(CLEAN(SUBSTITUTE('Uncleaned Data'!F89,CHAR(160)," ")))))</f>
        <v>North</v>
      </c>
      <c r="G89">
        <f>IF('Uncleaned Data'!G89="","",IF('Uncleaned Data'!G89&lt;=0,"", 'Uncleaned Data'!G89))</f>
        <v>1</v>
      </c>
      <c r="H89">
        <f>IF('Uncleaned Data'!H89="","",'Uncleaned Data'!H89)</f>
        <v>52193.27</v>
      </c>
      <c r="I89">
        <f t="shared" si="2"/>
        <v>52193.27</v>
      </c>
    </row>
    <row r="90" spans="1:9" x14ac:dyDescent="0.35">
      <c r="A90" t="s">
        <v>144</v>
      </c>
      <c r="B90" s="2">
        <v>46170</v>
      </c>
      <c r="C90" t="str">
        <f>IF('Uncleaned Data'!C90="","Unknown",PROPER(TRIM(CLEAN(SUBSTITUTE('Uncleaned Data'!C90,CHAR(160)," ")))))</f>
        <v>Kiran Das</v>
      </c>
      <c r="D90" t="str">
        <f>IF('Uncleaned Data'!D90="","Unknown",PROPER(TRIM(CLEAN(SUBSTITUTE('Uncleaned Data'!D90,CHAR(160)," ")))))</f>
        <v>Desk</v>
      </c>
      <c r="E90" t="str">
        <f>IF('Uncleaned Data'!E90="","Unknown",PROPER(TRIM(CLEAN(SUBSTITUTE('Uncleaned Data'!E90,CHAR(160)," ")))))</f>
        <v>Furniture</v>
      </c>
      <c r="F90" t="str">
        <f>IF('Uncleaned Data'!F90="","Unknown",PROPER(TRIM(CLEAN(SUBSTITUTE('Uncleaned Data'!F90,CHAR(160)," ")))))</f>
        <v>West</v>
      </c>
      <c r="G90">
        <f>IF('Uncleaned Data'!G90="","",IF('Uncleaned Data'!G90&lt;=0,"", 'Uncleaned Data'!G90))</f>
        <v>4</v>
      </c>
      <c r="H90">
        <f>IF('Uncleaned Data'!H90="","",'Uncleaned Data'!H90)</f>
        <v>12926.73</v>
      </c>
      <c r="I90">
        <f t="shared" si="2"/>
        <v>51706.92</v>
      </c>
    </row>
    <row r="91" spans="1:9" x14ac:dyDescent="0.35">
      <c r="A91" t="s">
        <v>145</v>
      </c>
      <c r="B91" s="2">
        <v>46190</v>
      </c>
      <c r="C91" t="str">
        <f>IF('Uncleaned Data'!C91="","Unknown",PROPER(TRIM(CLEAN(SUBSTITUTE('Uncleaned Data'!C91,CHAR(160)," ")))))</f>
        <v>Rahul Sharma</v>
      </c>
      <c r="D91" t="str">
        <f>IF('Uncleaned Data'!D91="","Unknown",PROPER(TRIM(CLEAN(SUBSTITUTE('Uncleaned Data'!D91,CHAR(160)," ")))))</f>
        <v>Desk</v>
      </c>
      <c r="E91" t="str">
        <f>IF('Uncleaned Data'!E91="","Unknown",PROPER(TRIM(CLEAN(SUBSTITUTE('Uncleaned Data'!E91,CHAR(160)," ")))))</f>
        <v>Furniture</v>
      </c>
      <c r="F91" t="str">
        <f>IF('Uncleaned Data'!F91="","Unknown",PROPER(TRIM(CLEAN(SUBSTITUTE('Uncleaned Data'!F91,CHAR(160)," ")))))</f>
        <v>North</v>
      </c>
      <c r="G91">
        <f>IF('Uncleaned Data'!G91="","",IF('Uncleaned Data'!G91&lt;=0,"", 'Uncleaned Data'!G91))</f>
        <v>4</v>
      </c>
      <c r="H91">
        <f>IF('Uncleaned Data'!H91="","",'Uncleaned Data'!H91)</f>
        <v>11385.56</v>
      </c>
      <c r="I91">
        <f t="shared" si="2"/>
        <v>45542.239999999998</v>
      </c>
    </row>
    <row r="92" spans="1:9" x14ac:dyDescent="0.35">
      <c r="A92" t="s">
        <v>146</v>
      </c>
      <c r="B92" s="2">
        <v>46201</v>
      </c>
      <c r="C92" t="str">
        <f>IF('Uncleaned Data'!C92="","Unknown",PROPER(TRIM(CLEAN(SUBSTITUTE('Uncleaned Data'!C92,CHAR(160)," ")))))</f>
        <v>Ravi Kumar</v>
      </c>
      <c r="D92" t="str">
        <f>IF('Uncleaned Data'!D92="","Unknown",PROPER(TRIM(CLEAN(SUBSTITUTE('Uncleaned Data'!D92,CHAR(160)," ")))))</f>
        <v>Office Chair</v>
      </c>
      <c r="E92" t="str">
        <f>IF('Uncleaned Data'!E92="","Unknown",PROPER(TRIM(CLEAN(SUBSTITUTE('Uncleaned Data'!E92,CHAR(160)," ")))))</f>
        <v>Furniture</v>
      </c>
      <c r="F92" t="str">
        <f>IF('Uncleaned Data'!F92="","Unknown",PROPER(TRIM(CLEAN(SUBSTITUTE('Uncleaned Data'!F92,CHAR(160)," ")))))</f>
        <v>West</v>
      </c>
      <c r="G92">
        <f>IF('Uncleaned Data'!G92="","",IF('Uncleaned Data'!G92&lt;=0,"", 'Uncleaned Data'!G92))</f>
        <v>2</v>
      </c>
      <c r="H92">
        <f>IF('Uncleaned Data'!H92="","",'Uncleaned Data'!H92)</f>
        <v>7949.01</v>
      </c>
      <c r="I92">
        <f t="shared" si="2"/>
        <v>15898.02</v>
      </c>
    </row>
    <row r="93" spans="1:9" x14ac:dyDescent="0.35">
      <c r="A93" t="s">
        <v>147</v>
      </c>
      <c r="B93" s="2">
        <v>46240</v>
      </c>
      <c r="C93" t="str">
        <f>IF('Uncleaned Data'!C93="","Unknown",PROPER(TRIM(CLEAN(SUBSTITUTE('Uncleaned Data'!C93,CHAR(160)," ")))))</f>
        <v>Sneha Patel</v>
      </c>
      <c r="D93" t="str">
        <f>IF('Uncleaned Data'!D93="","Unknown",PROPER(TRIM(CLEAN(SUBSTITUTE('Uncleaned Data'!D93,CHAR(160)," ")))))</f>
        <v>Laptop</v>
      </c>
      <c r="E93" t="str">
        <f>IF('Uncleaned Data'!E93="","Unknown",PROPER(TRIM(CLEAN(SUBSTITUTE('Uncleaned Data'!E93,CHAR(160)," ")))))</f>
        <v>Electronics</v>
      </c>
      <c r="F93" t="str">
        <f>IF('Uncleaned Data'!F93="","Unknown",PROPER(TRIM(CLEAN(SUBSTITUTE('Uncleaned Data'!F93,CHAR(160)," ")))))</f>
        <v>West</v>
      </c>
      <c r="G93" t="str">
        <f>IF('Uncleaned Data'!G93="","",IF('Uncleaned Data'!G93&lt;=0,"", 'Uncleaned Data'!G93))</f>
        <v/>
      </c>
      <c r="H93">
        <f>IF('Uncleaned Data'!H93="","",'Uncleaned Data'!H93)</f>
        <v>52241.18</v>
      </c>
      <c r="I93" t="str">
        <f t="shared" si="2"/>
        <v/>
      </c>
    </row>
    <row r="94" spans="1:9" x14ac:dyDescent="0.35">
      <c r="A94" t="s">
        <v>148</v>
      </c>
      <c r="B94" s="2">
        <v>46166</v>
      </c>
      <c r="C94" t="str">
        <f>IF('Uncleaned Data'!C94="","Unknown",PROPER(TRIM(CLEAN(SUBSTITUTE('Uncleaned Data'!C94,CHAR(160)," ")))))</f>
        <v>Lakshmi Devi</v>
      </c>
      <c r="D94" t="str">
        <f>IF('Uncleaned Data'!D94="","Unknown",PROPER(TRIM(CLEAN(SUBSTITUTE('Uncleaned Data'!D94,CHAR(160)," ")))))</f>
        <v>Headphones</v>
      </c>
      <c r="E94" t="str">
        <f>IF('Uncleaned Data'!E94="","Unknown",PROPER(TRIM(CLEAN(SUBSTITUTE('Uncleaned Data'!E94,CHAR(160)," ")))))</f>
        <v>Electronics</v>
      </c>
      <c r="F94" t="str">
        <f>IF('Uncleaned Data'!F94="","Unknown",PROPER(TRIM(CLEAN(SUBSTITUTE('Uncleaned Data'!F94,CHAR(160)," ")))))</f>
        <v>East</v>
      </c>
      <c r="G94">
        <f>IF('Uncleaned Data'!G94="","",IF('Uncleaned Data'!G94&lt;=0,"", 'Uncleaned Data'!G94))</f>
        <v>4</v>
      </c>
      <c r="H94">
        <f>IF('Uncleaned Data'!H94="","",'Uncleaned Data'!H94)</f>
        <v>2583.79</v>
      </c>
      <c r="I94">
        <f t="shared" si="2"/>
        <v>10335.16</v>
      </c>
    </row>
    <row r="95" spans="1:9" x14ac:dyDescent="0.35">
      <c r="A95" t="s">
        <v>149</v>
      </c>
      <c r="B95" s="2">
        <v>46251</v>
      </c>
      <c r="C95" t="str">
        <f>IF('Uncleaned Data'!C95="","Unknown",PROPER(TRIM(CLEAN(SUBSTITUTE('Uncleaned Data'!C95,CHAR(160)," ")))))</f>
        <v>Ravi Kumar</v>
      </c>
      <c r="D95" t="str">
        <f>IF('Uncleaned Data'!D95="","Unknown",PROPER(TRIM(CLEAN(SUBSTITUTE('Uncleaned Data'!D95,CHAR(160)," ")))))</f>
        <v>Desk</v>
      </c>
      <c r="E95" t="str">
        <f>IF('Uncleaned Data'!E95="","Unknown",PROPER(TRIM(CLEAN(SUBSTITUTE('Uncleaned Data'!E95,CHAR(160)," ")))))</f>
        <v>Furniture</v>
      </c>
      <c r="F95" t="str">
        <f>IF('Uncleaned Data'!F95="","Unknown",PROPER(TRIM(CLEAN(SUBSTITUTE('Uncleaned Data'!F95,CHAR(160)," ")))))</f>
        <v>West</v>
      </c>
      <c r="G95">
        <f>IF('Uncleaned Data'!G95="","",IF('Uncleaned Data'!G95&lt;=0,"", 'Uncleaned Data'!G95))</f>
        <v>5</v>
      </c>
      <c r="H95">
        <f>IF('Uncleaned Data'!H95="","",'Uncleaned Data'!H95)</f>
        <v>12756.02</v>
      </c>
      <c r="I95">
        <f t="shared" si="2"/>
        <v>63780.100000000006</v>
      </c>
    </row>
    <row r="96" spans="1:9" x14ac:dyDescent="0.35">
      <c r="A96" t="s">
        <v>150</v>
      </c>
      <c r="B96" s="2">
        <v>46213</v>
      </c>
      <c r="C96" t="str">
        <f>IF('Uncleaned Data'!C96="","Unknown",PROPER(TRIM(CLEAN(SUBSTITUTE('Uncleaned Data'!C96,CHAR(160)," ")))))</f>
        <v>Kavya Rao</v>
      </c>
      <c r="D96" t="str">
        <f>IF('Uncleaned Data'!D96="","Unknown",PROPER(TRIM(CLEAN(SUBSTITUTE('Uncleaned Data'!D96,CHAR(160)," ")))))</f>
        <v>Backpack</v>
      </c>
      <c r="E96" t="str">
        <f>IF('Uncleaned Data'!E96="","Unknown",PROPER(TRIM(CLEAN(SUBSTITUTE('Uncleaned Data'!E96,CHAR(160)," ")))))</f>
        <v>Accessories</v>
      </c>
      <c r="F96" t="str">
        <f>IF('Uncleaned Data'!F96="","Unknown",PROPER(TRIM(CLEAN(SUBSTITUTE('Uncleaned Data'!F96,CHAR(160)," ")))))</f>
        <v>West</v>
      </c>
      <c r="G96">
        <f>IF('Uncleaned Data'!G96="","",IF('Uncleaned Data'!G96&lt;=0,"", 'Uncleaned Data'!G96))</f>
        <v>4</v>
      </c>
      <c r="H96">
        <f>IF('Uncleaned Data'!H96="","",'Uncleaned Data'!H96)</f>
        <v>2374.77</v>
      </c>
      <c r="I96">
        <f t="shared" si="2"/>
        <v>9499.08</v>
      </c>
    </row>
    <row r="97" spans="1:9" x14ac:dyDescent="0.35">
      <c r="A97" t="s">
        <v>151</v>
      </c>
      <c r="B97" s="2">
        <v>46093</v>
      </c>
      <c r="C97" t="str">
        <f>IF('Uncleaned Data'!C97="","Unknown",PROPER(TRIM(CLEAN(SUBSTITUTE('Uncleaned Data'!C97,CHAR(160)," ")))))</f>
        <v>Ravi Kumar</v>
      </c>
      <c r="D97" t="str">
        <f>IF('Uncleaned Data'!D97="","Unknown",PROPER(TRIM(CLEAN(SUBSTITUTE('Uncleaned Data'!D97,CHAR(160)," ")))))</f>
        <v>Keyboard</v>
      </c>
      <c r="E97" t="str">
        <f>IF('Uncleaned Data'!E97="","Unknown",PROPER(TRIM(CLEAN(SUBSTITUTE('Uncleaned Data'!E97,CHAR(160)," ")))))</f>
        <v>Accessories</v>
      </c>
      <c r="F97" t="str">
        <f>IF('Uncleaned Data'!F97="","Unknown",PROPER(TRIM(CLEAN(SUBSTITUTE('Uncleaned Data'!F97,CHAR(160)," ")))))</f>
        <v>West</v>
      </c>
      <c r="G97">
        <f>IF('Uncleaned Data'!G97="","",IF('Uncleaned Data'!G97&lt;=0,"", 'Uncleaned Data'!G97))</f>
        <v>2</v>
      </c>
      <c r="H97">
        <f>IF('Uncleaned Data'!H97="","",'Uncleaned Data'!H97)</f>
        <v>1922.35</v>
      </c>
      <c r="I97">
        <f t="shared" si="2"/>
        <v>3844.7</v>
      </c>
    </row>
    <row r="98" spans="1:9" x14ac:dyDescent="0.35">
      <c r="A98" t="s">
        <v>152</v>
      </c>
      <c r="B98" s="2">
        <v>46205</v>
      </c>
      <c r="C98" t="str">
        <f>IF('Uncleaned Data'!C98="","Unknown",PROPER(TRIM(CLEAN(SUBSTITUTE('Uncleaned Data'!C98,CHAR(160)," ")))))</f>
        <v>Neha Gupta</v>
      </c>
      <c r="D98" t="str">
        <f>IF('Uncleaned Data'!D98="","Unknown",PROPER(TRIM(CLEAN(SUBSTITUTE('Uncleaned Data'!D98,CHAR(160)," ")))))</f>
        <v>Monitor</v>
      </c>
      <c r="E98" t="str">
        <f>IF('Uncleaned Data'!E98="","Unknown",PROPER(TRIM(CLEAN(SUBSTITUTE('Uncleaned Data'!E98,CHAR(160)," ")))))</f>
        <v>Electronics</v>
      </c>
      <c r="F98" t="str">
        <f>IF('Uncleaned Data'!F98="","Unknown",PROPER(TRIM(CLEAN(SUBSTITUTE('Uncleaned Data'!F98,CHAR(160)," ")))))</f>
        <v>South</v>
      </c>
      <c r="G98">
        <f>IF('Uncleaned Data'!G98="","",IF('Uncleaned Data'!G98&lt;=0,"", 'Uncleaned Data'!G98))</f>
        <v>3</v>
      </c>
      <c r="H98">
        <f>IF('Uncleaned Data'!H98="","",'Uncleaned Data'!H98)</f>
        <v>14819.62</v>
      </c>
      <c r="I98">
        <f t="shared" ref="I98:I129" si="3">IF(OR(G98="",H98=""),"",G98*H98)</f>
        <v>44458.86</v>
      </c>
    </row>
    <row r="99" spans="1:9" x14ac:dyDescent="0.35">
      <c r="A99" t="s">
        <v>154</v>
      </c>
      <c r="B99" s="2">
        <v>46161</v>
      </c>
      <c r="C99" t="str">
        <f>IF('Uncleaned Data'!C99="","Unknown",PROPER(TRIM(CLEAN(SUBSTITUTE('Uncleaned Data'!C99,CHAR(160)," ")))))</f>
        <v>Arjun Kumar</v>
      </c>
      <c r="D99" t="str">
        <f>IF('Uncleaned Data'!D99="","Unknown",PROPER(TRIM(CLEAN(SUBSTITUTE('Uncleaned Data'!D99,CHAR(160)," ")))))</f>
        <v>Keyboard</v>
      </c>
      <c r="E99" t="str">
        <f>IF('Uncleaned Data'!E99="","Unknown",PROPER(TRIM(CLEAN(SUBSTITUTE('Uncleaned Data'!E99,CHAR(160)," ")))))</f>
        <v>Accessories</v>
      </c>
      <c r="F99" t="str">
        <f>IF('Uncleaned Data'!F99="","Unknown",PROPER(TRIM(CLEAN(SUBSTITUTE('Uncleaned Data'!F99,CHAR(160)," ")))))</f>
        <v>South</v>
      </c>
      <c r="G99">
        <f>IF('Uncleaned Data'!G99="","",IF('Uncleaned Data'!G99&lt;=0,"", 'Uncleaned Data'!G99))</f>
        <v>3</v>
      </c>
      <c r="H99">
        <f>IF('Uncleaned Data'!H99="","",'Uncleaned Data'!H99)</f>
        <v>1735.1</v>
      </c>
      <c r="I99">
        <f t="shared" si="3"/>
        <v>5205.2999999999993</v>
      </c>
    </row>
    <row r="100" spans="1:9" x14ac:dyDescent="0.35">
      <c r="A100" t="s">
        <v>155</v>
      </c>
      <c r="B100" s="2">
        <v>46062</v>
      </c>
      <c r="C100" t="str">
        <f>IF('Uncleaned Data'!C100="","Unknown",PROPER(TRIM(CLEAN(SUBSTITUTE('Uncleaned Data'!C100,CHAR(160)," ")))))</f>
        <v>Kiran Das</v>
      </c>
      <c r="D100" t="str">
        <f>IF('Uncleaned Data'!D100="","Unknown",PROPER(TRIM(CLEAN(SUBSTITUTE('Uncleaned Data'!D100,CHAR(160)," ")))))</f>
        <v>Headphones</v>
      </c>
      <c r="E100" t="str">
        <f>IF('Uncleaned Data'!E100="","Unknown",PROPER(TRIM(CLEAN(SUBSTITUTE('Uncleaned Data'!E100,CHAR(160)," ")))))</f>
        <v>Electronics</v>
      </c>
      <c r="F100" t="str">
        <f>IF('Uncleaned Data'!F100="","Unknown",PROPER(TRIM(CLEAN(SUBSTITUTE('Uncleaned Data'!F100,CHAR(160)," ")))))</f>
        <v>North</v>
      </c>
      <c r="G100">
        <f>IF('Uncleaned Data'!G100="","",IF('Uncleaned Data'!G100&lt;=0,"", 'Uncleaned Data'!G100))</f>
        <v>2</v>
      </c>
      <c r="H100">
        <f>IF('Uncleaned Data'!H100="","",'Uncleaned Data'!H100)</f>
        <v>2441.52</v>
      </c>
      <c r="I100">
        <f t="shared" si="3"/>
        <v>4883.04</v>
      </c>
    </row>
    <row r="101" spans="1:9" x14ac:dyDescent="0.35">
      <c r="A101" t="s">
        <v>156</v>
      </c>
      <c r="B101" s="2">
        <v>46142</v>
      </c>
      <c r="C101" t="str">
        <f>IF('Uncleaned Data'!C101="","Unknown",PROPER(TRIM(CLEAN(SUBSTITUTE('Uncleaned Data'!C101,CHAR(160)," ")))))</f>
        <v>Divya Menon</v>
      </c>
      <c r="D101" t="str">
        <f>IF('Uncleaned Data'!D101="","Unknown",PROPER(TRIM(CLEAN(SUBSTITUTE('Uncleaned Data'!D101,CHAR(160)," ")))))</f>
        <v>Office Chair</v>
      </c>
      <c r="E101" t="str">
        <f>IF('Uncleaned Data'!E101="","Unknown",PROPER(TRIM(CLEAN(SUBSTITUTE('Uncleaned Data'!E101,CHAR(160)," ")))))</f>
        <v>Furniture</v>
      </c>
      <c r="F101" t="str">
        <f>IF('Uncleaned Data'!F101="","Unknown",PROPER(TRIM(CLEAN(SUBSTITUTE('Uncleaned Data'!F101,CHAR(160)," ")))))</f>
        <v>North</v>
      </c>
      <c r="G101">
        <f>IF('Uncleaned Data'!G101="","",IF('Uncleaned Data'!G101&lt;=0,"", 'Uncleaned Data'!G101))</f>
        <v>4</v>
      </c>
      <c r="H101">
        <f>IF('Uncleaned Data'!H101="","",'Uncleaned Data'!H101)</f>
        <v>8212.5</v>
      </c>
      <c r="I101">
        <f t="shared" si="3"/>
        <v>32850</v>
      </c>
    </row>
    <row r="102" spans="1:9" x14ac:dyDescent="0.35">
      <c r="A102" t="s">
        <v>157</v>
      </c>
      <c r="B102" s="2">
        <v>46220</v>
      </c>
      <c r="C102" t="str">
        <f>IF('Uncleaned Data'!C102="","Unknown",PROPER(TRIM(CLEAN(SUBSTITUTE('Uncleaned Data'!C102,CHAR(160)," ")))))</f>
        <v>Nikhil Jain</v>
      </c>
      <c r="D102" t="str">
        <f>IF('Uncleaned Data'!D102="","Unknown",PROPER(TRIM(CLEAN(SUBSTITUTE('Uncleaned Data'!D102,CHAR(160)," ")))))</f>
        <v>Monitor</v>
      </c>
      <c r="E102" t="str">
        <f>IF('Uncleaned Data'!E102="","Unknown",PROPER(TRIM(CLEAN(SUBSTITUTE('Uncleaned Data'!E102,CHAR(160)," ")))))</f>
        <v>Electronics</v>
      </c>
      <c r="F102" t="str">
        <f>IF('Uncleaned Data'!F102="","Unknown",PROPER(TRIM(CLEAN(SUBSTITUTE('Uncleaned Data'!F102,CHAR(160)," ")))))</f>
        <v>North</v>
      </c>
      <c r="G102">
        <f>IF('Uncleaned Data'!G102="","",IF('Uncleaned Data'!G102&lt;=0,"", 'Uncleaned Data'!G102))</f>
        <v>4</v>
      </c>
      <c r="H102">
        <f>IF('Uncleaned Data'!H102="","",'Uncleaned Data'!H102)</f>
        <v>14668.43</v>
      </c>
      <c r="I102">
        <f t="shared" si="3"/>
        <v>58673.72</v>
      </c>
    </row>
    <row r="103" spans="1:9" x14ac:dyDescent="0.35">
      <c r="A103" t="s">
        <v>158</v>
      </c>
      <c r="B103" s="2">
        <v>46264</v>
      </c>
      <c r="C103" t="str">
        <f>IF('Uncleaned Data'!C103="","Unknown",PROPER(TRIM(CLEAN(SUBSTITUTE('Uncleaned Data'!C103,CHAR(160)," ")))))</f>
        <v>Pooja Iyer</v>
      </c>
      <c r="D103" t="str">
        <f>IF('Uncleaned Data'!D103="","Unknown",PROPER(TRIM(CLEAN(SUBSTITUTE('Uncleaned Data'!D103,CHAR(160)," ")))))</f>
        <v>Printer</v>
      </c>
      <c r="E103" t="str">
        <f>IF('Uncleaned Data'!E103="","Unknown",PROPER(TRIM(CLEAN(SUBSTITUTE('Uncleaned Data'!E103,CHAR(160)," ")))))</f>
        <v>Electronics</v>
      </c>
      <c r="F103" t="str">
        <f>IF('Uncleaned Data'!F103="","Unknown",PROPER(TRIM(CLEAN(SUBSTITUTE('Uncleaned Data'!F103,CHAR(160)," ")))))</f>
        <v>East</v>
      </c>
      <c r="G103">
        <f>IF('Uncleaned Data'!G103="","",IF('Uncleaned Data'!G103&lt;=0,"", 'Uncleaned Data'!G103))</f>
        <v>4</v>
      </c>
      <c r="H103">
        <f>IF('Uncleaned Data'!H103="","",'Uncleaned Data'!H103)</f>
        <v>11944.75</v>
      </c>
      <c r="I103">
        <f t="shared" si="3"/>
        <v>47779</v>
      </c>
    </row>
    <row r="104" spans="1:9" x14ac:dyDescent="0.35">
      <c r="A104" t="s">
        <v>159</v>
      </c>
      <c r="B104" s="2">
        <v>46211</v>
      </c>
      <c r="C104" t="str">
        <f>IF('Uncleaned Data'!C104="","Unknown",PROPER(TRIM(CLEAN(SUBSTITUTE('Uncleaned Data'!C104,CHAR(160)," ")))))</f>
        <v>Swathi Das</v>
      </c>
      <c r="D104" t="str">
        <f>IF('Uncleaned Data'!D104="","Unknown",PROPER(TRIM(CLEAN(SUBSTITUTE('Uncleaned Data'!D104,CHAR(160)," ")))))</f>
        <v>Office Chair</v>
      </c>
      <c r="E104" t="str">
        <f>IF('Uncleaned Data'!E104="","Unknown",PROPER(TRIM(CLEAN(SUBSTITUTE('Uncleaned Data'!E104,CHAR(160)," ")))))</f>
        <v>Furniture</v>
      </c>
      <c r="F104" t="str">
        <f>IF('Uncleaned Data'!F104="","Unknown",PROPER(TRIM(CLEAN(SUBSTITUTE('Uncleaned Data'!F104,CHAR(160)," ")))))</f>
        <v>Central</v>
      </c>
      <c r="G104">
        <f>IF('Uncleaned Data'!G104="","",IF('Uncleaned Data'!G104&lt;=0,"", 'Uncleaned Data'!G104))</f>
        <v>4</v>
      </c>
      <c r="H104">
        <f>IF('Uncleaned Data'!H104="","",'Uncleaned Data'!H104)</f>
        <v>8564.9699999999993</v>
      </c>
      <c r="I104">
        <f t="shared" si="3"/>
        <v>34259.879999999997</v>
      </c>
    </row>
    <row r="105" spans="1:9" x14ac:dyDescent="0.35">
      <c r="A105" t="s">
        <v>160</v>
      </c>
      <c r="B105" s="2">
        <v>46134</v>
      </c>
      <c r="C105" t="str">
        <f>IF('Uncleaned Data'!C105="","Unknown",PROPER(TRIM(CLEAN(SUBSTITUTE('Uncleaned Data'!C105,CHAR(160)," ")))))</f>
        <v>Kavya Rao</v>
      </c>
      <c r="D105" t="str">
        <f>IF('Uncleaned Data'!D105="","Unknown",PROPER(TRIM(CLEAN(SUBSTITUTE('Uncleaned Data'!D105,CHAR(160)," ")))))</f>
        <v>Monitor</v>
      </c>
      <c r="E105" t="str">
        <f>IF('Uncleaned Data'!E105="","Unknown",PROPER(TRIM(CLEAN(SUBSTITUTE('Uncleaned Data'!E105,CHAR(160)," ")))))</f>
        <v>Unknown</v>
      </c>
      <c r="F105" t="str">
        <f>IF('Uncleaned Data'!F105="","Unknown",PROPER(TRIM(CLEAN(SUBSTITUTE('Uncleaned Data'!F105,CHAR(160)," ")))))</f>
        <v>North</v>
      </c>
      <c r="G105">
        <f>IF('Uncleaned Data'!G105="","",IF('Uncleaned Data'!G105&lt;=0,"", 'Uncleaned Data'!G105))</f>
        <v>4</v>
      </c>
      <c r="H105">
        <f>IF('Uncleaned Data'!H105="","",'Uncleaned Data'!H105)</f>
        <v>14158.26</v>
      </c>
      <c r="I105">
        <f t="shared" si="3"/>
        <v>56633.04</v>
      </c>
    </row>
    <row r="106" spans="1:9" x14ac:dyDescent="0.35">
      <c r="A106" t="s">
        <v>161</v>
      </c>
      <c r="B106" s="2">
        <v>46227</v>
      </c>
      <c r="C106" t="str">
        <f>IF('Uncleaned Data'!C106="","Unknown",PROPER(TRIM(CLEAN(SUBSTITUTE('Uncleaned Data'!C106,CHAR(160)," ")))))</f>
        <v>Amit Shah</v>
      </c>
      <c r="D106" t="str">
        <f>IF('Uncleaned Data'!D106="","Unknown",PROPER(TRIM(CLEAN(SUBSTITUTE('Uncleaned Data'!D106,CHAR(160)," ")))))</f>
        <v>Office Chair</v>
      </c>
      <c r="E106" t="str">
        <f>IF('Uncleaned Data'!E106="","Unknown",PROPER(TRIM(CLEAN(SUBSTITUTE('Uncleaned Data'!E106,CHAR(160)," ")))))</f>
        <v>Furniture</v>
      </c>
      <c r="F106" t="str">
        <f>IF('Uncleaned Data'!F106="","Unknown",PROPER(TRIM(CLEAN(SUBSTITUTE('Uncleaned Data'!F106,CHAR(160)," ")))))</f>
        <v>South</v>
      </c>
      <c r="G106">
        <f>IF('Uncleaned Data'!G106="","",IF('Uncleaned Data'!G106&lt;=0,"", 'Uncleaned Data'!G106))</f>
        <v>3</v>
      </c>
      <c r="H106">
        <f>IF('Uncleaned Data'!H106="","",'Uncleaned Data'!H106)</f>
        <v>8787.09</v>
      </c>
      <c r="I106">
        <f t="shared" si="3"/>
        <v>26361.27</v>
      </c>
    </row>
    <row r="107" spans="1:9" x14ac:dyDescent="0.35">
      <c r="A107" t="s">
        <v>162</v>
      </c>
      <c r="B107" s="2">
        <v>46159</v>
      </c>
      <c r="C107" t="str">
        <f>IF('Uncleaned Data'!C107="","Unknown",PROPER(TRIM(CLEAN(SUBSTITUTE('Uncleaned Data'!C107,CHAR(160)," ")))))</f>
        <v>Rahul Sharma</v>
      </c>
      <c r="D107" t="str">
        <f>IF('Uncleaned Data'!D107="","Unknown",PROPER(TRIM(CLEAN(SUBSTITUTE('Uncleaned Data'!D107,CHAR(160)," ")))))</f>
        <v>Desk</v>
      </c>
      <c r="E107" t="str">
        <f>IF('Uncleaned Data'!E107="","Unknown",PROPER(TRIM(CLEAN(SUBSTITUTE('Uncleaned Data'!E107,CHAR(160)," ")))))</f>
        <v>Furniture</v>
      </c>
      <c r="F107" t="str">
        <f>IF('Uncleaned Data'!F107="","Unknown",PROPER(TRIM(CLEAN(SUBSTITUTE('Uncleaned Data'!F107,CHAR(160)," ")))))</f>
        <v>West</v>
      </c>
      <c r="G107">
        <f>IF('Uncleaned Data'!G107="","",IF('Uncleaned Data'!G107&lt;=0,"", 'Uncleaned Data'!G107))</f>
        <v>2</v>
      </c>
      <c r="H107">
        <f>IF('Uncleaned Data'!H107="","",'Uncleaned Data'!H107)</f>
        <v>13153.73</v>
      </c>
      <c r="I107">
        <f t="shared" si="3"/>
        <v>26307.46</v>
      </c>
    </row>
    <row r="108" spans="1:9" x14ac:dyDescent="0.35">
      <c r="A108" t="s">
        <v>163</v>
      </c>
      <c r="B108" s="2">
        <v>46044</v>
      </c>
      <c r="C108" t="str">
        <f>IF('Uncleaned Data'!C108="","Unknown",PROPER(TRIM(CLEAN(SUBSTITUTE('Uncleaned Data'!C108,CHAR(160)," ")))))</f>
        <v>Divya Menon</v>
      </c>
      <c r="D108" t="str">
        <f>IF('Uncleaned Data'!D108="","Unknown",PROPER(TRIM(CLEAN(SUBSTITUTE('Uncleaned Data'!D108,CHAR(160)," ")))))</f>
        <v>Printer</v>
      </c>
      <c r="E108" t="str">
        <f>IF('Uncleaned Data'!E108="","Unknown",PROPER(TRIM(CLEAN(SUBSTITUTE('Uncleaned Data'!E108,CHAR(160)," ")))))</f>
        <v>Electronics</v>
      </c>
      <c r="F108" t="str">
        <f>IF('Uncleaned Data'!F108="","Unknown",PROPER(TRIM(CLEAN(SUBSTITUTE('Uncleaned Data'!F108,CHAR(160)," ")))))</f>
        <v>South</v>
      </c>
      <c r="G108">
        <f>IF('Uncleaned Data'!G108="","",IF('Uncleaned Data'!G108&lt;=0,"", 'Uncleaned Data'!G108))</f>
        <v>5</v>
      </c>
      <c r="H108">
        <f>IF('Uncleaned Data'!H108="","",'Uncleaned Data'!H108)</f>
        <v>12391.2</v>
      </c>
      <c r="I108">
        <f t="shared" si="3"/>
        <v>61956</v>
      </c>
    </row>
    <row r="109" spans="1:9" x14ac:dyDescent="0.35">
      <c r="A109" t="s">
        <v>164</v>
      </c>
      <c r="B109" s="2">
        <v>46120</v>
      </c>
      <c r="C109" t="str">
        <f>IF('Uncleaned Data'!C109="","Unknown",PROPER(TRIM(CLEAN(SUBSTITUTE('Uncleaned Data'!C109,CHAR(160)," ")))))</f>
        <v>Suresh Nair</v>
      </c>
      <c r="D109" t="str">
        <f>IF('Uncleaned Data'!D109="","Unknown",PROPER(TRIM(CLEAN(SUBSTITUTE('Uncleaned Data'!D109,CHAR(160)," ")))))</f>
        <v>Desk</v>
      </c>
      <c r="E109" t="str">
        <f>IF('Uncleaned Data'!E109="","Unknown",PROPER(TRIM(CLEAN(SUBSTITUTE('Uncleaned Data'!E109,CHAR(160)," ")))))</f>
        <v>Furniture</v>
      </c>
      <c r="F109" t="str">
        <f>IF('Uncleaned Data'!F109="","Unknown",PROPER(TRIM(CLEAN(SUBSTITUTE('Uncleaned Data'!F109,CHAR(160)," ")))))</f>
        <v>South</v>
      </c>
      <c r="G109">
        <f>IF('Uncleaned Data'!G109="","",IF('Uncleaned Data'!G109&lt;=0,"", 'Uncleaned Data'!G109))</f>
        <v>2</v>
      </c>
      <c r="H109">
        <f>IF('Uncleaned Data'!H109="","",'Uncleaned Data'!H109)</f>
        <v>10920.68</v>
      </c>
      <c r="I109">
        <f t="shared" si="3"/>
        <v>21841.360000000001</v>
      </c>
    </row>
    <row r="110" spans="1:9" x14ac:dyDescent="0.35">
      <c r="A110" t="s">
        <v>165</v>
      </c>
      <c r="B110" s="2">
        <v>46248</v>
      </c>
      <c r="C110" t="str">
        <f>IF('Uncleaned Data'!C110="","Unknown",PROPER(TRIM(CLEAN(SUBSTITUTE('Uncleaned Data'!C110,CHAR(160)," ")))))</f>
        <v>Amit Shah</v>
      </c>
      <c r="D110" t="str">
        <f>IF('Uncleaned Data'!D110="","Unknown",PROPER(TRIM(CLEAN(SUBSTITUTE('Uncleaned Data'!D110,CHAR(160)," ")))))</f>
        <v>Desk</v>
      </c>
      <c r="E110" t="str">
        <f>IF('Uncleaned Data'!E110="","Unknown",PROPER(TRIM(CLEAN(SUBSTITUTE('Uncleaned Data'!E110,CHAR(160)," ")))))</f>
        <v>Furniture</v>
      </c>
      <c r="F110" t="str">
        <f>IF('Uncleaned Data'!F110="","Unknown",PROPER(TRIM(CLEAN(SUBSTITUTE('Uncleaned Data'!F110,CHAR(160)," ")))))</f>
        <v>East</v>
      </c>
      <c r="G110">
        <f>IF('Uncleaned Data'!G110="","",IF('Uncleaned Data'!G110&lt;=0,"", 'Uncleaned Data'!G110))</f>
        <v>3</v>
      </c>
      <c r="H110">
        <f>IF('Uncleaned Data'!H110="","",'Uncleaned Data'!H110)</f>
        <v>11610</v>
      </c>
      <c r="I110">
        <f t="shared" si="3"/>
        <v>34830</v>
      </c>
    </row>
    <row r="111" spans="1:9" x14ac:dyDescent="0.35">
      <c r="A111" t="s">
        <v>166</v>
      </c>
      <c r="B111" s="2">
        <v>46143</v>
      </c>
      <c r="C111" t="str">
        <f>IF('Uncleaned Data'!C111="","Unknown",PROPER(TRIM(CLEAN(SUBSTITUTE('Uncleaned Data'!C111,CHAR(160)," ")))))</f>
        <v>Rahul Sharma</v>
      </c>
      <c r="D111" t="str">
        <f>IF('Uncleaned Data'!D111="","Unknown",PROPER(TRIM(CLEAN(SUBSTITUTE('Uncleaned Data'!D111,CHAR(160)," ")))))</f>
        <v>Office Chair</v>
      </c>
      <c r="E111" t="str">
        <f>IF('Uncleaned Data'!E111="","Unknown",PROPER(TRIM(CLEAN(SUBSTITUTE('Uncleaned Data'!E111,CHAR(160)," ")))))</f>
        <v>Furniture</v>
      </c>
      <c r="F111" t="str">
        <f>IF('Uncleaned Data'!F111="","Unknown",PROPER(TRIM(CLEAN(SUBSTITUTE('Uncleaned Data'!F111,CHAR(160)," ")))))</f>
        <v>Central</v>
      </c>
      <c r="G111">
        <f>IF('Uncleaned Data'!G111="","",IF('Uncleaned Data'!G111&lt;=0,"", 'Uncleaned Data'!G111))</f>
        <v>3</v>
      </c>
      <c r="H111">
        <f>IF('Uncleaned Data'!H111="","",'Uncleaned Data'!H111)</f>
        <v>9069.35</v>
      </c>
      <c r="I111">
        <f t="shared" si="3"/>
        <v>27208.050000000003</v>
      </c>
    </row>
    <row r="112" spans="1:9" x14ac:dyDescent="0.35">
      <c r="A112" t="s">
        <v>167</v>
      </c>
      <c r="B112" s="2">
        <v>46040</v>
      </c>
      <c r="C112" t="str">
        <f>IF('Uncleaned Data'!C112="","Unknown",PROPER(TRIM(CLEAN(SUBSTITUTE('Uncleaned Data'!C112,CHAR(160)," ")))))</f>
        <v>Priya Reddy</v>
      </c>
      <c r="D112" t="str">
        <f>IF('Uncleaned Data'!D112="","Unknown",PROPER(TRIM(CLEAN(SUBSTITUTE('Uncleaned Data'!D112,CHAR(160)," ")))))</f>
        <v>Laptop</v>
      </c>
      <c r="E112" t="str">
        <f>IF('Uncleaned Data'!E112="","Unknown",PROPER(TRIM(CLEAN(SUBSTITUTE('Uncleaned Data'!E112,CHAR(160)," ")))))</f>
        <v>Electronics</v>
      </c>
      <c r="F112" t="str">
        <f>IF('Uncleaned Data'!F112="","Unknown",PROPER(TRIM(CLEAN(SUBSTITUTE('Uncleaned Data'!F112,CHAR(160)," ")))))</f>
        <v>North</v>
      </c>
      <c r="G112">
        <f>IF('Uncleaned Data'!G112="","",IF('Uncleaned Data'!G112&lt;=0,"", 'Uncleaned Data'!G112))</f>
        <v>999</v>
      </c>
      <c r="H112">
        <f>IF('Uncleaned Data'!H112="","",'Uncleaned Data'!H112)</f>
        <v>51966.44</v>
      </c>
      <c r="I112">
        <f t="shared" si="3"/>
        <v>51914473.560000002</v>
      </c>
    </row>
    <row r="113" spans="1:9" x14ac:dyDescent="0.35">
      <c r="A113" t="s">
        <v>168</v>
      </c>
      <c r="B113" s="2">
        <v>46182</v>
      </c>
      <c r="C113" t="str">
        <f>IF('Uncleaned Data'!C113="","Unknown",PROPER(TRIM(CLEAN(SUBSTITUTE('Uncleaned Data'!C113,CHAR(160)," ")))))</f>
        <v>Vikram Singh</v>
      </c>
      <c r="D113" t="str">
        <f>IF('Uncleaned Data'!D113="","Unknown",PROPER(TRIM(CLEAN(SUBSTITUTE('Uncleaned Data'!D113,CHAR(160)," ")))))</f>
        <v>Monitor</v>
      </c>
      <c r="E113" t="str">
        <f>IF('Uncleaned Data'!E113="","Unknown",PROPER(TRIM(CLEAN(SUBSTITUTE('Uncleaned Data'!E113,CHAR(160)," ")))))</f>
        <v>Electronics</v>
      </c>
      <c r="F113" t="str">
        <f>IF('Uncleaned Data'!F113="","Unknown",PROPER(TRIM(CLEAN(SUBSTITUTE('Uncleaned Data'!F113,CHAR(160)," ")))))</f>
        <v>South</v>
      </c>
      <c r="G113">
        <f>IF('Uncleaned Data'!G113="","",IF('Uncleaned Data'!G113&lt;=0,"", 'Uncleaned Data'!G113))</f>
        <v>2</v>
      </c>
      <c r="H113">
        <f>IF('Uncleaned Data'!H113="","",'Uncleaned Data'!H113)</f>
        <v>16017.69</v>
      </c>
      <c r="I113">
        <f t="shared" si="3"/>
        <v>32035.38</v>
      </c>
    </row>
    <row r="114" spans="1:9" x14ac:dyDescent="0.35">
      <c r="A114" t="s">
        <v>169</v>
      </c>
      <c r="B114" s="2">
        <v>46167</v>
      </c>
      <c r="C114" t="str">
        <f>IF('Uncleaned Data'!C114="","Unknown",PROPER(TRIM(CLEAN(SUBSTITUTE('Uncleaned Data'!C114,CHAR(160)," ")))))</f>
        <v>Kiran Das</v>
      </c>
      <c r="D114" t="str">
        <f>IF('Uncleaned Data'!D114="","Unknown",PROPER(TRIM(CLEAN(SUBSTITUTE('Uncleaned Data'!D114,CHAR(160)," ")))))</f>
        <v>Headphones</v>
      </c>
      <c r="E114" t="str">
        <f>IF('Uncleaned Data'!E114="","Unknown",PROPER(TRIM(CLEAN(SUBSTITUTE('Uncleaned Data'!E114,CHAR(160)," ")))))</f>
        <v>Electronics</v>
      </c>
      <c r="F114" t="str">
        <f>IF('Uncleaned Data'!F114="","Unknown",PROPER(TRIM(CLEAN(SUBSTITUTE('Uncleaned Data'!F114,CHAR(160)," ")))))</f>
        <v>West</v>
      </c>
      <c r="G114">
        <f>IF('Uncleaned Data'!G114="","",IF('Uncleaned Data'!G114&lt;=0,"", 'Uncleaned Data'!G114))</f>
        <v>4</v>
      </c>
      <c r="H114">
        <f>IF('Uncleaned Data'!H114="","",'Uncleaned Data'!H114)</f>
        <v>2584.73</v>
      </c>
      <c r="I114">
        <f t="shared" si="3"/>
        <v>10338.92</v>
      </c>
    </row>
    <row r="115" spans="1:9" x14ac:dyDescent="0.35">
      <c r="A115" t="s">
        <v>170</v>
      </c>
      <c r="B115" s="2">
        <v>46178</v>
      </c>
      <c r="C115" t="str">
        <f>IF('Uncleaned Data'!C115="","Unknown",PROPER(TRIM(CLEAN(SUBSTITUTE('Uncleaned Data'!C115,CHAR(160)," ")))))</f>
        <v>Sneha Patel</v>
      </c>
      <c r="D115" t="str">
        <f>IF('Uncleaned Data'!D115="","Unknown",PROPER(TRIM(CLEAN(SUBSTITUTE('Uncleaned Data'!D115,CHAR(160)," ")))))</f>
        <v>Keyboard</v>
      </c>
      <c r="E115" t="str">
        <f>IF('Uncleaned Data'!E115="","Unknown",PROPER(TRIM(CLEAN(SUBSTITUTE('Uncleaned Data'!E115,CHAR(160)," ")))))</f>
        <v>Accessories</v>
      </c>
      <c r="F115" t="str">
        <f>IF('Uncleaned Data'!F115="","Unknown",PROPER(TRIM(CLEAN(SUBSTITUTE('Uncleaned Data'!F115,CHAR(160)," ")))))</f>
        <v>South</v>
      </c>
      <c r="G115">
        <f>IF('Uncleaned Data'!G115="","",IF('Uncleaned Data'!G115&lt;=0,"", 'Uncleaned Data'!G115))</f>
        <v>3</v>
      </c>
      <c r="H115">
        <f>IF('Uncleaned Data'!H115="","",'Uncleaned Data'!H115)</f>
        <v>1680.4</v>
      </c>
      <c r="I115">
        <f t="shared" si="3"/>
        <v>5041.2000000000007</v>
      </c>
    </row>
    <row r="116" spans="1:9" x14ac:dyDescent="0.35">
      <c r="A116" t="s">
        <v>171</v>
      </c>
      <c r="B116" s="2">
        <v>46260</v>
      </c>
      <c r="C116" t="str">
        <f>IF('Uncleaned Data'!C116="","Unknown",PROPER(TRIM(CLEAN(SUBSTITUTE('Uncleaned Data'!C116,CHAR(160)," ")))))</f>
        <v>Neha Gupta</v>
      </c>
      <c r="D116" t="str">
        <f>IF('Uncleaned Data'!D116="","Unknown",PROPER(TRIM(CLEAN(SUBSTITUTE('Uncleaned Data'!D116,CHAR(160)," ")))))</f>
        <v>Keyboard</v>
      </c>
      <c r="E116" t="str">
        <f>IF('Uncleaned Data'!E116="","Unknown",PROPER(TRIM(CLEAN(SUBSTITUTE('Uncleaned Data'!E116,CHAR(160)," ")))))</f>
        <v>Accessories</v>
      </c>
      <c r="F116" t="str">
        <f>IF('Uncleaned Data'!F116="","Unknown",PROPER(TRIM(CLEAN(SUBSTITUTE('Uncleaned Data'!F116,CHAR(160)," ")))))</f>
        <v>Central</v>
      </c>
      <c r="G116">
        <f>IF('Uncleaned Data'!G116="","",IF('Uncleaned Data'!G116&lt;=0,"", 'Uncleaned Data'!G116))</f>
        <v>1</v>
      </c>
      <c r="H116">
        <f>IF('Uncleaned Data'!H116="","",'Uncleaned Data'!H116)</f>
        <v>1828.33</v>
      </c>
      <c r="I116">
        <f t="shared" si="3"/>
        <v>1828.33</v>
      </c>
    </row>
    <row r="117" spans="1:9" x14ac:dyDescent="0.35">
      <c r="A117" t="s">
        <v>172</v>
      </c>
      <c r="B117" s="2">
        <v>46073</v>
      </c>
      <c r="C117" t="str">
        <f>IF('Uncleaned Data'!C117="","Unknown",PROPER(TRIM(CLEAN(SUBSTITUTE('Uncleaned Data'!C117,CHAR(160)," ")))))</f>
        <v>Arjun Kumar</v>
      </c>
      <c r="D117" t="str">
        <f>IF('Uncleaned Data'!D117="","Unknown",PROPER(TRIM(CLEAN(SUBSTITUTE('Uncleaned Data'!D117,CHAR(160)," ")))))</f>
        <v>Office Chair</v>
      </c>
      <c r="E117" t="str">
        <f>IF('Uncleaned Data'!E117="","Unknown",PROPER(TRIM(CLEAN(SUBSTITUTE('Uncleaned Data'!E117,CHAR(160)," ")))))</f>
        <v>Furniture</v>
      </c>
      <c r="F117" t="str">
        <f>IF('Uncleaned Data'!F117="","Unknown",PROPER(TRIM(CLEAN(SUBSTITUTE('Uncleaned Data'!F117,CHAR(160)," ")))))</f>
        <v>Central</v>
      </c>
      <c r="G117">
        <f>IF('Uncleaned Data'!G117="","",IF('Uncleaned Data'!G117&lt;=0,"", 'Uncleaned Data'!G117))</f>
        <v>4</v>
      </c>
      <c r="H117">
        <f>IF('Uncleaned Data'!H117="","",'Uncleaned Data'!H117)</f>
        <v>9250.5</v>
      </c>
      <c r="I117">
        <f t="shared" si="3"/>
        <v>37002</v>
      </c>
    </row>
    <row r="118" spans="1:9" x14ac:dyDescent="0.35">
      <c r="A118" t="s">
        <v>173</v>
      </c>
      <c r="B118" s="2">
        <v>46100</v>
      </c>
      <c r="C118" t="str">
        <f>IF('Uncleaned Data'!C118="","Unknown",PROPER(TRIM(CLEAN(SUBSTITUTE('Uncleaned Data'!C118,CHAR(160)," ")))))</f>
        <v>Lakshmi Devi</v>
      </c>
      <c r="D118" t="str">
        <f>IF('Uncleaned Data'!D118="","Unknown",PROPER(TRIM(CLEAN(SUBSTITUTE('Uncleaned Data'!D118,CHAR(160)," ")))))</f>
        <v>Monitor</v>
      </c>
      <c r="E118" t="str">
        <f>IF('Uncleaned Data'!E118="","Unknown",PROPER(TRIM(CLEAN(SUBSTITUTE('Uncleaned Data'!E118,CHAR(160)," ")))))</f>
        <v>Electronics</v>
      </c>
      <c r="F118" t="str">
        <f>IF('Uncleaned Data'!F118="","Unknown",PROPER(TRIM(CLEAN(SUBSTITUTE('Uncleaned Data'!F118,CHAR(160)," ")))))</f>
        <v>North</v>
      </c>
      <c r="G118">
        <f>IF('Uncleaned Data'!G118="","",IF('Uncleaned Data'!G118&lt;=0,"", 'Uncleaned Data'!G118))</f>
        <v>1</v>
      </c>
      <c r="H118">
        <f>IF('Uncleaned Data'!H118="","",'Uncleaned Data'!H118)</f>
        <v>15591.58</v>
      </c>
      <c r="I118">
        <f t="shared" si="3"/>
        <v>15591.58</v>
      </c>
    </row>
    <row r="119" spans="1:9" x14ac:dyDescent="0.35">
      <c r="A119" t="s">
        <v>174</v>
      </c>
      <c r="B119" s="2">
        <v>46132</v>
      </c>
      <c r="C119" t="str">
        <f>IF('Uncleaned Data'!C119="","Unknown",PROPER(TRIM(CLEAN(SUBSTITUTE('Uncleaned Data'!C119,CHAR(160)," ")))))</f>
        <v>Pooja Iyer</v>
      </c>
      <c r="D119" t="str">
        <f>IF('Uncleaned Data'!D119="","Unknown",PROPER(TRIM(CLEAN(SUBSTITUTE('Uncleaned Data'!D119,CHAR(160)," ")))))</f>
        <v>Printer</v>
      </c>
      <c r="E119" t="str">
        <f>IF('Uncleaned Data'!E119="","Unknown",PROPER(TRIM(CLEAN(SUBSTITUTE('Uncleaned Data'!E119,CHAR(160)," ")))))</f>
        <v>Electronics</v>
      </c>
      <c r="F119" t="str">
        <f>IF('Uncleaned Data'!F119="","Unknown",PROPER(TRIM(CLEAN(SUBSTITUTE('Uncleaned Data'!F119,CHAR(160)," ")))))</f>
        <v>North</v>
      </c>
      <c r="G119">
        <f>IF('Uncleaned Data'!G119="","",IF('Uncleaned Data'!G119&lt;=0,"", 'Uncleaned Data'!G119))</f>
        <v>1</v>
      </c>
      <c r="H119">
        <f>IF('Uncleaned Data'!H119="","",'Uncleaned Data'!H119)</f>
        <v>11633.29</v>
      </c>
      <c r="I119">
        <f t="shared" si="3"/>
        <v>11633.29</v>
      </c>
    </row>
    <row r="120" spans="1:9" x14ac:dyDescent="0.35">
      <c r="A120" t="s">
        <v>175</v>
      </c>
      <c r="B120" s="2">
        <v>46130</v>
      </c>
      <c r="C120" t="str">
        <f>IF('Uncleaned Data'!C120="","Unknown",PROPER(TRIM(CLEAN(SUBSTITUTE('Uncleaned Data'!C120,CHAR(160)," ")))))</f>
        <v>Kavya Rao</v>
      </c>
      <c r="D120" t="str">
        <f>IF('Uncleaned Data'!D120="","Unknown",PROPER(TRIM(CLEAN(SUBSTITUTE('Uncleaned Data'!D120,CHAR(160)," ")))))</f>
        <v>Backpack</v>
      </c>
      <c r="E120" t="str">
        <f>IF('Uncleaned Data'!E120="","Unknown",PROPER(TRIM(CLEAN(SUBSTITUTE('Uncleaned Data'!E120,CHAR(160)," ")))))</f>
        <v>Accessories</v>
      </c>
      <c r="F120" t="str">
        <f>IF('Uncleaned Data'!F120="","Unknown",PROPER(TRIM(CLEAN(SUBSTITUTE('Uncleaned Data'!F120,CHAR(160)," ")))))</f>
        <v>North</v>
      </c>
      <c r="G120">
        <f>IF('Uncleaned Data'!G120="","",IF('Uncleaned Data'!G120&lt;=0,"", 'Uncleaned Data'!G120))</f>
        <v>3</v>
      </c>
      <c r="H120">
        <f>IF('Uncleaned Data'!H120="","",'Uncleaned Data'!H120)</f>
        <v>1985.57</v>
      </c>
      <c r="I120">
        <f t="shared" si="3"/>
        <v>5956.71</v>
      </c>
    </row>
    <row r="121" spans="1:9" x14ac:dyDescent="0.35">
      <c r="A121" t="s">
        <v>176</v>
      </c>
      <c r="B121" s="2">
        <v>46235</v>
      </c>
      <c r="C121" t="str">
        <f>IF('Uncleaned Data'!C121="","Unknown",PROPER(TRIM(CLEAN(SUBSTITUTE('Uncleaned Data'!C121,CHAR(160)," ")))))</f>
        <v>Manoj Reddy</v>
      </c>
      <c r="D121" t="str">
        <f>IF('Uncleaned Data'!D121="","Unknown",PROPER(TRIM(CLEAN(SUBSTITUTE('Uncleaned Data'!D121,CHAR(160)," ")))))</f>
        <v>Office Chair</v>
      </c>
      <c r="E121" t="str">
        <f>IF('Uncleaned Data'!E121="","Unknown",PROPER(TRIM(CLEAN(SUBSTITUTE('Uncleaned Data'!E121,CHAR(160)," ")))))</f>
        <v>Furniture</v>
      </c>
      <c r="F121" t="str">
        <f>IF('Uncleaned Data'!F121="","Unknown",PROPER(TRIM(CLEAN(SUBSTITUTE('Uncleaned Data'!F121,CHAR(160)," ")))))</f>
        <v>South</v>
      </c>
      <c r="G121">
        <f>IF('Uncleaned Data'!G121="","",IF('Uncleaned Data'!G121&lt;=0,"", 'Uncleaned Data'!G121))</f>
        <v>3</v>
      </c>
      <c r="H121">
        <f>IF('Uncleaned Data'!H121="","",'Uncleaned Data'!H121)</f>
        <v>8730.49</v>
      </c>
      <c r="I121">
        <f t="shared" si="3"/>
        <v>26191.47</v>
      </c>
    </row>
  </sheetData>
  <conditionalFormatting sqref="A1:A1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</vt:lpstr>
      <vt:lpstr>Uncleaned Data</vt:lpstr>
      <vt:lpstr> Actions Rquired</vt:lpstr>
      <vt:lpstr>Data Cleaning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dcterms:created xsi:type="dcterms:W3CDTF">2026-09-03T04:29:40Z</dcterms:created>
  <dcterms:modified xsi:type="dcterms:W3CDTF">2026-09-03T12:17:11Z</dcterms:modified>
</cp:coreProperties>
</file>