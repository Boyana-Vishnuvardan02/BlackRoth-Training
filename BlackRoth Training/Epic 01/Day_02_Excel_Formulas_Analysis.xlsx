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T Computers\Documents\"/>
    </mc:Choice>
  </mc:AlternateContent>
  <xr:revisionPtr revIDLastSave="0" documentId="13_ncr:1_{93E0DFFA-3164-401C-B4BD-D8726CEDAC39}" xr6:coauthVersionLast="47" xr6:coauthVersionMax="47" xr10:uidLastSave="{00000000-0000-0000-0000-000000000000}"/>
  <bookViews>
    <workbookView xWindow="-110" yWindow="-110" windowWidth="19420" windowHeight="10300" activeTab="4" xr2:uid="{8986A0F0-CC57-4DBD-9FA6-FC1A7992FAAD}"/>
  </bookViews>
  <sheets>
    <sheet name="Sales Data" sheetId="1" r:id="rId1"/>
    <sheet name="Basic Formulas &amp; Calculations" sheetId="2" r:id="rId2"/>
    <sheet name="Conditional Formulas" sheetId="3" r:id="rId3"/>
    <sheet name="Revenue Calculations" sheetId="4" r:id="rId4"/>
    <sheet name="Creating Profit&amp;Profit Margin  " sheetId="5" r:id="rId5"/>
    <sheet name="IF,NESTED IF,AND,OR" sheetId="6" r:id="rId6"/>
    <sheet name="Findings" sheetId="7" r:id="rId7"/>
  </sheets>
  <definedNames>
    <definedName name="_xlnm._FilterDatabase" localSheetId="0" hidden="1">'Sales Data'!$A$1:$J$121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7" l="1"/>
  <c r="C10" i="7"/>
  <c r="C9" i="7"/>
  <c r="C8" i="7"/>
  <c r="C7" i="7"/>
  <c r="C6" i="7"/>
  <c r="C5" i="7"/>
  <c r="C4" i="7"/>
  <c r="C3" i="7"/>
  <c r="C2" i="7"/>
  <c r="B7" i="6"/>
  <c r="B1" i="6"/>
  <c r="B3" i="6"/>
  <c r="B5" i="6"/>
  <c r="K5" i="5"/>
  <c r="L5" i="5" s="1"/>
  <c r="K12" i="5"/>
  <c r="L12" i="5" s="1"/>
  <c r="K17" i="5"/>
  <c r="L17" i="5" s="1"/>
  <c r="K21" i="5"/>
  <c r="L21" i="5" s="1"/>
  <c r="K28" i="5"/>
  <c r="L28" i="5" s="1"/>
  <c r="K33" i="5"/>
  <c r="L33" i="5" s="1"/>
  <c r="K37" i="5"/>
  <c r="L37" i="5" s="1"/>
  <c r="K44" i="5"/>
  <c r="L44" i="5" s="1"/>
  <c r="K49" i="5"/>
  <c r="L49" i="5" s="1"/>
  <c r="K53" i="5"/>
  <c r="L53" i="5" s="1"/>
  <c r="K60" i="5"/>
  <c r="L60" i="5" s="1"/>
  <c r="K65" i="5"/>
  <c r="L65" i="5" s="1"/>
  <c r="K69" i="5"/>
  <c r="L69" i="5" s="1"/>
  <c r="K76" i="5"/>
  <c r="K81" i="5"/>
  <c r="L81" i="5" s="1"/>
  <c r="K85" i="5"/>
  <c r="L85" i="5" s="1"/>
  <c r="K92" i="5"/>
  <c r="K97" i="5"/>
  <c r="L97" i="5" s="1"/>
  <c r="K101" i="5"/>
  <c r="L101" i="5" s="1"/>
  <c r="K105" i="5"/>
  <c r="L105" i="5" s="1"/>
  <c r="K113" i="5"/>
  <c r="L113" i="5" s="1"/>
  <c r="K117" i="5"/>
  <c r="L117" i="5" s="1"/>
  <c r="K121" i="5"/>
  <c r="L121" i="5" s="1"/>
  <c r="J121" i="5"/>
  <c r="J120" i="5"/>
  <c r="K120" i="5" s="1"/>
  <c r="J119" i="5"/>
  <c r="K119" i="5" s="1"/>
  <c r="J118" i="5"/>
  <c r="K118" i="5" s="1"/>
  <c r="J117" i="5"/>
  <c r="J116" i="5"/>
  <c r="K116" i="5" s="1"/>
  <c r="J115" i="5"/>
  <c r="K115" i="5" s="1"/>
  <c r="J114" i="5"/>
  <c r="K114" i="5" s="1"/>
  <c r="J113" i="5"/>
  <c r="J112" i="5"/>
  <c r="K112" i="5" s="1"/>
  <c r="J111" i="5"/>
  <c r="K111" i="5" s="1"/>
  <c r="J110" i="5"/>
  <c r="K110" i="5" s="1"/>
  <c r="J109" i="5"/>
  <c r="K109" i="5" s="1"/>
  <c r="L109" i="5" s="1"/>
  <c r="J108" i="5"/>
  <c r="K108" i="5" s="1"/>
  <c r="J107" i="5"/>
  <c r="K107" i="5" s="1"/>
  <c r="J106" i="5"/>
  <c r="K106" i="5" s="1"/>
  <c r="J105" i="5"/>
  <c r="J104" i="5"/>
  <c r="K104" i="5" s="1"/>
  <c r="J103" i="5"/>
  <c r="K103" i="5" s="1"/>
  <c r="J102" i="5"/>
  <c r="K102" i="5" s="1"/>
  <c r="J101" i="5"/>
  <c r="J100" i="5"/>
  <c r="K100" i="5" s="1"/>
  <c r="J99" i="5"/>
  <c r="K99" i="5" s="1"/>
  <c r="J98" i="5"/>
  <c r="K98" i="5" s="1"/>
  <c r="J97" i="5"/>
  <c r="J96" i="5"/>
  <c r="K96" i="5" s="1"/>
  <c r="J95" i="5"/>
  <c r="K95" i="5" s="1"/>
  <c r="J94" i="5"/>
  <c r="K94" i="5" s="1"/>
  <c r="J93" i="5"/>
  <c r="K93" i="5" s="1"/>
  <c r="J92" i="5"/>
  <c r="J91" i="5"/>
  <c r="K91" i="5" s="1"/>
  <c r="J90" i="5"/>
  <c r="K90" i="5" s="1"/>
  <c r="J89" i="5"/>
  <c r="K89" i="5" s="1"/>
  <c r="J88" i="5"/>
  <c r="K88" i="5" s="1"/>
  <c r="J87" i="5"/>
  <c r="K87" i="5" s="1"/>
  <c r="J86" i="5"/>
  <c r="K86" i="5" s="1"/>
  <c r="J85" i="5"/>
  <c r="J84" i="5"/>
  <c r="K84" i="5" s="1"/>
  <c r="J83" i="5"/>
  <c r="K83" i="5" s="1"/>
  <c r="J82" i="5"/>
  <c r="K82" i="5" s="1"/>
  <c r="J81" i="5"/>
  <c r="J80" i="5"/>
  <c r="K80" i="5" s="1"/>
  <c r="J79" i="5"/>
  <c r="K79" i="5" s="1"/>
  <c r="J78" i="5"/>
  <c r="K78" i="5" s="1"/>
  <c r="J77" i="5"/>
  <c r="K77" i="5" s="1"/>
  <c r="J76" i="5"/>
  <c r="J75" i="5"/>
  <c r="K75" i="5" s="1"/>
  <c r="J74" i="5"/>
  <c r="K74" i="5" s="1"/>
  <c r="J73" i="5"/>
  <c r="K73" i="5" s="1"/>
  <c r="J72" i="5"/>
  <c r="K72" i="5" s="1"/>
  <c r="J71" i="5"/>
  <c r="K71" i="5" s="1"/>
  <c r="J70" i="5"/>
  <c r="K70" i="5" s="1"/>
  <c r="J69" i="5"/>
  <c r="J68" i="5"/>
  <c r="K68" i="5" s="1"/>
  <c r="J67" i="5"/>
  <c r="K67" i="5" s="1"/>
  <c r="J66" i="5"/>
  <c r="K66" i="5" s="1"/>
  <c r="J65" i="5"/>
  <c r="J64" i="5"/>
  <c r="K64" i="5" s="1"/>
  <c r="L64" i="5" s="1"/>
  <c r="J63" i="5"/>
  <c r="K63" i="5" s="1"/>
  <c r="J62" i="5"/>
  <c r="K62" i="5" s="1"/>
  <c r="J61" i="5"/>
  <c r="K61" i="5" s="1"/>
  <c r="J60" i="5"/>
  <c r="J59" i="5"/>
  <c r="K59" i="5" s="1"/>
  <c r="J58" i="5"/>
  <c r="K58" i="5" s="1"/>
  <c r="J57" i="5"/>
  <c r="K57" i="5" s="1"/>
  <c r="J56" i="5"/>
  <c r="K56" i="5" s="1"/>
  <c r="J55" i="5"/>
  <c r="K55" i="5" s="1"/>
  <c r="J54" i="5"/>
  <c r="K54" i="5" s="1"/>
  <c r="J53" i="5"/>
  <c r="J52" i="5"/>
  <c r="K52" i="5" s="1"/>
  <c r="J51" i="5"/>
  <c r="K51" i="5" s="1"/>
  <c r="J50" i="5"/>
  <c r="K50" i="5" s="1"/>
  <c r="J49" i="5"/>
  <c r="J48" i="5"/>
  <c r="K48" i="5" s="1"/>
  <c r="L48" i="5" s="1"/>
  <c r="J47" i="5"/>
  <c r="K47" i="5" s="1"/>
  <c r="J46" i="5"/>
  <c r="K46" i="5" s="1"/>
  <c r="J45" i="5"/>
  <c r="K45" i="5" s="1"/>
  <c r="J44" i="5"/>
  <c r="J43" i="5"/>
  <c r="K43" i="5" s="1"/>
  <c r="J42" i="5"/>
  <c r="K42" i="5" s="1"/>
  <c r="J41" i="5"/>
  <c r="K41" i="5" s="1"/>
  <c r="J40" i="5"/>
  <c r="K40" i="5" s="1"/>
  <c r="J39" i="5"/>
  <c r="K39" i="5" s="1"/>
  <c r="J38" i="5"/>
  <c r="K38" i="5" s="1"/>
  <c r="J37" i="5"/>
  <c r="J36" i="5"/>
  <c r="K36" i="5" s="1"/>
  <c r="J35" i="5"/>
  <c r="K35" i="5" s="1"/>
  <c r="J34" i="5"/>
  <c r="K34" i="5" s="1"/>
  <c r="J33" i="5"/>
  <c r="J32" i="5"/>
  <c r="K32" i="5" s="1"/>
  <c r="L32" i="5" s="1"/>
  <c r="J31" i="5"/>
  <c r="K31" i="5" s="1"/>
  <c r="J30" i="5"/>
  <c r="K30" i="5" s="1"/>
  <c r="J29" i="5"/>
  <c r="K29" i="5" s="1"/>
  <c r="J28" i="5"/>
  <c r="J27" i="5"/>
  <c r="K27" i="5" s="1"/>
  <c r="J26" i="5"/>
  <c r="K26" i="5" s="1"/>
  <c r="J25" i="5"/>
  <c r="K25" i="5" s="1"/>
  <c r="J24" i="5"/>
  <c r="K24" i="5" s="1"/>
  <c r="J23" i="5"/>
  <c r="K23" i="5" s="1"/>
  <c r="J22" i="5"/>
  <c r="K22" i="5" s="1"/>
  <c r="J21" i="5"/>
  <c r="J20" i="5"/>
  <c r="K20" i="5" s="1"/>
  <c r="J19" i="5"/>
  <c r="K19" i="5" s="1"/>
  <c r="J18" i="5"/>
  <c r="K18" i="5" s="1"/>
  <c r="J17" i="5"/>
  <c r="J16" i="5"/>
  <c r="K16" i="5" s="1"/>
  <c r="L16" i="5" s="1"/>
  <c r="J15" i="5"/>
  <c r="K15" i="5" s="1"/>
  <c r="J14" i="5"/>
  <c r="K14" i="5" s="1"/>
  <c r="J13" i="5"/>
  <c r="K13" i="5" s="1"/>
  <c r="J12" i="5"/>
  <c r="J11" i="5"/>
  <c r="K11" i="5" s="1"/>
  <c r="J10" i="5"/>
  <c r="K10" i="5" s="1"/>
  <c r="J9" i="5"/>
  <c r="K9" i="5" s="1"/>
  <c r="J8" i="5"/>
  <c r="K8" i="5" s="1"/>
  <c r="J7" i="5"/>
  <c r="K7" i="5" s="1"/>
  <c r="J6" i="5"/>
  <c r="K6" i="5" s="1"/>
  <c r="J5" i="5"/>
  <c r="J4" i="5"/>
  <c r="K4" i="5" s="1"/>
  <c r="J3" i="5"/>
  <c r="K3" i="5" s="1"/>
  <c r="J2" i="5"/>
  <c r="K2" i="5" s="1"/>
  <c r="J5" i="4"/>
  <c r="J6" i="4"/>
  <c r="J7" i="4"/>
  <c r="J8" i="4"/>
  <c r="J4" i="4"/>
  <c r="I3" i="4" a="1"/>
  <c r="I3" i="4" s="1"/>
  <c r="F5" i="4"/>
  <c r="F6" i="4"/>
  <c r="F4" i="4"/>
  <c r="E3" i="4" a="1"/>
  <c r="E3" i="4" s="1"/>
  <c r="A3" i="4" a="1"/>
  <c r="A3" i="4" s="1"/>
  <c r="B21" i="3"/>
  <c r="B17" i="3"/>
  <c r="B13" i="3"/>
  <c r="B9" i="3"/>
  <c r="B6" i="3"/>
  <c r="B2" i="3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D17" i="2"/>
  <c r="C17" i="2"/>
  <c r="B17" i="2"/>
  <c r="D14" i="2"/>
  <c r="C14" i="2"/>
  <c r="B14" i="2"/>
  <c r="B8" i="2"/>
  <c r="B11" i="2"/>
  <c r="D5" i="2"/>
  <c r="C5" i="2"/>
  <c r="B5" i="2"/>
  <c r="D2" i="2"/>
  <c r="C2" i="2"/>
  <c r="B2" i="2"/>
  <c r="L9" i="5" l="1"/>
  <c r="L13" i="5"/>
  <c r="L25" i="5"/>
  <c r="L29" i="5"/>
  <c r="L41" i="5"/>
  <c r="L45" i="5"/>
  <c r="L57" i="5"/>
  <c r="L61" i="5"/>
  <c r="L73" i="5"/>
  <c r="L77" i="5"/>
  <c r="L89" i="5"/>
  <c r="L93" i="5"/>
  <c r="L2" i="5"/>
  <c r="L6" i="5"/>
  <c r="L10" i="5"/>
  <c r="L14" i="5"/>
  <c r="L18" i="5"/>
  <c r="L22" i="5"/>
  <c r="L30" i="5"/>
  <c r="L34" i="5"/>
  <c r="L38" i="5"/>
  <c r="L42" i="5"/>
  <c r="L46" i="5"/>
  <c r="L50" i="5"/>
  <c r="L54" i="5"/>
  <c r="L58" i="5"/>
  <c r="L62" i="5"/>
  <c r="L66" i="5"/>
  <c r="L70" i="5"/>
  <c r="L74" i="5"/>
  <c r="L78" i="5"/>
  <c r="L82" i="5"/>
  <c r="L86" i="5"/>
  <c r="L90" i="5"/>
  <c r="L94" i="5"/>
  <c r="L98" i="5"/>
  <c r="L102" i="5"/>
  <c r="L106" i="5"/>
  <c r="L110" i="5"/>
  <c r="L114" i="5"/>
  <c r="L118" i="5"/>
  <c r="L103" i="5"/>
  <c r="L107" i="5"/>
  <c r="L111" i="5"/>
  <c r="L115" i="5"/>
  <c r="L119" i="5"/>
  <c r="L26" i="5"/>
  <c r="L4" i="5"/>
  <c r="L8" i="5"/>
  <c r="L20" i="5"/>
  <c r="L24" i="5"/>
  <c r="L36" i="5"/>
  <c r="L40" i="5"/>
  <c r="L52" i="5"/>
  <c r="L56" i="5"/>
  <c r="L68" i="5"/>
  <c r="L72" i="5"/>
  <c r="L84" i="5"/>
  <c r="L88" i="5"/>
  <c r="L100" i="5"/>
  <c r="L104" i="5"/>
  <c r="L108" i="5"/>
  <c r="L112" i="5"/>
  <c r="L116" i="5"/>
  <c r="L120" i="5"/>
  <c r="L11" i="5"/>
  <c r="L23" i="5"/>
  <c r="L31" i="5"/>
  <c r="L39" i="5"/>
  <c r="L55" i="5"/>
  <c r="L67" i="5"/>
  <c r="L83" i="5"/>
  <c r="L95" i="5"/>
  <c r="L92" i="5"/>
  <c r="L76" i="5"/>
  <c r="L3" i="5"/>
  <c r="L7" i="5"/>
  <c r="L15" i="5"/>
  <c r="L19" i="5"/>
  <c r="L27" i="5"/>
  <c r="L35" i="5"/>
  <c r="L43" i="5"/>
  <c r="L47" i="5"/>
  <c r="L51" i="5"/>
  <c r="L59" i="5"/>
  <c r="L63" i="5"/>
  <c r="L71" i="5"/>
  <c r="L75" i="5"/>
  <c r="L79" i="5"/>
  <c r="L87" i="5"/>
  <c r="L91" i="5"/>
  <c r="L99" i="5"/>
  <c r="L96" i="5"/>
  <c r="L80" i="5"/>
  <c r="B12" i="4"/>
  <c r="B8" i="4"/>
  <c r="B11" i="4"/>
  <c r="B7" i="4"/>
  <c r="B4" i="4"/>
  <c r="B10" i="4"/>
  <c r="B6" i="4"/>
  <c r="B13" i="4"/>
  <c r="B9" i="4"/>
  <c r="B5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<sst xmlns="http://schemas.openxmlformats.org/spreadsheetml/2006/main" count="1280" uniqueCount="225">
  <si>
    <t>Order ID</t>
  </si>
  <si>
    <t>Order Date</t>
  </si>
  <si>
    <t>Customer Name</t>
  </si>
  <si>
    <t>Product</t>
  </si>
  <si>
    <t>Category</t>
  </si>
  <si>
    <t>Region</t>
  </si>
  <si>
    <t>Quantity</t>
  </si>
  <si>
    <t>Unit Price</t>
  </si>
  <si>
    <t>Revenue</t>
  </si>
  <si>
    <t>ORD0001</t>
  </si>
  <si>
    <t>Meena Joshi</t>
  </si>
  <si>
    <t>Smartphone</t>
  </si>
  <si>
    <t>Electronics</t>
  </si>
  <si>
    <t>South</t>
  </si>
  <si>
    <t>ORD0002</t>
  </si>
  <si>
    <t>Priya Reddy</t>
  </si>
  <si>
    <t>North</t>
  </si>
  <si>
    <t>ORD0003</t>
  </si>
  <si>
    <t>Rahul Sharma</t>
  </si>
  <si>
    <t>Central</t>
  </si>
  <si>
    <t>ORD0004</t>
  </si>
  <si>
    <t>Nikhil Jain</t>
  </si>
  <si>
    <t>Monitor</t>
  </si>
  <si>
    <t>East</t>
  </si>
  <si>
    <t>ORD0005</t>
  </si>
  <si>
    <t>Rohit Verma</t>
  </si>
  <si>
    <t>Laptop</t>
  </si>
  <si>
    <t>ORD0006</t>
  </si>
  <si>
    <t>Sneha Patel</t>
  </si>
  <si>
    <t>ORD0007</t>
  </si>
  <si>
    <t>Manoj Reddy</t>
  </si>
  <si>
    <t>Mouse</t>
  </si>
  <si>
    <t>Accessories</t>
  </si>
  <si>
    <t>ORD0008</t>
  </si>
  <si>
    <t>Lakshmi Devi</t>
  </si>
  <si>
    <t>ORD0009</t>
  </si>
  <si>
    <t>Printer</t>
  </si>
  <si>
    <t>ORD0010</t>
  </si>
  <si>
    <t>West</t>
  </si>
  <si>
    <t>ORD0011</t>
  </si>
  <si>
    <t>ORD0012</t>
  </si>
  <si>
    <t>Ananya Rao</t>
  </si>
  <si>
    <t>ORD0013</t>
  </si>
  <si>
    <t>Swathi Das</t>
  </si>
  <si>
    <t>Office Chair</t>
  </si>
  <si>
    <t>Furniture</t>
  </si>
  <si>
    <t>ORD0014</t>
  </si>
  <si>
    <t>Suresh Nair</t>
  </si>
  <si>
    <t>ORD0015</t>
  </si>
  <si>
    <t>Keyboard</t>
  </si>
  <si>
    <t>ORD0016</t>
  </si>
  <si>
    <t>ORD0017</t>
  </si>
  <si>
    <t>ORD0018</t>
  </si>
  <si>
    <t>Pooja Iyer</t>
  </si>
  <si>
    <t>ORD0019</t>
  </si>
  <si>
    <t>Headphones</t>
  </si>
  <si>
    <t>ORD0020</t>
  </si>
  <si>
    <t>ORD0021</t>
  </si>
  <si>
    <t>Ravi Kumar</t>
  </si>
  <si>
    <t>ORD0022</t>
  </si>
  <si>
    <t>Backpack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</si>
  <si>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</si>
  <si>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</si>
  <si>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</si>
  <si>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</si>
  <si>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</si>
  <si>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</si>
  <si>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</si>
  <si>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</si>
  <si>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</si>
  <si>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</si>
  <si>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Arjun Kumar</t>
  </si>
  <si>
    <t>ORD0033</t>
  </si>
  <si>
    <t>ORD0034</t>
  </si>
  <si>
    <t>ORD0035</t>
  </si>
  <si>
    <t>Kavya Rao</t>
  </si>
  <si>
    <t>ORD0036</t>
  </si>
  <si>
    <t>ORD0037</t>
  </si>
  <si>
    <t>Divya Menon</t>
  </si>
  <si>
    <t>Desk</t>
  </si>
  <si>
    <t>ORD0038</t>
  </si>
  <si>
    <t>ORD0039</t>
  </si>
  <si>
    <t>ORD0040</t>
  </si>
  <si>
    <t>ORD0041</t>
  </si>
  <si>
    <t>ORD0042</t>
  </si>
  <si>
    <t>ORD0043</t>
  </si>
  <si>
    <t>ORD0044</t>
  </si>
  <si>
    <t>Kiran Das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</si>
  <si>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</si>
  <si>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</si>
  <si>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</si>
  <si>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</si>
  <si>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</si>
  <si>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</si>
  <si>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</si>
  <si>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</si>
  <si>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</si>
  <si>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</si>
  <si>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</si>
  <si>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</si>
  <si>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</si>
  <si>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</si>
  <si>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</si>
  <si>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</si>
  <si>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</si>
  <si>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</si>
  <si>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Vikram Singh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</si>
  <si>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</si>
  <si>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</si>
  <si>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</si>
  <si>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</si>
  <si>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</si>
  <si>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</si>
  <si>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</si>
  <si>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</si>
  <si>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</si>
  <si>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</si>
  <si>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</si>
  <si>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</si>
  <si>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</si>
  <si>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</si>
  <si>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</si>
  <si>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Amit Shah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</si>
  <si>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</si>
  <si>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</si>
  <si>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</si>
  <si>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</si>
  <si>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</si>
  <si>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</si>
  <si>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</si>
  <si>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</si>
  <si>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</si>
  <si>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</si>
  <si>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</si>
  <si>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</si>
  <si>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</si>
  <si>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</si>
  <si>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</si>
  <si>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</si>
  <si>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</si>
  <si>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</si>
  <si>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</si>
  <si>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</si>
  <si>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Neha Gupta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</si>
  <si>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</si>
  <si>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</si>
  <si>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</si>
  <si>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</si>
  <si>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</si>
  <si>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</si>
  <si>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</si>
  <si>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</si>
  <si>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</si>
  <si>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</si>
  <si>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</si>
  <si>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</si>
  <si>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</si>
  <si>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</si>
  <si>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</si>
  <si>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</si>
  <si>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</si>
  <si>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</si>
  <si>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</si>
  <si>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</si>
  <si>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</si>
  <si>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</si>
  <si>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</si>
  <si>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Sum</t>
  </si>
  <si>
    <t>Total Quantity</t>
  </si>
  <si>
    <t>Total Unit Price</t>
  </si>
  <si>
    <t>Total Revenue</t>
  </si>
  <si>
    <t>Average</t>
  </si>
  <si>
    <t>Average Quantity</t>
  </si>
  <si>
    <t>Average Unit Price</t>
  </si>
  <si>
    <t>Average Revenue</t>
  </si>
  <si>
    <t>Count</t>
  </si>
  <si>
    <t>Total Orders</t>
  </si>
  <si>
    <t>CountA</t>
  </si>
  <si>
    <t>Customer Entries</t>
  </si>
  <si>
    <t>Max</t>
  </si>
  <si>
    <t>Max Quantity</t>
  </si>
  <si>
    <t>Max Unit Price</t>
  </si>
  <si>
    <t>Max Revenue</t>
  </si>
  <si>
    <t>Min</t>
  </si>
  <si>
    <t>Min Quantity</t>
  </si>
  <si>
    <t>Min Unit Price</t>
  </si>
  <si>
    <t>Min Revenue</t>
  </si>
  <si>
    <t>Cost</t>
  </si>
  <si>
    <t>Countif</t>
  </si>
  <si>
    <t>How many Electronics orders?</t>
  </si>
  <si>
    <t>Countifs</t>
  </si>
  <si>
    <t>How many Electronic orders in South Region</t>
  </si>
  <si>
    <t>Sumif</t>
  </si>
  <si>
    <t>Revenue from Electronics?</t>
  </si>
  <si>
    <t>Sumifs</t>
  </si>
  <si>
    <t>Revenue from South Electronics?</t>
  </si>
  <si>
    <t>Averageif</t>
  </si>
  <si>
    <t xml:space="preserve"> Average revenue from Electronics?</t>
  </si>
  <si>
    <t>Averageifs</t>
  </si>
  <si>
    <t>Average revenue from South Electronics?</t>
  </si>
  <si>
    <t>Revenue By Products</t>
  </si>
  <si>
    <t>Revenue By Category</t>
  </si>
  <si>
    <t>Revenue By Region</t>
  </si>
  <si>
    <t>Profit</t>
  </si>
  <si>
    <t>Profit Margin</t>
  </si>
  <si>
    <t>AND</t>
  </si>
  <si>
    <t xml:space="preserve">To check both conditions are true or not </t>
  </si>
  <si>
    <t>OR</t>
  </si>
  <si>
    <t>To check either one condition is true or not</t>
  </si>
  <si>
    <t>NESTEDIF</t>
  </si>
  <si>
    <t>Used when there is more then one condition</t>
  </si>
  <si>
    <t>IF</t>
  </si>
  <si>
    <t>Used when there is one condition</t>
  </si>
  <si>
    <t>The dataset contains 120 orders.</t>
  </si>
  <si>
    <t>Total quantity sold is 348 units.</t>
  </si>
  <si>
    <t>Average order value is 42,114.37.</t>
  </si>
  <si>
    <t>Minimum order value is 851.23.</t>
  </si>
  <si>
    <t>S.No.</t>
  </si>
  <si>
    <t>Findings</t>
  </si>
  <si>
    <t>The Total Proift is 12,63,431</t>
  </si>
  <si>
    <t>Total revenue is 50,53,724.54.</t>
  </si>
  <si>
    <t>Maximum order value is 2,77,965.70.</t>
  </si>
  <si>
    <t>Laptop generates the highest product revenue (17,14,537.95).</t>
  </si>
  <si>
    <t>Electronics generates the highest category revenue (41,42,688.14).</t>
  </si>
  <si>
    <t>East generates the highest regional revenue (11,77,426.33).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</si>
</sst>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2" fillId="3" borderId="0" xfId="2" applyFont="1"/>
    <xf numFmtId="164" fontId="0" fillId="0" borderId="0" xfId="0" applyNumberFormat="1"/>
    <xf numFmtId="2" fontId="0" fillId="0" borderId="0" xfId="0" applyNumberFormat="1"/>
    <xf numFmtId="0" fontId="2" fillId="2" borderId="0" xfId="1" applyFont="1"/>
    <xf numFmtId="10" fontId="0" fillId="0" borderId="0" xfId="0" applyNumberFormat="1"/>
  </cellXfs>
  <cellStyles count="3">
    <cellStyle name="Accent2" xfId="1" builtinId="33"/>
    <cellStyle name="Accent5" xfId="2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6118-2C0F-48CB-8359-42D5839BDFE1}">
  <dimension ref="A1:J121"/>
  <sheetViews>
    <sheetView workbookViewId="0">
      <selection activeCell="D1" sqref="D1:D1048576"/>
    </sheetView>
  </sheetViews>
  <sheetFormatPr defaultRowHeight="14.5" x14ac:dyDescent="0.35"/>
  <cols>
    <col min="1" max="1" width="12.26953125" style="3" bestFit="1" customWidth="1"/>
    <col min="2" max="2" width="15.08984375" bestFit="1" customWidth="1"/>
    <col min="3" max="3" width="20.54296875" bestFit="1" customWidth="1"/>
    <col min="4" max="4" width="11.54296875" customWidth="1"/>
    <col min="5" max="5" width="12.7265625" bestFit="1" customWidth="1"/>
    <col min="6" max="6" width="10.54296875" bestFit="1" customWidth="1"/>
    <col min="7" max="7" width="12.6328125" bestFit="1" customWidth="1"/>
    <col min="8" max="8" width="13.81640625" customWidth="1"/>
    <col min="9" max="9" width="12.453125" bestFit="1" customWidth="1"/>
    <col min="10" max="10" width="16" customWidth="1"/>
  </cols>
  <sheetData>
    <row r="1" spans="1:10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187</v>
      </c>
    </row>
    <row r="2" spans="1:10" x14ac:dyDescent="0.35">
      <c r="A2" s="3" t="s">
        <v>9</v>
      </c>
      <c r="B2" s="2">
        <v>46085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29352.68</v>
      </c>
      <c r="I2">
        <v>29352.68</v>
      </c>
      <c r="J2">
        <f t="shared" ref="J2:J65" si="0">I2*75%</f>
        <v>22014.510000000002</v>
      </c>
    </row>
    <row r="3" spans="1:10" x14ac:dyDescent="0.35">
      <c r="A3" s="3" t="s">
        <v>14</v>
      </c>
      <c r="B3" s="2">
        <v>46131</v>
      </c>
      <c r="C3" t="s">
        <v>15</v>
      </c>
      <c r="D3" t="s">
        <v>11</v>
      </c>
      <c r="E3" t="s">
        <v>12</v>
      </c>
      <c r="F3" t="s">
        <v>16</v>
      </c>
      <c r="G3">
        <v>5</v>
      </c>
      <c r="H3">
        <v>25686.86</v>
      </c>
      <c r="I3">
        <v>128434.3</v>
      </c>
      <c r="J3">
        <f t="shared" si="0"/>
        <v>96325.725000000006</v>
      </c>
    </row>
    <row r="4" spans="1:10" x14ac:dyDescent="0.35">
      <c r="A4" s="3" t="s">
        <v>17</v>
      </c>
      <c r="B4" s="2">
        <v>46177</v>
      </c>
      <c r="C4" t="s">
        <v>18</v>
      </c>
      <c r="D4" t="s">
        <v>11</v>
      </c>
      <c r="E4" t="s">
        <v>12</v>
      </c>
      <c r="F4" t="s">
        <v>19</v>
      </c>
      <c r="G4">
        <v>2</v>
      </c>
      <c r="H4">
        <v>26502.9</v>
      </c>
      <c r="I4">
        <v>53005.8</v>
      </c>
      <c r="J4">
        <f t="shared" si="0"/>
        <v>39754.350000000006</v>
      </c>
    </row>
    <row r="5" spans="1:10" x14ac:dyDescent="0.35">
      <c r="A5" s="3" t="s">
        <v>20</v>
      </c>
      <c r="B5" s="2">
        <v>46137</v>
      </c>
      <c r="C5" t="s">
        <v>21</v>
      </c>
      <c r="D5" t="s">
        <v>22</v>
      </c>
      <c r="E5" t="s">
        <v>12</v>
      </c>
      <c r="F5" t="s">
        <v>23</v>
      </c>
      <c r="G5">
        <v>5</v>
      </c>
      <c r="H5">
        <v>14758.56</v>
      </c>
      <c r="I5">
        <v>73792.800000000003</v>
      </c>
      <c r="J5">
        <f t="shared" si="0"/>
        <v>55344.600000000006</v>
      </c>
    </row>
    <row r="6" spans="1:10" x14ac:dyDescent="0.35">
      <c r="A6" s="3" t="s">
        <v>24</v>
      </c>
      <c r="B6" s="2">
        <v>46110</v>
      </c>
      <c r="C6" t="s">
        <v>25</v>
      </c>
      <c r="D6" t="s">
        <v>26</v>
      </c>
      <c r="E6" t="s">
        <v>12</v>
      </c>
      <c r="F6" t="s">
        <v>13</v>
      </c>
      <c r="G6">
        <v>2</v>
      </c>
      <c r="H6">
        <v>57179.53</v>
      </c>
      <c r="I6">
        <v>114359.06</v>
      </c>
      <c r="J6">
        <f t="shared" si="0"/>
        <v>85769.294999999998</v>
      </c>
    </row>
    <row r="7" spans="1:10" x14ac:dyDescent="0.35">
      <c r="A7" s="3" t="s">
        <v>27</v>
      </c>
      <c r="B7" s="2">
        <v>46120</v>
      </c>
      <c r="C7" t="s">
        <v>28</v>
      </c>
      <c r="D7" t="s">
        <v>22</v>
      </c>
      <c r="E7" t="s">
        <v>12</v>
      </c>
      <c r="F7" t="s">
        <v>23</v>
      </c>
      <c r="G7">
        <v>3</v>
      </c>
      <c r="H7">
        <v>13806.63</v>
      </c>
      <c r="I7">
        <v>41419.89</v>
      </c>
      <c r="J7">
        <f t="shared" si="0"/>
        <v>31064.9175</v>
      </c>
    </row>
    <row r="8" spans="1:10" x14ac:dyDescent="0.35">
      <c r="A8" s="3" t="s">
        <v>29</v>
      </c>
      <c r="B8" s="2">
        <v>46034</v>
      </c>
      <c r="C8" t="s">
        <v>30</v>
      </c>
      <c r="D8" t="s">
        <v>31</v>
      </c>
      <c r="E8" t="s">
        <v>32</v>
      </c>
      <c r="F8" t="s">
        <v>19</v>
      </c>
      <c r="G8">
        <v>5</v>
      </c>
      <c r="H8">
        <v>857.61</v>
      </c>
      <c r="I8">
        <v>4288.05</v>
      </c>
      <c r="J8">
        <f t="shared" si="0"/>
        <v>3216.0375000000004</v>
      </c>
    </row>
    <row r="9" spans="1:10" x14ac:dyDescent="0.35">
      <c r="A9" s="3" t="s">
        <v>33</v>
      </c>
      <c r="B9" s="2">
        <v>46098</v>
      </c>
      <c r="C9" t="s">
        <v>34</v>
      </c>
      <c r="D9" t="s">
        <v>11</v>
      </c>
      <c r="E9" t="s">
        <v>12</v>
      </c>
      <c r="F9" t="s">
        <v>23</v>
      </c>
      <c r="G9">
        <v>4</v>
      </c>
      <c r="H9">
        <v>25641.279999999999</v>
      </c>
      <c r="I9">
        <v>102565.12</v>
      </c>
      <c r="J9">
        <f t="shared" si="0"/>
        <v>76923.839999999997</v>
      </c>
    </row>
    <row r="10" spans="1:10" x14ac:dyDescent="0.35">
      <c r="A10" s="3" t="s">
        <v>35</v>
      </c>
      <c r="B10" s="2">
        <v>46034</v>
      </c>
      <c r="C10" t="s">
        <v>10</v>
      </c>
      <c r="D10" t="s">
        <v>36</v>
      </c>
      <c r="E10" t="s">
        <v>12</v>
      </c>
      <c r="F10" t="s">
        <v>23</v>
      </c>
      <c r="G10">
        <v>2</v>
      </c>
      <c r="H10">
        <v>12490.97</v>
      </c>
      <c r="I10">
        <v>24981.94</v>
      </c>
      <c r="J10">
        <f t="shared" si="0"/>
        <v>18736.454999999998</v>
      </c>
    </row>
    <row r="11" spans="1:10" x14ac:dyDescent="0.35">
      <c r="A11" s="3" t="s">
        <v>37</v>
      </c>
      <c r="B11" s="2">
        <v>46120</v>
      </c>
      <c r="C11" t="s">
        <v>25</v>
      </c>
      <c r="D11" t="s">
        <v>11</v>
      </c>
      <c r="E11" t="s">
        <v>12</v>
      </c>
      <c r="F11" t="s">
        <v>38</v>
      </c>
      <c r="G11">
        <v>2</v>
      </c>
      <c r="H11">
        <v>30052.31</v>
      </c>
      <c r="I11">
        <v>60104.62</v>
      </c>
      <c r="J11">
        <f t="shared" si="0"/>
        <v>45078.465000000004</v>
      </c>
    </row>
    <row r="12" spans="1:10" x14ac:dyDescent="0.35">
      <c r="A12" s="3" t="s">
        <v>39</v>
      </c>
      <c r="B12" s="2">
        <v>46076</v>
      </c>
      <c r="C12" t="s">
        <v>25</v>
      </c>
      <c r="D12" t="s">
        <v>31</v>
      </c>
      <c r="E12" t="s">
        <v>32</v>
      </c>
      <c r="F12" t="s">
        <v>16</v>
      </c>
      <c r="G12">
        <v>2</v>
      </c>
      <c r="H12">
        <v>876.63</v>
      </c>
      <c r="I12">
        <v>1753.26</v>
      </c>
      <c r="J12">
        <f t="shared" si="0"/>
        <v>1314.9449999999999</v>
      </c>
    </row>
    <row r="13" spans="1:10" x14ac:dyDescent="0.35">
      <c r="A13" s="3" t="s">
        <v>40</v>
      </c>
      <c r="B13" s="2">
        <v>46085</v>
      </c>
      <c r="C13" t="s">
        <v>41</v>
      </c>
      <c r="D13" t="s">
        <v>36</v>
      </c>
      <c r="E13" t="s">
        <v>12</v>
      </c>
      <c r="F13" t="s">
        <v>38</v>
      </c>
      <c r="G13">
        <v>2</v>
      </c>
      <c r="H13">
        <v>12081.94</v>
      </c>
      <c r="I13">
        <v>24163.88</v>
      </c>
      <c r="J13">
        <f t="shared" si="0"/>
        <v>18122.91</v>
      </c>
    </row>
    <row r="14" spans="1:10" x14ac:dyDescent="0.35">
      <c r="A14" s="3" t="s">
        <v>42</v>
      </c>
      <c r="B14" s="2">
        <v>46186</v>
      </c>
      <c r="C14" t="s">
        <v>43</v>
      </c>
      <c r="D14" t="s">
        <v>44</v>
      </c>
      <c r="E14" t="s">
        <v>45</v>
      </c>
      <c r="F14" t="s">
        <v>13</v>
      </c>
      <c r="G14">
        <v>3</v>
      </c>
      <c r="H14">
        <v>9332.19</v>
      </c>
      <c r="I14">
        <v>27996.57</v>
      </c>
      <c r="J14">
        <f t="shared" si="0"/>
        <v>20997.427499999998</v>
      </c>
    </row>
    <row r="15" spans="1:10" x14ac:dyDescent="0.35">
      <c r="A15" s="3" t="s">
        <v>46</v>
      </c>
      <c r="B15" s="2">
        <v>46031</v>
      </c>
      <c r="C15" t="s">
        <v>47</v>
      </c>
      <c r="D15" t="s">
        <v>31</v>
      </c>
      <c r="E15" t="s">
        <v>32</v>
      </c>
      <c r="F15" t="s">
        <v>38</v>
      </c>
      <c r="G15">
        <v>1</v>
      </c>
      <c r="H15">
        <v>851.23</v>
      </c>
      <c r="I15">
        <v>851.23</v>
      </c>
      <c r="J15">
        <f t="shared" si="0"/>
        <v>638.42250000000001</v>
      </c>
    </row>
    <row r="16" spans="1:10" x14ac:dyDescent="0.35">
      <c r="A16" s="3" t="s">
        <v>48</v>
      </c>
      <c r="B16" s="2">
        <v>46264</v>
      </c>
      <c r="C16" t="s">
        <v>21</v>
      </c>
      <c r="D16" t="s">
        <v>49</v>
      </c>
      <c r="E16" t="s">
        <v>32</v>
      </c>
      <c r="F16" t="s">
        <v>23</v>
      </c>
      <c r="G16">
        <v>1</v>
      </c>
      <c r="H16">
        <v>1695.95</v>
      </c>
      <c r="I16">
        <v>1695.95</v>
      </c>
      <c r="J16">
        <f t="shared" si="0"/>
        <v>1271.9625000000001</v>
      </c>
    </row>
    <row r="17" spans="1:10" x14ac:dyDescent="0.35">
      <c r="A17" s="3" t="s">
        <v>50</v>
      </c>
      <c r="B17" s="2">
        <v>46257</v>
      </c>
      <c r="C17" t="s">
        <v>30</v>
      </c>
      <c r="D17" t="s">
        <v>22</v>
      </c>
      <c r="E17" t="s">
        <v>12</v>
      </c>
      <c r="F17" t="s">
        <v>13</v>
      </c>
      <c r="G17">
        <v>4</v>
      </c>
      <c r="H17">
        <v>14686.9</v>
      </c>
      <c r="I17">
        <v>58747.6</v>
      </c>
      <c r="J17">
        <f t="shared" si="0"/>
        <v>44060.7</v>
      </c>
    </row>
    <row r="18" spans="1:10" x14ac:dyDescent="0.35">
      <c r="A18" s="3" t="s">
        <v>51</v>
      </c>
      <c r="B18" s="2">
        <v>46166</v>
      </c>
      <c r="C18" t="s">
        <v>43</v>
      </c>
      <c r="D18" t="s">
        <v>49</v>
      </c>
      <c r="E18" t="s">
        <v>32</v>
      </c>
      <c r="F18" t="s">
        <v>23</v>
      </c>
      <c r="G18">
        <v>2</v>
      </c>
      <c r="H18">
        <v>1708.79</v>
      </c>
      <c r="I18">
        <v>3417.58</v>
      </c>
      <c r="J18">
        <f t="shared" si="0"/>
        <v>2563.1849999999999</v>
      </c>
    </row>
    <row r="19" spans="1:10" x14ac:dyDescent="0.35">
      <c r="A19" s="3" t="s">
        <v>52</v>
      </c>
      <c r="B19" s="2">
        <v>46125</v>
      </c>
      <c r="C19" t="s">
        <v>53</v>
      </c>
      <c r="D19" t="s">
        <v>36</v>
      </c>
      <c r="E19" t="s">
        <v>12</v>
      </c>
      <c r="F19" t="s">
        <v>13</v>
      </c>
      <c r="G19">
        <v>4</v>
      </c>
      <c r="H19">
        <v>12954.77</v>
      </c>
      <c r="I19">
        <v>51819.08</v>
      </c>
      <c r="J19">
        <f t="shared" si="0"/>
        <v>38864.31</v>
      </c>
    </row>
    <row r="20" spans="1:10" x14ac:dyDescent="0.35">
      <c r="A20" s="3" t="s">
        <v>54</v>
      </c>
      <c r="B20" s="2">
        <v>46216</v>
      </c>
      <c r="C20" t="s">
        <v>15</v>
      </c>
      <c r="D20" t="s">
        <v>55</v>
      </c>
      <c r="E20" t="s">
        <v>12</v>
      </c>
      <c r="F20" t="s">
        <v>16</v>
      </c>
      <c r="G20">
        <v>5</v>
      </c>
      <c r="H20">
        <v>2496.7600000000002</v>
      </c>
      <c r="I20">
        <v>12483.8</v>
      </c>
      <c r="J20">
        <f t="shared" si="0"/>
        <v>9362.8499999999985</v>
      </c>
    </row>
    <row r="21" spans="1:10" x14ac:dyDescent="0.35">
      <c r="A21" s="3" t="s">
        <v>56</v>
      </c>
      <c r="B21" s="2">
        <v>46131</v>
      </c>
      <c r="C21" t="s">
        <v>34</v>
      </c>
      <c r="D21" t="s">
        <v>55</v>
      </c>
      <c r="E21" t="s">
        <v>12</v>
      </c>
      <c r="F21" t="s">
        <v>16</v>
      </c>
      <c r="G21">
        <v>2</v>
      </c>
      <c r="H21">
        <v>2646.04</v>
      </c>
      <c r="I21">
        <v>5292.08</v>
      </c>
      <c r="J21">
        <f t="shared" si="0"/>
        <v>3969.06</v>
      </c>
    </row>
    <row r="22" spans="1:10" x14ac:dyDescent="0.35">
      <c r="A22" s="3" t="s">
        <v>57</v>
      </c>
      <c r="B22" s="2">
        <v>46142</v>
      </c>
      <c r="C22" t="s">
        <v>58</v>
      </c>
      <c r="D22" t="s">
        <v>44</v>
      </c>
      <c r="E22" t="s">
        <v>45</v>
      </c>
      <c r="F22" t="s">
        <v>23</v>
      </c>
      <c r="G22">
        <v>4</v>
      </c>
      <c r="H22">
        <v>8663.01</v>
      </c>
      <c r="I22">
        <v>34652.04</v>
      </c>
      <c r="J22">
        <f t="shared" si="0"/>
        <v>25989.03</v>
      </c>
    </row>
    <row r="23" spans="1:10" x14ac:dyDescent="0.35">
      <c r="A23" s="3" t="s">
        <v>59</v>
      </c>
      <c r="B23" s="2">
        <v>46052</v>
      </c>
      <c r="C23" t="s">
        <v>43</v>
      </c>
      <c r="D23" t="s">
        <v>60</v>
      </c>
      <c r="E23" t="s">
        <v>32</v>
      </c>
      <c r="F23" t="s">
        <v>23</v>
      </c>
      <c r="G23">
        <v>1</v>
      </c>
      <c r="H23">
        <v>2279.3200000000002</v>
      </c>
      <c r="I23">
        <v>2279.3200000000002</v>
      </c>
      <c r="J23">
        <f t="shared" si="0"/>
        <v>1709.4900000000002</v>
      </c>
    </row>
    <row r="24" spans="1:10" x14ac:dyDescent="0.35">
      <c r="A24" s="3" t="s">
        <v>61</v>
      </c>
      <c r="B24" s="2">
        <v>46063</v>
      </c>
      <c r="C24" t="s">
        <v>30</v>
      </c>
      <c r="D24" t="s">
        <v>31</v>
      </c>
      <c r="E24" t="s">
        <v>32</v>
      </c>
      <c r="F24" t="s">
        <v>16</v>
      </c>
      <c r="G24">
        <v>1</v>
      </c>
      <c r="H24">
        <v>862.83</v>
      </c>
      <c r="I24">
        <v>862.83</v>
      </c>
      <c r="J24">
        <f t="shared" si="0"/>
        <v>647.12250000000006</v>
      </c>
    </row>
    <row r="25" spans="1:10" x14ac:dyDescent="0.35">
      <c r="A25" s="3" t="s">
        <v>62</v>
      </c>
      <c r="B25" s="2">
        <v>46152</v>
      </c>
      <c r="C25" t="s">
        <v>28</v>
      </c>
      <c r="D25" t="s">
        <v>49</v>
      </c>
      <c r="E25" t="s">
        <v>32</v>
      </c>
      <c r="F25" t="s">
        <v>23</v>
      </c>
      <c r="G25">
        <v>5</v>
      </c>
      <c r="H25">
        <v>1894.31</v>
      </c>
      <c r="I25">
        <v>9471.5499999999993</v>
      </c>
      <c r="J25">
        <f t="shared" si="0"/>
        <v>7103.6624999999995</v>
      </c>
    </row>
    <row r="26" spans="1:10" x14ac:dyDescent="0.35">
      <c r="A26" s="3" t="s">
        <v>63</v>
      </c>
      <c r="B26" s="2">
        <v>46118</v>
      </c>
      <c r="C26" t="s">
        <v>41</v>
      </c>
      <c r="D26" t="s">
        <v>60</v>
      </c>
      <c r="E26" t="s">
        <v>32</v>
      </c>
      <c r="F26" t="s">
        <v>19</v>
      </c>
      <c r="G26">
        <v>5</v>
      </c>
      <c r="H26">
        <v>2067.52</v>
      </c>
      <c r="I26">
        <v>10337.6</v>
      </c>
      <c r="J26">
        <f t="shared" si="0"/>
        <v>7753.2000000000007</v>
      </c>
    </row>
    <row r="27" spans="1:10" x14ac:dyDescent="0.35">
      <c r="A27" s="3" t="s">
        <v>64</v>
      </c>
      <c r="B27" s="2">
        <v>46148</v>
      </c>
      <c r="C27" t="s">
        <v>18</v>
      </c>
      <c r="D27" t="s">
        <v>60</v>
      </c>
      <c r="E27" t="s">
        <v>32</v>
      </c>
      <c r="F27" t="s">
        <v>16</v>
      </c>
      <c r="G27">
        <v>1</v>
      </c>
      <c r="H27">
        <v>2243.54</v>
      </c>
      <c r="I27">
        <v>2243.54</v>
      </c>
      <c r="J27">
        <f t="shared" si="0"/>
        <v>1682.655</v>
      </c>
    </row>
    <row r="28" spans="1:10" x14ac:dyDescent="0.35">
      <c r="A28" s="3" t="s">
        <v>65</v>
      </c>
      <c r="B28" s="2">
        <v>46084</v>
      </c>
      <c r="C28" t="s">
        <v>21</v>
      </c>
      <c r="D28" t="s">
        <v>31</v>
      </c>
      <c r="E28" t="s">
        <v>32</v>
      </c>
      <c r="F28" t="s">
        <v>16</v>
      </c>
      <c r="G28">
        <v>3</v>
      </c>
      <c r="H28">
        <v>853.1</v>
      </c>
      <c r="I28">
        <v>2559.3000000000002</v>
      </c>
      <c r="J28">
        <f t="shared" si="0"/>
        <v>1919.4750000000001</v>
      </c>
    </row>
    <row r="29" spans="1:10" x14ac:dyDescent="0.35">
      <c r="A29" s="3" t="s">
        <v>66</v>
      </c>
      <c r="B29" s="2">
        <v>46217</v>
      </c>
      <c r="C29" t="s">
        <v>43</v>
      </c>
      <c r="D29" t="s">
        <v>11</v>
      </c>
      <c r="E29" t="s">
        <v>12</v>
      </c>
      <c r="F29" t="s">
        <v>13</v>
      </c>
      <c r="G29">
        <v>4</v>
      </c>
      <c r="H29">
        <v>29769.73</v>
      </c>
      <c r="I29">
        <v>119078.92</v>
      </c>
      <c r="J29">
        <f t="shared" si="0"/>
        <v>89309.19</v>
      </c>
    </row>
    <row r="30" spans="1:10" x14ac:dyDescent="0.35">
      <c r="A30" s="3" t="s">
        <v>67</v>
      </c>
      <c r="B30" s="2">
        <v>46065</v>
      </c>
      <c r="C30" t="s">
        <v>25</v>
      </c>
      <c r="D30" t="s">
        <v>55</v>
      </c>
      <c r="E30" t="s">
        <v>12</v>
      </c>
      <c r="F30" t="s">
        <v>19</v>
      </c>
      <c r="G30">
        <v>4</v>
      </c>
      <c r="H30">
        <v>2723.42</v>
      </c>
      <c r="I30">
        <v>10893.68</v>
      </c>
      <c r="J30">
        <f t="shared" si="0"/>
        <v>8170.26</v>
      </c>
    </row>
    <row r="31" spans="1:10" x14ac:dyDescent="0.35">
      <c r="A31" s="3" t="s">
        <v>68</v>
      </c>
      <c r="B31" s="2">
        <v>46260</v>
      </c>
      <c r="C31" t="s">
        <v>43</v>
      </c>
      <c r="D31" t="s">
        <v>36</v>
      </c>
      <c r="E31" t="s">
        <v>12</v>
      </c>
      <c r="F31" t="s">
        <v>13</v>
      </c>
      <c r="G31">
        <v>4</v>
      </c>
      <c r="H31">
        <v>13114.47</v>
      </c>
      <c r="I31">
        <v>52457.88</v>
      </c>
      <c r="J31">
        <f t="shared" si="0"/>
        <v>39343.409999999996</v>
      </c>
    </row>
    <row r="32" spans="1:10" x14ac:dyDescent="0.35">
      <c r="A32" s="3" t="s">
        <v>69</v>
      </c>
      <c r="B32" s="2">
        <v>46189</v>
      </c>
      <c r="C32" t="s">
        <v>53</v>
      </c>
      <c r="D32" t="s">
        <v>49</v>
      </c>
      <c r="E32" t="s">
        <v>32</v>
      </c>
      <c r="F32" t="s">
        <v>38</v>
      </c>
      <c r="G32">
        <v>4</v>
      </c>
      <c r="H32">
        <v>1978.25</v>
      </c>
      <c r="I32">
        <v>7913</v>
      </c>
      <c r="J32">
        <f t="shared" si="0"/>
        <v>5934.75</v>
      </c>
    </row>
    <row r="33" spans="1:10" x14ac:dyDescent="0.35">
      <c r="A33" s="3" t="s">
        <v>70</v>
      </c>
      <c r="B33" s="2">
        <v>46080</v>
      </c>
      <c r="C33" t="s">
        <v>71</v>
      </c>
      <c r="D33" t="s">
        <v>60</v>
      </c>
      <c r="E33" t="s">
        <v>32</v>
      </c>
      <c r="F33" t="s">
        <v>23</v>
      </c>
      <c r="G33">
        <v>4</v>
      </c>
      <c r="H33">
        <v>2033.24</v>
      </c>
      <c r="I33">
        <v>8132.96</v>
      </c>
      <c r="J33">
        <f t="shared" si="0"/>
        <v>6099.72</v>
      </c>
    </row>
    <row r="34" spans="1:10" x14ac:dyDescent="0.35">
      <c r="A34" s="3" t="s">
        <v>72</v>
      </c>
      <c r="B34" s="2">
        <v>46173</v>
      </c>
      <c r="C34" t="s">
        <v>10</v>
      </c>
      <c r="D34" t="s">
        <v>26</v>
      </c>
      <c r="E34" t="s">
        <v>12</v>
      </c>
      <c r="F34" t="s">
        <v>16</v>
      </c>
      <c r="G34">
        <v>5</v>
      </c>
      <c r="H34">
        <v>55593.14</v>
      </c>
      <c r="I34">
        <v>277965.7</v>
      </c>
      <c r="J34">
        <f t="shared" si="0"/>
        <v>208474.27500000002</v>
      </c>
    </row>
    <row r="35" spans="1:10" x14ac:dyDescent="0.35">
      <c r="A35" s="3" t="s">
        <v>73</v>
      </c>
      <c r="B35" s="2">
        <v>46254</v>
      </c>
      <c r="C35" t="s">
        <v>15</v>
      </c>
      <c r="D35" t="s">
        <v>11</v>
      </c>
      <c r="E35" t="s">
        <v>12</v>
      </c>
      <c r="F35" t="s">
        <v>23</v>
      </c>
      <c r="G35">
        <v>1</v>
      </c>
      <c r="H35">
        <v>26482.07</v>
      </c>
      <c r="I35">
        <v>26482.07</v>
      </c>
      <c r="J35">
        <f t="shared" si="0"/>
        <v>19861.552499999998</v>
      </c>
    </row>
    <row r="36" spans="1:10" x14ac:dyDescent="0.35">
      <c r="A36" s="3" t="s">
        <v>74</v>
      </c>
      <c r="B36" s="2">
        <v>46194</v>
      </c>
      <c r="C36" t="s">
        <v>75</v>
      </c>
      <c r="D36" t="s">
        <v>11</v>
      </c>
      <c r="E36" t="s">
        <v>12</v>
      </c>
      <c r="F36" t="s">
        <v>13</v>
      </c>
      <c r="G36">
        <v>5</v>
      </c>
      <c r="H36">
        <v>26532.83</v>
      </c>
      <c r="I36">
        <v>132664.15</v>
      </c>
      <c r="J36">
        <f t="shared" si="0"/>
        <v>99498.112499999988</v>
      </c>
    </row>
    <row r="37" spans="1:10" x14ac:dyDescent="0.35">
      <c r="A37" s="3" t="s">
        <v>76</v>
      </c>
      <c r="B37" s="2">
        <v>46248</v>
      </c>
      <c r="C37" t="s">
        <v>21</v>
      </c>
      <c r="D37" t="s">
        <v>60</v>
      </c>
      <c r="E37" t="s">
        <v>32</v>
      </c>
      <c r="F37" t="s">
        <v>19</v>
      </c>
      <c r="G37">
        <v>2</v>
      </c>
      <c r="H37">
        <v>2298.2800000000002</v>
      </c>
      <c r="I37">
        <v>4596.5600000000004</v>
      </c>
      <c r="J37">
        <f t="shared" si="0"/>
        <v>3447.42</v>
      </c>
    </row>
    <row r="38" spans="1:10" x14ac:dyDescent="0.35">
      <c r="A38" s="3" t="s">
        <v>77</v>
      </c>
      <c r="B38" s="2">
        <v>46229</v>
      </c>
      <c r="C38" t="s">
        <v>78</v>
      </c>
      <c r="D38" t="s">
        <v>79</v>
      </c>
      <c r="E38" t="s">
        <v>45</v>
      </c>
      <c r="F38" t="s">
        <v>13</v>
      </c>
      <c r="G38">
        <v>2</v>
      </c>
      <c r="H38">
        <v>12683.09</v>
      </c>
      <c r="I38">
        <v>25366.18</v>
      </c>
      <c r="J38">
        <f t="shared" si="0"/>
        <v>19024.635000000002</v>
      </c>
    </row>
    <row r="39" spans="1:10" x14ac:dyDescent="0.35">
      <c r="A39" s="3" t="s">
        <v>80</v>
      </c>
      <c r="B39" s="2">
        <v>46113</v>
      </c>
      <c r="C39" t="s">
        <v>78</v>
      </c>
      <c r="D39" t="s">
        <v>11</v>
      </c>
      <c r="E39" t="s">
        <v>12</v>
      </c>
      <c r="F39" t="s">
        <v>38</v>
      </c>
      <c r="G39">
        <v>1</v>
      </c>
      <c r="H39">
        <v>28890.3</v>
      </c>
      <c r="I39">
        <v>28890.3</v>
      </c>
      <c r="J39">
        <f t="shared" si="0"/>
        <v>21667.724999999999</v>
      </c>
    </row>
    <row r="40" spans="1:10" x14ac:dyDescent="0.35">
      <c r="A40" s="3" t="s">
        <v>81</v>
      </c>
      <c r="B40" s="2">
        <v>46188</v>
      </c>
      <c r="C40" t="s">
        <v>28</v>
      </c>
      <c r="D40" t="s">
        <v>79</v>
      </c>
      <c r="E40" t="s">
        <v>45</v>
      </c>
      <c r="F40" t="s">
        <v>16</v>
      </c>
      <c r="G40">
        <v>1</v>
      </c>
      <c r="H40">
        <v>12416.07</v>
      </c>
      <c r="I40">
        <v>12416.07</v>
      </c>
      <c r="J40">
        <f t="shared" si="0"/>
        <v>9312.0524999999998</v>
      </c>
    </row>
    <row r="41" spans="1:10" x14ac:dyDescent="0.35">
      <c r="A41" s="3" t="s">
        <v>82</v>
      </c>
      <c r="B41" s="2">
        <v>46050</v>
      </c>
      <c r="C41" t="s">
        <v>10</v>
      </c>
      <c r="D41" t="s">
        <v>44</v>
      </c>
      <c r="E41" t="s">
        <v>45</v>
      </c>
      <c r="F41" t="s">
        <v>13</v>
      </c>
      <c r="G41">
        <v>3</v>
      </c>
      <c r="H41">
        <v>9011.01</v>
      </c>
      <c r="I41">
        <v>27033.03</v>
      </c>
      <c r="J41">
        <f t="shared" si="0"/>
        <v>20274.772499999999</v>
      </c>
    </row>
    <row r="42" spans="1:10" x14ac:dyDescent="0.35">
      <c r="A42" s="3" t="s">
        <v>83</v>
      </c>
      <c r="B42" s="2">
        <v>46131</v>
      </c>
      <c r="C42" t="s">
        <v>41</v>
      </c>
      <c r="D42" t="s">
        <v>22</v>
      </c>
      <c r="E42" t="s">
        <v>12</v>
      </c>
      <c r="F42" t="s">
        <v>23</v>
      </c>
      <c r="G42">
        <v>5</v>
      </c>
      <c r="H42">
        <v>14845.84</v>
      </c>
      <c r="I42">
        <v>74229.2</v>
      </c>
      <c r="J42">
        <f t="shared" si="0"/>
        <v>55671.899999999994</v>
      </c>
    </row>
    <row r="43" spans="1:10" x14ac:dyDescent="0.35">
      <c r="A43" s="3" t="s">
        <v>84</v>
      </c>
      <c r="B43" s="2">
        <v>46042</v>
      </c>
      <c r="C43" t="s">
        <v>30</v>
      </c>
      <c r="D43" t="s">
        <v>79</v>
      </c>
      <c r="E43" t="s">
        <v>45</v>
      </c>
      <c r="F43" t="s">
        <v>19</v>
      </c>
      <c r="G43">
        <v>2</v>
      </c>
      <c r="H43">
        <v>12898.77</v>
      </c>
      <c r="I43">
        <v>25797.54</v>
      </c>
      <c r="J43">
        <f t="shared" si="0"/>
        <v>19348.154999999999</v>
      </c>
    </row>
    <row r="44" spans="1:10" x14ac:dyDescent="0.35">
      <c r="A44" s="3" t="s">
        <v>85</v>
      </c>
      <c r="B44" s="2">
        <v>46161</v>
      </c>
      <c r="C44" t="s">
        <v>18</v>
      </c>
      <c r="D44" t="s">
        <v>11</v>
      </c>
      <c r="E44" t="s">
        <v>12</v>
      </c>
      <c r="F44" t="s">
        <v>16</v>
      </c>
      <c r="G44">
        <v>1</v>
      </c>
      <c r="H44">
        <v>28852.01</v>
      </c>
      <c r="I44">
        <v>28852.01</v>
      </c>
      <c r="J44">
        <f t="shared" si="0"/>
        <v>21639.0075</v>
      </c>
    </row>
    <row r="45" spans="1:10" x14ac:dyDescent="0.35">
      <c r="A45" s="3" t="s">
        <v>86</v>
      </c>
      <c r="B45" s="2">
        <v>46146</v>
      </c>
      <c r="C45" t="s">
        <v>87</v>
      </c>
      <c r="D45" t="s">
        <v>22</v>
      </c>
      <c r="E45" t="s">
        <v>12</v>
      </c>
      <c r="F45" t="s">
        <v>38</v>
      </c>
      <c r="G45">
        <v>2</v>
      </c>
      <c r="H45">
        <v>14719.24</v>
      </c>
      <c r="I45">
        <v>29438.48</v>
      </c>
      <c r="J45">
        <f t="shared" si="0"/>
        <v>22078.86</v>
      </c>
    </row>
    <row r="46" spans="1:10" x14ac:dyDescent="0.35">
      <c r="A46" s="3" t="s">
        <v>88</v>
      </c>
      <c r="B46" s="2">
        <v>46122</v>
      </c>
      <c r="C46" t="s">
        <v>25</v>
      </c>
      <c r="D46" t="s">
        <v>26</v>
      </c>
      <c r="E46" t="s">
        <v>12</v>
      </c>
      <c r="F46" t="s">
        <v>38</v>
      </c>
      <c r="G46">
        <v>2</v>
      </c>
      <c r="H46">
        <v>53668.7</v>
      </c>
      <c r="I46">
        <v>107337.4</v>
      </c>
      <c r="J46">
        <f t="shared" si="0"/>
        <v>80503.049999999988</v>
      </c>
    </row>
    <row r="47" spans="1:10" x14ac:dyDescent="0.35">
      <c r="A47" s="3" t="s">
        <v>89</v>
      </c>
      <c r="B47" s="2">
        <v>46210</v>
      </c>
      <c r="C47" t="s">
        <v>43</v>
      </c>
      <c r="D47" t="s">
        <v>49</v>
      </c>
      <c r="E47" t="s">
        <v>32</v>
      </c>
      <c r="F47" t="s">
        <v>38</v>
      </c>
      <c r="G47">
        <v>4</v>
      </c>
      <c r="H47">
        <v>1870.77</v>
      </c>
      <c r="I47">
        <v>7483.08</v>
      </c>
      <c r="J47">
        <f t="shared" si="0"/>
        <v>5612.3099999999995</v>
      </c>
    </row>
    <row r="48" spans="1:10" x14ac:dyDescent="0.35">
      <c r="A48" s="3" t="s">
        <v>90</v>
      </c>
      <c r="B48" s="2">
        <v>46037</v>
      </c>
      <c r="C48" t="s">
        <v>21</v>
      </c>
      <c r="D48" t="s">
        <v>55</v>
      </c>
      <c r="E48" t="s">
        <v>12</v>
      </c>
      <c r="F48" t="s">
        <v>19</v>
      </c>
      <c r="G48">
        <v>2</v>
      </c>
      <c r="H48">
        <v>2398.35</v>
      </c>
      <c r="I48">
        <v>4796.7</v>
      </c>
      <c r="J48">
        <f t="shared" si="0"/>
        <v>3597.5249999999996</v>
      </c>
    </row>
    <row r="49" spans="1:10" x14ac:dyDescent="0.35">
      <c r="A49" s="3" t="s">
        <v>91</v>
      </c>
      <c r="B49" s="2">
        <v>46172</v>
      </c>
      <c r="C49" t="s">
        <v>75</v>
      </c>
      <c r="D49" t="s">
        <v>26</v>
      </c>
      <c r="E49" t="s">
        <v>12</v>
      </c>
      <c r="F49" t="s">
        <v>19</v>
      </c>
      <c r="G49">
        <v>3</v>
      </c>
      <c r="H49">
        <v>50128.82</v>
      </c>
      <c r="I49">
        <v>150386.46</v>
      </c>
      <c r="J49">
        <f t="shared" si="0"/>
        <v>112789.845</v>
      </c>
    </row>
    <row r="50" spans="1:10" x14ac:dyDescent="0.35">
      <c r="A50" s="3" t="s">
        <v>92</v>
      </c>
      <c r="B50" s="2">
        <v>46153</v>
      </c>
      <c r="C50" t="s">
        <v>71</v>
      </c>
      <c r="D50" t="s">
        <v>60</v>
      </c>
      <c r="E50" t="s">
        <v>32</v>
      </c>
      <c r="F50" t="s">
        <v>13</v>
      </c>
      <c r="G50">
        <v>2</v>
      </c>
      <c r="H50">
        <v>2005.03</v>
      </c>
      <c r="I50">
        <v>4010.06</v>
      </c>
      <c r="J50">
        <f t="shared" si="0"/>
        <v>3007.5450000000001</v>
      </c>
    </row>
    <row r="51" spans="1:10" x14ac:dyDescent="0.35">
      <c r="A51" s="3" t="s">
        <v>93</v>
      </c>
      <c r="B51" s="2">
        <v>46243</v>
      </c>
      <c r="C51" t="s">
        <v>10</v>
      </c>
      <c r="D51" t="s">
        <v>11</v>
      </c>
      <c r="E51" t="s">
        <v>12</v>
      </c>
      <c r="F51" t="s">
        <v>38</v>
      </c>
      <c r="G51">
        <v>5</v>
      </c>
      <c r="H51">
        <v>25580.58</v>
      </c>
      <c r="I51">
        <v>127902.9</v>
      </c>
      <c r="J51">
        <f t="shared" si="0"/>
        <v>95927.174999999988</v>
      </c>
    </row>
    <row r="52" spans="1:10" x14ac:dyDescent="0.35">
      <c r="A52" s="3" t="s">
        <v>94</v>
      </c>
      <c r="B52" s="2">
        <v>46175</v>
      </c>
      <c r="C52" t="s">
        <v>15</v>
      </c>
      <c r="D52" t="s">
        <v>11</v>
      </c>
      <c r="E52" t="s">
        <v>12</v>
      </c>
      <c r="F52" t="s">
        <v>19</v>
      </c>
      <c r="G52">
        <v>5</v>
      </c>
      <c r="H52">
        <v>26578.81</v>
      </c>
      <c r="I52">
        <v>132894.04999999999</v>
      </c>
      <c r="J52">
        <f t="shared" si="0"/>
        <v>99670.537499999991</v>
      </c>
    </row>
    <row r="53" spans="1:10" x14ac:dyDescent="0.35">
      <c r="A53" s="3" t="s">
        <v>95</v>
      </c>
      <c r="B53" s="2">
        <v>46167</v>
      </c>
      <c r="C53" t="s">
        <v>58</v>
      </c>
      <c r="D53" t="s">
        <v>11</v>
      </c>
      <c r="E53" t="s">
        <v>12</v>
      </c>
      <c r="F53" t="s">
        <v>23</v>
      </c>
      <c r="G53">
        <v>4</v>
      </c>
      <c r="H53">
        <v>28881.29</v>
      </c>
      <c r="I53">
        <v>115525.16</v>
      </c>
      <c r="J53">
        <f t="shared" si="0"/>
        <v>86643.87</v>
      </c>
    </row>
    <row r="54" spans="1:10" x14ac:dyDescent="0.35">
      <c r="A54" s="3" t="s">
        <v>96</v>
      </c>
      <c r="B54" s="2">
        <v>46103</v>
      </c>
      <c r="C54" t="s">
        <v>10</v>
      </c>
      <c r="D54" t="s">
        <v>49</v>
      </c>
      <c r="E54" t="s">
        <v>32</v>
      </c>
      <c r="F54" t="s">
        <v>23</v>
      </c>
      <c r="G54">
        <v>2</v>
      </c>
      <c r="H54">
        <v>1861.1</v>
      </c>
      <c r="I54">
        <v>3722.2</v>
      </c>
      <c r="J54">
        <f t="shared" si="0"/>
        <v>2791.6499999999996</v>
      </c>
    </row>
    <row r="55" spans="1:10" x14ac:dyDescent="0.35">
      <c r="A55" s="3" t="s">
        <v>97</v>
      </c>
      <c r="B55" s="2">
        <v>46099</v>
      </c>
      <c r="C55" t="s">
        <v>30</v>
      </c>
      <c r="D55" t="s">
        <v>44</v>
      </c>
      <c r="E55" t="s">
        <v>45</v>
      </c>
      <c r="F55" t="s">
        <v>23</v>
      </c>
      <c r="G55">
        <v>2</v>
      </c>
      <c r="H55">
        <v>8791.8700000000008</v>
      </c>
      <c r="I55">
        <v>17583.740000000002</v>
      </c>
      <c r="J55">
        <f t="shared" si="0"/>
        <v>13187.805</v>
      </c>
    </row>
    <row r="56" spans="1:10" x14ac:dyDescent="0.35">
      <c r="A56" s="3" t="s">
        <v>98</v>
      </c>
      <c r="B56" s="2">
        <v>46167</v>
      </c>
      <c r="C56" t="s">
        <v>28</v>
      </c>
      <c r="D56" t="s">
        <v>11</v>
      </c>
      <c r="E56" t="s">
        <v>12</v>
      </c>
      <c r="F56" t="s">
        <v>16</v>
      </c>
      <c r="G56">
        <v>1</v>
      </c>
      <c r="H56">
        <v>27766.400000000001</v>
      </c>
      <c r="I56">
        <v>27766.400000000001</v>
      </c>
      <c r="J56">
        <f t="shared" si="0"/>
        <v>20824.800000000003</v>
      </c>
    </row>
    <row r="57" spans="1:10" x14ac:dyDescent="0.35">
      <c r="A57" s="3" t="s">
        <v>99</v>
      </c>
      <c r="B57" s="2">
        <v>46056</v>
      </c>
      <c r="C57" t="s">
        <v>53</v>
      </c>
      <c r="D57" t="s">
        <v>60</v>
      </c>
      <c r="E57" t="s">
        <v>32</v>
      </c>
      <c r="F57" t="s">
        <v>16</v>
      </c>
      <c r="G57">
        <v>2</v>
      </c>
      <c r="H57">
        <v>2202.59</v>
      </c>
      <c r="I57">
        <v>4405.18</v>
      </c>
      <c r="J57">
        <f t="shared" si="0"/>
        <v>3303.8850000000002</v>
      </c>
    </row>
    <row r="58" spans="1:10" x14ac:dyDescent="0.35">
      <c r="A58" s="3" t="s">
        <v>100</v>
      </c>
      <c r="B58" s="2">
        <v>46135</v>
      </c>
      <c r="C58" t="s">
        <v>43</v>
      </c>
      <c r="D58" t="s">
        <v>22</v>
      </c>
      <c r="E58" t="s">
        <v>12</v>
      </c>
      <c r="F58" t="s">
        <v>23</v>
      </c>
      <c r="G58">
        <v>3</v>
      </c>
      <c r="H58">
        <v>14354.96</v>
      </c>
      <c r="I58">
        <v>43064.88</v>
      </c>
      <c r="J58">
        <f t="shared" si="0"/>
        <v>32298.659999999996</v>
      </c>
    </row>
    <row r="59" spans="1:10" x14ac:dyDescent="0.35">
      <c r="A59" s="3" t="s">
        <v>101</v>
      </c>
      <c r="B59" s="2">
        <v>46232</v>
      </c>
      <c r="C59" t="s">
        <v>43</v>
      </c>
      <c r="D59" t="s">
        <v>36</v>
      </c>
      <c r="E59" t="s">
        <v>12</v>
      </c>
      <c r="F59" t="s">
        <v>23</v>
      </c>
      <c r="G59">
        <v>5</v>
      </c>
      <c r="H59">
        <v>10818.78</v>
      </c>
      <c r="I59">
        <v>54093.9</v>
      </c>
      <c r="J59">
        <f t="shared" si="0"/>
        <v>40570.425000000003</v>
      </c>
    </row>
    <row r="60" spans="1:10" x14ac:dyDescent="0.35">
      <c r="A60" s="3" t="s">
        <v>102</v>
      </c>
      <c r="B60" s="2">
        <v>46250</v>
      </c>
      <c r="C60" t="s">
        <v>28</v>
      </c>
      <c r="D60" t="s">
        <v>11</v>
      </c>
      <c r="E60" t="s">
        <v>12</v>
      </c>
      <c r="F60" t="s">
        <v>19</v>
      </c>
      <c r="G60">
        <v>2</v>
      </c>
      <c r="H60">
        <v>26681.01</v>
      </c>
      <c r="I60">
        <v>53362.02</v>
      </c>
      <c r="J60">
        <f t="shared" si="0"/>
        <v>40021.514999999999</v>
      </c>
    </row>
    <row r="61" spans="1:10" x14ac:dyDescent="0.35">
      <c r="A61" s="3" t="s">
        <v>103</v>
      </c>
      <c r="B61" s="2">
        <v>46076</v>
      </c>
      <c r="C61" t="s">
        <v>47</v>
      </c>
      <c r="D61" t="s">
        <v>55</v>
      </c>
      <c r="E61" t="s">
        <v>12</v>
      </c>
      <c r="F61" t="s">
        <v>13</v>
      </c>
      <c r="G61">
        <v>3</v>
      </c>
      <c r="H61">
        <v>2390.88</v>
      </c>
      <c r="I61">
        <v>7172.64</v>
      </c>
      <c r="J61">
        <f t="shared" si="0"/>
        <v>5379.4800000000005</v>
      </c>
    </row>
    <row r="62" spans="1:10" x14ac:dyDescent="0.35">
      <c r="A62" s="3" t="s">
        <v>104</v>
      </c>
      <c r="B62" s="2">
        <v>46254</v>
      </c>
      <c r="C62" t="s">
        <v>15</v>
      </c>
      <c r="D62" t="s">
        <v>49</v>
      </c>
      <c r="E62" t="s">
        <v>32</v>
      </c>
      <c r="F62" t="s">
        <v>16</v>
      </c>
      <c r="G62">
        <v>5</v>
      </c>
      <c r="H62">
        <v>1795.87</v>
      </c>
      <c r="I62">
        <v>8979.35</v>
      </c>
      <c r="J62">
        <f t="shared" si="0"/>
        <v>6734.5125000000007</v>
      </c>
    </row>
    <row r="63" spans="1:10" x14ac:dyDescent="0.35">
      <c r="A63" s="3" t="s">
        <v>105</v>
      </c>
      <c r="B63" s="2">
        <v>46108</v>
      </c>
      <c r="C63" t="s">
        <v>106</v>
      </c>
      <c r="D63" t="s">
        <v>44</v>
      </c>
      <c r="E63" t="s">
        <v>45</v>
      </c>
      <c r="F63" t="s">
        <v>23</v>
      </c>
      <c r="G63">
        <v>3</v>
      </c>
      <c r="H63">
        <v>7724.95</v>
      </c>
      <c r="I63">
        <v>23174.85</v>
      </c>
      <c r="J63">
        <f t="shared" si="0"/>
        <v>17381.137499999997</v>
      </c>
    </row>
    <row r="64" spans="1:10" x14ac:dyDescent="0.35">
      <c r="A64" s="3" t="s">
        <v>107</v>
      </c>
      <c r="B64" s="2">
        <v>46132</v>
      </c>
      <c r="C64" t="s">
        <v>43</v>
      </c>
      <c r="D64" t="s">
        <v>55</v>
      </c>
      <c r="E64" t="s">
        <v>12</v>
      </c>
      <c r="F64" t="s">
        <v>16</v>
      </c>
      <c r="G64">
        <v>4</v>
      </c>
      <c r="H64">
        <v>2525.84</v>
      </c>
      <c r="I64">
        <v>10103.36</v>
      </c>
      <c r="J64">
        <f t="shared" si="0"/>
        <v>7577.52</v>
      </c>
    </row>
    <row r="65" spans="1:10" x14ac:dyDescent="0.35">
      <c r="A65" s="3" t="s">
        <v>108</v>
      </c>
      <c r="B65" s="2">
        <v>46199</v>
      </c>
      <c r="C65" t="s">
        <v>106</v>
      </c>
      <c r="D65" t="s">
        <v>11</v>
      </c>
      <c r="E65" t="s">
        <v>12</v>
      </c>
      <c r="F65" t="s">
        <v>19</v>
      </c>
      <c r="G65">
        <v>1</v>
      </c>
      <c r="H65">
        <v>30492.29</v>
      </c>
      <c r="I65">
        <v>30492.29</v>
      </c>
      <c r="J65">
        <f t="shared" si="0"/>
        <v>22869.217499999999</v>
      </c>
    </row>
    <row r="66" spans="1:10" x14ac:dyDescent="0.35">
      <c r="A66" s="3" t="s">
        <v>109</v>
      </c>
      <c r="B66" s="2">
        <v>46060</v>
      </c>
      <c r="C66" t="s">
        <v>78</v>
      </c>
      <c r="D66" t="s">
        <v>26</v>
      </c>
      <c r="E66" t="s">
        <v>12</v>
      </c>
      <c r="F66" t="s">
        <v>13</v>
      </c>
      <c r="G66">
        <v>3</v>
      </c>
      <c r="H66">
        <v>55907.61</v>
      </c>
      <c r="I66">
        <v>167722.82999999999</v>
      </c>
      <c r="J66">
        <f t="shared" ref="J66:J121" si="1">I66*75%</f>
        <v>125792.1225</v>
      </c>
    </row>
    <row r="67" spans="1:10" x14ac:dyDescent="0.35">
      <c r="A67" s="3" t="s">
        <v>110</v>
      </c>
      <c r="B67" s="2">
        <v>46261</v>
      </c>
      <c r="C67" t="s">
        <v>15</v>
      </c>
      <c r="D67" t="s">
        <v>26</v>
      </c>
      <c r="E67" t="s">
        <v>12</v>
      </c>
      <c r="F67" t="s">
        <v>23</v>
      </c>
      <c r="G67">
        <v>3</v>
      </c>
      <c r="H67">
        <v>53511.17</v>
      </c>
      <c r="I67">
        <v>160533.51</v>
      </c>
      <c r="J67">
        <f t="shared" si="1"/>
        <v>120400.13250000001</v>
      </c>
    </row>
    <row r="68" spans="1:10" x14ac:dyDescent="0.35">
      <c r="A68" s="3" t="s">
        <v>111</v>
      </c>
      <c r="B68" s="2">
        <v>46113</v>
      </c>
      <c r="C68" t="s">
        <v>43</v>
      </c>
      <c r="D68" t="s">
        <v>22</v>
      </c>
      <c r="E68" t="s">
        <v>12</v>
      </c>
      <c r="F68" t="s">
        <v>38</v>
      </c>
      <c r="G68">
        <v>2</v>
      </c>
      <c r="H68">
        <v>15500.8</v>
      </c>
      <c r="I68">
        <v>31001.599999999999</v>
      </c>
      <c r="J68">
        <f t="shared" si="1"/>
        <v>23251.199999999997</v>
      </c>
    </row>
    <row r="69" spans="1:10" x14ac:dyDescent="0.35">
      <c r="A69" s="3" t="s">
        <v>112</v>
      </c>
      <c r="B69" s="2">
        <v>46083</v>
      </c>
      <c r="C69" t="s">
        <v>41</v>
      </c>
      <c r="D69" t="s">
        <v>36</v>
      </c>
      <c r="E69" t="s">
        <v>12</v>
      </c>
      <c r="F69" t="s">
        <v>13</v>
      </c>
      <c r="G69">
        <v>2</v>
      </c>
      <c r="H69">
        <v>13021.83</v>
      </c>
      <c r="I69">
        <v>26043.66</v>
      </c>
      <c r="J69">
        <f t="shared" si="1"/>
        <v>19532.744999999999</v>
      </c>
    </row>
    <row r="70" spans="1:10" x14ac:dyDescent="0.35">
      <c r="A70" s="3" t="s">
        <v>113</v>
      </c>
      <c r="B70" s="2">
        <v>46259</v>
      </c>
      <c r="C70" t="s">
        <v>47</v>
      </c>
      <c r="D70" t="s">
        <v>44</v>
      </c>
      <c r="E70" t="s">
        <v>45</v>
      </c>
      <c r="F70" t="s">
        <v>38</v>
      </c>
      <c r="G70">
        <v>1</v>
      </c>
      <c r="H70">
        <v>7954.91</v>
      </c>
      <c r="I70">
        <v>7954.91</v>
      </c>
      <c r="J70">
        <f t="shared" si="1"/>
        <v>5966.1824999999999</v>
      </c>
    </row>
    <row r="71" spans="1:10" x14ac:dyDescent="0.35">
      <c r="A71" s="3" t="s">
        <v>114</v>
      </c>
      <c r="B71" s="2">
        <v>46202</v>
      </c>
      <c r="C71" t="s">
        <v>28</v>
      </c>
      <c r="D71" t="s">
        <v>22</v>
      </c>
      <c r="E71" t="s">
        <v>12</v>
      </c>
      <c r="F71" t="s">
        <v>38</v>
      </c>
      <c r="G71">
        <v>3</v>
      </c>
      <c r="H71">
        <v>13977.59</v>
      </c>
      <c r="I71">
        <v>41932.769999999997</v>
      </c>
      <c r="J71">
        <f t="shared" si="1"/>
        <v>31449.577499999999</v>
      </c>
    </row>
    <row r="72" spans="1:10" x14ac:dyDescent="0.35">
      <c r="A72" s="3" t="s">
        <v>115</v>
      </c>
      <c r="B72" s="2">
        <v>46232</v>
      </c>
      <c r="C72" t="s">
        <v>30</v>
      </c>
      <c r="D72" t="s">
        <v>26</v>
      </c>
      <c r="E72" t="s">
        <v>12</v>
      </c>
      <c r="F72" t="s">
        <v>23</v>
      </c>
      <c r="G72">
        <v>4</v>
      </c>
      <c r="H72">
        <v>51946.77</v>
      </c>
      <c r="I72">
        <v>207787.08</v>
      </c>
      <c r="J72">
        <f t="shared" si="1"/>
        <v>155840.31</v>
      </c>
    </row>
    <row r="73" spans="1:10" x14ac:dyDescent="0.35">
      <c r="A73" s="3" t="s">
        <v>116</v>
      </c>
      <c r="B73" s="2">
        <v>46191</v>
      </c>
      <c r="C73" t="s">
        <v>87</v>
      </c>
      <c r="D73" t="s">
        <v>49</v>
      </c>
      <c r="E73" t="s">
        <v>32</v>
      </c>
      <c r="F73" t="s">
        <v>38</v>
      </c>
      <c r="G73">
        <v>2</v>
      </c>
      <c r="H73">
        <v>1700.25</v>
      </c>
      <c r="I73">
        <v>3400.5</v>
      </c>
      <c r="J73">
        <f t="shared" si="1"/>
        <v>2550.375</v>
      </c>
    </row>
    <row r="74" spans="1:10" x14ac:dyDescent="0.35">
      <c r="A74" s="3" t="s">
        <v>117</v>
      </c>
      <c r="B74" s="2">
        <v>46220</v>
      </c>
      <c r="C74" t="s">
        <v>25</v>
      </c>
      <c r="D74" t="s">
        <v>31</v>
      </c>
      <c r="E74" t="s">
        <v>32</v>
      </c>
      <c r="F74" t="s">
        <v>23</v>
      </c>
      <c r="G74">
        <v>3</v>
      </c>
      <c r="H74">
        <v>965.58</v>
      </c>
      <c r="I74">
        <v>2896.74</v>
      </c>
      <c r="J74">
        <f t="shared" si="1"/>
        <v>2172.5549999999998</v>
      </c>
    </row>
    <row r="75" spans="1:10" x14ac:dyDescent="0.35">
      <c r="A75" s="3" t="s">
        <v>118</v>
      </c>
      <c r="B75" s="2">
        <v>46238</v>
      </c>
      <c r="C75" t="s">
        <v>43</v>
      </c>
      <c r="D75" t="s">
        <v>60</v>
      </c>
      <c r="E75" t="s">
        <v>32</v>
      </c>
      <c r="F75" t="s">
        <v>23</v>
      </c>
      <c r="G75">
        <v>4</v>
      </c>
      <c r="H75">
        <v>2278.9899999999998</v>
      </c>
      <c r="I75">
        <v>9115.9599999999991</v>
      </c>
      <c r="J75">
        <f t="shared" si="1"/>
        <v>6836.9699999999993</v>
      </c>
    </row>
    <row r="76" spans="1:10" x14ac:dyDescent="0.35">
      <c r="A76" s="3" t="s">
        <v>119</v>
      </c>
      <c r="B76" s="2">
        <v>46089</v>
      </c>
      <c r="C76" t="s">
        <v>41</v>
      </c>
      <c r="D76" t="s">
        <v>26</v>
      </c>
      <c r="E76" t="s">
        <v>12</v>
      </c>
      <c r="F76" t="s">
        <v>19</v>
      </c>
      <c r="G76">
        <v>1</v>
      </c>
      <c r="H76">
        <v>59147.42</v>
      </c>
      <c r="I76">
        <v>59147.42</v>
      </c>
      <c r="J76">
        <f t="shared" si="1"/>
        <v>44360.565000000002</v>
      </c>
    </row>
    <row r="77" spans="1:10" x14ac:dyDescent="0.35">
      <c r="A77" s="3" t="s">
        <v>120</v>
      </c>
      <c r="B77" s="2">
        <v>46134</v>
      </c>
      <c r="C77" t="s">
        <v>53</v>
      </c>
      <c r="D77" t="s">
        <v>49</v>
      </c>
      <c r="E77" t="s">
        <v>32</v>
      </c>
      <c r="F77" t="s">
        <v>23</v>
      </c>
      <c r="G77">
        <v>1</v>
      </c>
      <c r="H77">
        <v>1659.02</v>
      </c>
      <c r="I77">
        <v>1659.02</v>
      </c>
      <c r="J77">
        <f t="shared" si="1"/>
        <v>1244.2649999999999</v>
      </c>
    </row>
    <row r="78" spans="1:10" x14ac:dyDescent="0.35">
      <c r="A78" s="3" t="s">
        <v>121</v>
      </c>
      <c r="B78" s="2">
        <v>46052</v>
      </c>
      <c r="C78" t="s">
        <v>122</v>
      </c>
      <c r="D78" t="s">
        <v>44</v>
      </c>
      <c r="E78" t="s">
        <v>45</v>
      </c>
      <c r="F78" t="s">
        <v>19</v>
      </c>
      <c r="G78">
        <v>5</v>
      </c>
      <c r="H78">
        <v>9323.2000000000007</v>
      </c>
      <c r="I78">
        <v>46616</v>
      </c>
      <c r="J78">
        <f t="shared" si="1"/>
        <v>34962</v>
      </c>
    </row>
    <row r="79" spans="1:10" x14ac:dyDescent="0.35">
      <c r="A79" s="3" t="s">
        <v>123</v>
      </c>
      <c r="B79" s="2">
        <v>46134</v>
      </c>
      <c r="C79" t="s">
        <v>18</v>
      </c>
      <c r="D79" t="s">
        <v>22</v>
      </c>
      <c r="E79" t="s">
        <v>12</v>
      </c>
      <c r="F79" t="s">
        <v>19</v>
      </c>
      <c r="G79">
        <v>3</v>
      </c>
      <c r="H79">
        <v>13633.16</v>
      </c>
      <c r="I79">
        <v>40899.480000000003</v>
      </c>
      <c r="J79">
        <f t="shared" si="1"/>
        <v>30674.61</v>
      </c>
    </row>
    <row r="80" spans="1:10" x14ac:dyDescent="0.35">
      <c r="A80" s="3" t="s">
        <v>124</v>
      </c>
      <c r="B80" s="2">
        <v>46040</v>
      </c>
      <c r="C80" t="s">
        <v>47</v>
      </c>
      <c r="D80" t="s">
        <v>60</v>
      </c>
      <c r="E80" t="s">
        <v>32</v>
      </c>
      <c r="F80" t="s">
        <v>19</v>
      </c>
      <c r="G80">
        <v>2</v>
      </c>
      <c r="H80">
        <v>2140.2600000000002</v>
      </c>
      <c r="I80">
        <v>4280.5200000000004</v>
      </c>
      <c r="J80">
        <f t="shared" si="1"/>
        <v>3210.3900000000003</v>
      </c>
    </row>
    <row r="81" spans="1:10" x14ac:dyDescent="0.35">
      <c r="A81" s="3" t="s">
        <v>125</v>
      </c>
      <c r="B81" s="2">
        <v>46099</v>
      </c>
      <c r="C81" t="s">
        <v>58</v>
      </c>
      <c r="D81" t="s">
        <v>31</v>
      </c>
      <c r="E81" t="s">
        <v>32</v>
      </c>
      <c r="F81" t="s">
        <v>23</v>
      </c>
      <c r="G81">
        <v>1</v>
      </c>
      <c r="H81">
        <v>939.56</v>
      </c>
      <c r="I81">
        <v>939.56</v>
      </c>
      <c r="J81">
        <f t="shared" si="1"/>
        <v>704.67</v>
      </c>
    </row>
    <row r="82" spans="1:10" x14ac:dyDescent="0.35">
      <c r="A82" s="3" t="s">
        <v>126</v>
      </c>
      <c r="B82" s="2">
        <v>46098</v>
      </c>
      <c r="C82" t="s">
        <v>43</v>
      </c>
      <c r="D82" t="s">
        <v>44</v>
      </c>
      <c r="E82" t="s">
        <v>45</v>
      </c>
      <c r="F82" t="s">
        <v>13</v>
      </c>
      <c r="G82">
        <v>3</v>
      </c>
      <c r="H82">
        <v>8334.08</v>
      </c>
      <c r="I82">
        <v>25002.240000000002</v>
      </c>
      <c r="J82">
        <f t="shared" si="1"/>
        <v>18751.68</v>
      </c>
    </row>
    <row r="83" spans="1:10" x14ac:dyDescent="0.35">
      <c r="A83" s="3" t="s">
        <v>127</v>
      </c>
      <c r="B83" s="2">
        <v>46120</v>
      </c>
      <c r="C83" t="s">
        <v>41</v>
      </c>
      <c r="D83" t="s">
        <v>22</v>
      </c>
      <c r="E83" t="s">
        <v>12</v>
      </c>
      <c r="F83" t="s">
        <v>19</v>
      </c>
      <c r="G83">
        <v>4</v>
      </c>
      <c r="H83">
        <v>15494.79</v>
      </c>
      <c r="I83">
        <v>61979.16</v>
      </c>
      <c r="J83">
        <f t="shared" si="1"/>
        <v>46484.37</v>
      </c>
    </row>
    <row r="84" spans="1:10" x14ac:dyDescent="0.35">
      <c r="A84" s="3" t="s">
        <v>128</v>
      </c>
      <c r="B84" s="2">
        <v>46236</v>
      </c>
      <c r="C84" t="s">
        <v>18</v>
      </c>
      <c r="D84" t="s">
        <v>36</v>
      </c>
      <c r="E84" t="s">
        <v>12</v>
      </c>
      <c r="F84" t="s">
        <v>23</v>
      </c>
      <c r="G84">
        <v>3</v>
      </c>
      <c r="H84">
        <v>11774.58</v>
      </c>
      <c r="I84">
        <v>35323.74</v>
      </c>
      <c r="J84">
        <f t="shared" si="1"/>
        <v>26492.805</v>
      </c>
    </row>
    <row r="85" spans="1:10" x14ac:dyDescent="0.35">
      <c r="A85" s="3" t="s">
        <v>129</v>
      </c>
      <c r="B85" s="2">
        <v>46171</v>
      </c>
      <c r="C85" t="s">
        <v>34</v>
      </c>
      <c r="D85" t="s">
        <v>49</v>
      </c>
      <c r="E85" t="s">
        <v>32</v>
      </c>
      <c r="F85" t="s">
        <v>23</v>
      </c>
      <c r="G85">
        <v>2</v>
      </c>
      <c r="H85">
        <v>1774.76</v>
      </c>
      <c r="I85">
        <v>3549.52</v>
      </c>
      <c r="J85">
        <f t="shared" si="1"/>
        <v>2662.14</v>
      </c>
    </row>
    <row r="86" spans="1:10" x14ac:dyDescent="0.35">
      <c r="A86" s="3" t="s">
        <v>130</v>
      </c>
      <c r="B86" s="2">
        <v>46077</v>
      </c>
      <c r="C86" t="s">
        <v>58</v>
      </c>
      <c r="D86" t="s">
        <v>79</v>
      </c>
      <c r="E86" t="s">
        <v>45</v>
      </c>
      <c r="F86" t="s">
        <v>38</v>
      </c>
      <c r="G86">
        <v>4</v>
      </c>
      <c r="H86">
        <v>11861.18</v>
      </c>
      <c r="I86">
        <v>47444.72</v>
      </c>
      <c r="J86">
        <f t="shared" si="1"/>
        <v>35583.54</v>
      </c>
    </row>
    <row r="87" spans="1:10" x14ac:dyDescent="0.35">
      <c r="A87" s="3" t="s">
        <v>131</v>
      </c>
      <c r="B87" s="2">
        <v>46192</v>
      </c>
      <c r="C87" t="s">
        <v>34</v>
      </c>
      <c r="D87" t="s">
        <v>55</v>
      </c>
      <c r="E87" t="s">
        <v>12</v>
      </c>
      <c r="F87" t="s">
        <v>23</v>
      </c>
      <c r="G87">
        <v>1</v>
      </c>
      <c r="H87">
        <v>2391.89</v>
      </c>
      <c r="I87">
        <v>2391.89</v>
      </c>
      <c r="J87">
        <f t="shared" si="1"/>
        <v>1793.9175</v>
      </c>
    </row>
    <row r="88" spans="1:10" x14ac:dyDescent="0.35">
      <c r="A88" s="3" t="s">
        <v>132</v>
      </c>
      <c r="B88" s="2">
        <v>46080</v>
      </c>
      <c r="C88" t="s">
        <v>87</v>
      </c>
      <c r="D88" t="s">
        <v>11</v>
      </c>
      <c r="E88" t="s">
        <v>12</v>
      </c>
      <c r="F88" t="s">
        <v>13</v>
      </c>
      <c r="G88">
        <v>2</v>
      </c>
      <c r="H88">
        <v>28967.66</v>
      </c>
      <c r="I88">
        <v>57935.32</v>
      </c>
      <c r="J88">
        <f t="shared" si="1"/>
        <v>43451.49</v>
      </c>
    </row>
    <row r="89" spans="1:10" x14ac:dyDescent="0.35">
      <c r="A89" s="3" t="s">
        <v>133</v>
      </c>
      <c r="B89" s="2">
        <v>46144</v>
      </c>
      <c r="C89" t="s">
        <v>34</v>
      </c>
      <c r="D89" t="s">
        <v>26</v>
      </c>
      <c r="E89" t="s">
        <v>12</v>
      </c>
      <c r="F89" t="s">
        <v>16</v>
      </c>
      <c r="G89">
        <v>1</v>
      </c>
      <c r="H89">
        <v>52193.27</v>
      </c>
      <c r="I89">
        <v>52193.27</v>
      </c>
      <c r="J89">
        <f t="shared" si="1"/>
        <v>39144.952499999999</v>
      </c>
    </row>
    <row r="90" spans="1:10" x14ac:dyDescent="0.35">
      <c r="A90" s="3" t="s">
        <v>134</v>
      </c>
      <c r="B90" s="2">
        <v>46170</v>
      </c>
      <c r="C90" t="s">
        <v>87</v>
      </c>
      <c r="D90" t="s">
        <v>79</v>
      </c>
      <c r="E90" t="s">
        <v>45</v>
      </c>
      <c r="F90" t="s">
        <v>38</v>
      </c>
      <c r="G90">
        <v>4</v>
      </c>
      <c r="H90">
        <v>12926.73</v>
      </c>
      <c r="I90">
        <v>51706.92</v>
      </c>
      <c r="J90">
        <f t="shared" si="1"/>
        <v>38780.19</v>
      </c>
    </row>
    <row r="91" spans="1:10" x14ac:dyDescent="0.35">
      <c r="A91" s="3" t="s">
        <v>135</v>
      </c>
      <c r="B91" s="2">
        <v>46190</v>
      </c>
      <c r="C91" t="s">
        <v>18</v>
      </c>
      <c r="D91" t="s">
        <v>79</v>
      </c>
      <c r="E91" t="s">
        <v>45</v>
      </c>
      <c r="F91" t="s">
        <v>16</v>
      </c>
      <c r="G91">
        <v>4</v>
      </c>
      <c r="H91">
        <v>11385.56</v>
      </c>
      <c r="I91">
        <v>45542.239999999998</v>
      </c>
      <c r="J91">
        <f t="shared" si="1"/>
        <v>34156.68</v>
      </c>
    </row>
    <row r="92" spans="1:10" x14ac:dyDescent="0.35">
      <c r="A92" s="3" t="s">
        <v>136</v>
      </c>
      <c r="B92" s="2">
        <v>46201</v>
      </c>
      <c r="C92" t="s">
        <v>58</v>
      </c>
      <c r="D92" t="s">
        <v>44</v>
      </c>
      <c r="E92" t="s">
        <v>45</v>
      </c>
      <c r="F92" t="s">
        <v>38</v>
      </c>
      <c r="G92">
        <v>2</v>
      </c>
      <c r="H92">
        <v>7949.01</v>
      </c>
      <c r="I92">
        <v>15898.02</v>
      </c>
      <c r="J92">
        <f t="shared" si="1"/>
        <v>11923.514999999999</v>
      </c>
    </row>
    <row r="93" spans="1:10" x14ac:dyDescent="0.35">
      <c r="A93" s="3" t="s">
        <v>137</v>
      </c>
      <c r="B93" s="2">
        <v>46240</v>
      </c>
      <c r="C93" t="s">
        <v>28</v>
      </c>
      <c r="D93" t="s">
        <v>26</v>
      </c>
      <c r="E93" t="s">
        <v>12</v>
      </c>
      <c r="F93" t="s">
        <v>38</v>
      </c>
      <c r="G93">
        <v>5</v>
      </c>
      <c r="H93">
        <v>52241.18</v>
      </c>
      <c r="I93">
        <v>261205.9</v>
      </c>
      <c r="J93">
        <f t="shared" si="1"/>
        <v>195904.42499999999</v>
      </c>
    </row>
    <row r="94" spans="1:10" x14ac:dyDescent="0.35">
      <c r="A94" s="3" t="s">
        <v>138</v>
      </c>
      <c r="B94" s="2">
        <v>46166</v>
      </c>
      <c r="C94" t="s">
        <v>34</v>
      </c>
      <c r="D94" t="s">
        <v>55</v>
      </c>
      <c r="E94" t="s">
        <v>12</v>
      </c>
      <c r="F94" t="s">
        <v>23</v>
      </c>
      <c r="G94">
        <v>4</v>
      </c>
      <c r="H94">
        <v>2583.79</v>
      </c>
      <c r="I94">
        <v>10335.16</v>
      </c>
      <c r="J94">
        <f t="shared" si="1"/>
        <v>7751.37</v>
      </c>
    </row>
    <row r="95" spans="1:10" x14ac:dyDescent="0.35">
      <c r="A95" s="3" t="s">
        <v>139</v>
      </c>
      <c r="B95" s="2">
        <v>46251</v>
      </c>
      <c r="C95" t="s">
        <v>58</v>
      </c>
      <c r="D95" t="s">
        <v>79</v>
      </c>
      <c r="E95" t="s">
        <v>45</v>
      </c>
      <c r="F95" t="s">
        <v>38</v>
      </c>
      <c r="G95">
        <v>5</v>
      </c>
      <c r="H95">
        <v>12756.02</v>
      </c>
      <c r="I95">
        <v>63780.1</v>
      </c>
      <c r="J95">
        <f t="shared" si="1"/>
        <v>47835.074999999997</v>
      </c>
    </row>
    <row r="96" spans="1:10" x14ac:dyDescent="0.35">
      <c r="A96" s="3" t="s">
        <v>140</v>
      </c>
      <c r="B96" s="2">
        <v>46213</v>
      </c>
      <c r="C96" t="s">
        <v>75</v>
      </c>
      <c r="D96" t="s">
        <v>60</v>
      </c>
      <c r="E96" t="s">
        <v>32</v>
      </c>
      <c r="F96" t="s">
        <v>38</v>
      </c>
      <c r="G96">
        <v>4</v>
      </c>
      <c r="H96">
        <v>2374.77</v>
      </c>
      <c r="I96">
        <v>9499.08</v>
      </c>
      <c r="J96">
        <f t="shared" si="1"/>
        <v>7124.3099999999995</v>
      </c>
    </row>
    <row r="97" spans="1:10" x14ac:dyDescent="0.35">
      <c r="A97" s="3" t="s">
        <v>141</v>
      </c>
      <c r="B97" s="2">
        <v>46093</v>
      </c>
      <c r="C97" t="s">
        <v>58</v>
      </c>
      <c r="D97" t="s">
        <v>49</v>
      </c>
      <c r="E97" t="s">
        <v>32</v>
      </c>
      <c r="F97" t="s">
        <v>38</v>
      </c>
      <c r="G97">
        <v>2</v>
      </c>
      <c r="H97">
        <v>1922.35</v>
      </c>
      <c r="I97">
        <v>3844.7</v>
      </c>
      <c r="J97">
        <f t="shared" si="1"/>
        <v>2883.5249999999996</v>
      </c>
    </row>
    <row r="98" spans="1:10" x14ac:dyDescent="0.35">
      <c r="A98" s="3" t="s">
        <v>142</v>
      </c>
      <c r="B98" s="2">
        <v>46205</v>
      </c>
      <c r="C98" t="s">
        <v>143</v>
      </c>
      <c r="D98" t="s">
        <v>22</v>
      </c>
      <c r="E98" t="s">
        <v>12</v>
      </c>
      <c r="F98" t="s">
        <v>13</v>
      </c>
      <c r="G98">
        <v>3</v>
      </c>
      <c r="H98">
        <v>14819.62</v>
      </c>
      <c r="I98">
        <v>44458.86</v>
      </c>
      <c r="J98">
        <f t="shared" si="1"/>
        <v>33344.145000000004</v>
      </c>
    </row>
    <row r="99" spans="1:10" x14ac:dyDescent="0.35">
      <c r="A99" s="3" t="s">
        <v>144</v>
      </c>
      <c r="B99" s="2">
        <v>46161</v>
      </c>
      <c r="C99" t="s">
        <v>71</v>
      </c>
      <c r="D99" t="s">
        <v>49</v>
      </c>
      <c r="E99" t="s">
        <v>32</v>
      </c>
      <c r="F99" t="s">
        <v>13</v>
      </c>
      <c r="G99">
        <v>3</v>
      </c>
      <c r="H99">
        <v>1735.1</v>
      </c>
      <c r="I99">
        <v>5205.3</v>
      </c>
      <c r="J99">
        <f t="shared" si="1"/>
        <v>3903.9750000000004</v>
      </c>
    </row>
    <row r="100" spans="1:10" x14ac:dyDescent="0.35">
      <c r="A100" s="3" t="s">
        <v>145</v>
      </c>
      <c r="B100" s="2">
        <v>46062</v>
      </c>
      <c r="C100" t="s">
        <v>87</v>
      </c>
      <c r="D100" t="s">
        <v>55</v>
      </c>
      <c r="E100" t="s">
        <v>12</v>
      </c>
      <c r="F100" t="s">
        <v>16</v>
      </c>
      <c r="G100">
        <v>2</v>
      </c>
      <c r="H100">
        <v>2441.52</v>
      </c>
      <c r="I100">
        <v>4883.04</v>
      </c>
      <c r="J100">
        <f t="shared" si="1"/>
        <v>3662.2799999999997</v>
      </c>
    </row>
    <row r="101" spans="1:10" x14ac:dyDescent="0.35">
      <c r="A101" s="3" t="s">
        <v>146</v>
      </c>
      <c r="B101" s="2">
        <v>46142</v>
      </c>
      <c r="C101" t="s">
        <v>78</v>
      </c>
      <c r="D101" t="s">
        <v>44</v>
      </c>
      <c r="E101" t="s">
        <v>45</v>
      </c>
      <c r="F101" t="s">
        <v>16</v>
      </c>
      <c r="G101">
        <v>4</v>
      </c>
      <c r="H101">
        <v>8212.5</v>
      </c>
      <c r="I101">
        <v>32850</v>
      </c>
      <c r="J101">
        <f t="shared" si="1"/>
        <v>24637.5</v>
      </c>
    </row>
    <row r="102" spans="1:10" x14ac:dyDescent="0.35">
      <c r="A102" s="3" t="s">
        <v>147</v>
      </c>
      <c r="B102" s="2">
        <v>46220</v>
      </c>
      <c r="C102" t="s">
        <v>21</v>
      </c>
      <c r="D102" t="s">
        <v>22</v>
      </c>
      <c r="E102" t="s">
        <v>12</v>
      </c>
      <c r="F102" t="s">
        <v>16</v>
      </c>
      <c r="G102">
        <v>4</v>
      </c>
      <c r="H102">
        <v>14668.43</v>
      </c>
      <c r="I102">
        <v>58673.72</v>
      </c>
      <c r="J102">
        <f t="shared" si="1"/>
        <v>44005.29</v>
      </c>
    </row>
    <row r="103" spans="1:10" x14ac:dyDescent="0.35">
      <c r="A103" s="3" t="s">
        <v>148</v>
      </c>
      <c r="B103" s="2">
        <v>46264</v>
      </c>
      <c r="C103" t="s">
        <v>53</v>
      </c>
      <c r="D103" t="s">
        <v>36</v>
      </c>
      <c r="E103" t="s">
        <v>12</v>
      </c>
      <c r="F103" t="s">
        <v>23</v>
      </c>
      <c r="G103">
        <v>4</v>
      </c>
      <c r="H103">
        <v>11944.75</v>
      </c>
      <c r="I103">
        <v>47779</v>
      </c>
      <c r="J103">
        <f t="shared" si="1"/>
        <v>35834.25</v>
      </c>
    </row>
    <row r="104" spans="1:10" x14ac:dyDescent="0.35">
      <c r="A104" s="3" t="s">
        <v>149</v>
      </c>
      <c r="B104" s="2">
        <v>46211</v>
      </c>
      <c r="C104" t="s">
        <v>43</v>
      </c>
      <c r="D104" t="s">
        <v>44</v>
      </c>
      <c r="E104" t="s">
        <v>45</v>
      </c>
      <c r="F104" t="s">
        <v>19</v>
      </c>
      <c r="G104">
        <v>4</v>
      </c>
      <c r="H104">
        <v>8564.9699999999993</v>
      </c>
      <c r="I104">
        <v>34259.879999999997</v>
      </c>
      <c r="J104">
        <f t="shared" si="1"/>
        <v>25694.909999999996</v>
      </c>
    </row>
    <row r="105" spans="1:10" x14ac:dyDescent="0.35">
      <c r="A105" s="3" t="s">
        <v>150</v>
      </c>
      <c r="B105" s="2">
        <v>46134</v>
      </c>
      <c r="C105" t="s">
        <v>75</v>
      </c>
      <c r="D105" t="s">
        <v>22</v>
      </c>
      <c r="E105" t="s">
        <v>12</v>
      </c>
      <c r="F105" t="s">
        <v>16</v>
      </c>
      <c r="G105">
        <v>4</v>
      </c>
      <c r="H105">
        <v>14158.26</v>
      </c>
      <c r="I105">
        <v>56633.04</v>
      </c>
      <c r="J105">
        <f t="shared" si="1"/>
        <v>42474.78</v>
      </c>
    </row>
    <row r="106" spans="1:10" x14ac:dyDescent="0.35">
      <c r="A106" s="3" t="s">
        <v>151</v>
      </c>
      <c r="B106" s="2">
        <v>46227</v>
      </c>
      <c r="C106" t="s">
        <v>122</v>
      </c>
      <c r="D106" t="s">
        <v>44</v>
      </c>
      <c r="E106" t="s">
        <v>45</v>
      </c>
      <c r="F106" t="s">
        <v>13</v>
      </c>
      <c r="G106">
        <v>3</v>
      </c>
      <c r="H106">
        <v>8787.09</v>
      </c>
      <c r="I106">
        <v>26361.27</v>
      </c>
      <c r="J106">
        <f t="shared" si="1"/>
        <v>19770.952499999999</v>
      </c>
    </row>
    <row r="107" spans="1:10" x14ac:dyDescent="0.35">
      <c r="A107" s="3" t="s">
        <v>152</v>
      </c>
      <c r="B107" s="2">
        <v>46159</v>
      </c>
      <c r="C107" t="s">
        <v>18</v>
      </c>
      <c r="D107" t="s">
        <v>79</v>
      </c>
      <c r="E107" t="s">
        <v>45</v>
      </c>
      <c r="F107" t="s">
        <v>38</v>
      </c>
      <c r="G107">
        <v>2</v>
      </c>
      <c r="H107">
        <v>13153.73</v>
      </c>
      <c r="I107">
        <v>26307.46</v>
      </c>
      <c r="J107">
        <f t="shared" si="1"/>
        <v>19730.595000000001</v>
      </c>
    </row>
    <row r="108" spans="1:10" x14ac:dyDescent="0.35">
      <c r="A108" s="3" t="s">
        <v>153</v>
      </c>
      <c r="B108" s="2">
        <v>46044</v>
      </c>
      <c r="C108" t="s">
        <v>78</v>
      </c>
      <c r="D108" t="s">
        <v>36</v>
      </c>
      <c r="E108" t="s">
        <v>12</v>
      </c>
      <c r="F108" t="s">
        <v>13</v>
      </c>
      <c r="G108">
        <v>5</v>
      </c>
      <c r="H108">
        <v>12391.2</v>
      </c>
      <c r="I108">
        <v>61956</v>
      </c>
      <c r="J108">
        <f t="shared" si="1"/>
        <v>46467</v>
      </c>
    </row>
    <row r="109" spans="1:10" x14ac:dyDescent="0.35">
      <c r="A109" s="3" t="s">
        <v>154</v>
      </c>
      <c r="B109" s="2">
        <v>46120</v>
      </c>
      <c r="C109" t="s">
        <v>47</v>
      </c>
      <c r="D109" t="s">
        <v>79</v>
      </c>
      <c r="E109" t="s">
        <v>45</v>
      </c>
      <c r="F109" t="s">
        <v>13</v>
      </c>
      <c r="G109">
        <v>2</v>
      </c>
      <c r="H109">
        <v>10920.68</v>
      </c>
      <c r="I109">
        <v>21841.360000000001</v>
      </c>
      <c r="J109">
        <f t="shared" si="1"/>
        <v>16381.02</v>
      </c>
    </row>
    <row r="110" spans="1:10" x14ac:dyDescent="0.35">
      <c r="A110" s="3" t="s">
        <v>155</v>
      </c>
      <c r="B110" s="2">
        <v>46248</v>
      </c>
      <c r="C110" t="s">
        <v>122</v>
      </c>
      <c r="D110" t="s">
        <v>79</v>
      </c>
      <c r="E110" t="s">
        <v>45</v>
      </c>
      <c r="F110" t="s">
        <v>23</v>
      </c>
      <c r="G110">
        <v>3</v>
      </c>
      <c r="H110">
        <v>11610</v>
      </c>
      <c r="I110">
        <v>34830</v>
      </c>
      <c r="J110">
        <f t="shared" si="1"/>
        <v>26122.5</v>
      </c>
    </row>
    <row r="111" spans="1:10" x14ac:dyDescent="0.35">
      <c r="A111" s="3" t="s">
        <v>156</v>
      </c>
      <c r="B111" s="2">
        <v>46143</v>
      </c>
      <c r="C111" t="s">
        <v>18</v>
      </c>
      <c r="D111" t="s">
        <v>44</v>
      </c>
      <c r="E111" t="s">
        <v>45</v>
      </c>
      <c r="F111" t="s">
        <v>19</v>
      </c>
      <c r="G111">
        <v>3</v>
      </c>
      <c r="H111">
        <v>9069.35</v>
      </c>
      <c r="I111">
        <v>27208.05</v>
      </c>
      <c r="J111">
        <f t="shared" si="1"/>
        <v>20406.037499999999</v>
      </c>
    </row>
    <row r="112" spans="1:10" x14ac:dyDescent="0.35">
      <c r="A112" s="3" t="s">
        <v>157</v>
      </c>
      <c r="B112" s="2">
        <v>46040</v>
      </c>
      <c r="C112" t="s">
        <v>15</v>
      </c>
      <c r="D112" t="s">
        <v>26</v>
      </c>
      <c r="E112" t="s">
        <v>12</v>
      </c>
      <c r="F112" t="s">
        <v>16</v>
      </c>
      <c r="G112">
        <v>3</v>
      </c>
      <c r="H112">
        <v>51966.44</v>
      </c>
      <c r="I112">
        <v>155899.32</v>
      </c>
      <c r="J112">
        <f t="shared" si="1"/>
        <v>116924.49</v>
      </c>
    </row>
    <row r="113" spans="1:10" x14ac:dyDescent="0.35">
      <c r="A113" s="3" t="s">
        <v>158</v>
      </c>
      <c r="B113" s="2">
        <v>46182</v>
      </c>
      <c r="C113" t="s">
        <v>106</v>
      </c>
      <c r="D113" t="s">
        <v>22</v>
      </c>
      <c r="E113" t="s">
        <v>12</v>
      </c>
      <c r="F113" t="s">
        <v>13</v>
      </c>
      <c r="G113">
        <v>2</v>
      </c>
      <c r="H113">
        <v>16017.69</v>
      </c>
      <c r="I113">
        <v>32035.38</v>
      </c>
      <c r="J113">
        <f t="shared" si="1"/>
        <v>24026.535</v>
      </c>
    </row>
    <row r="114" spans="1:10" x14ac:dyDescent="0.35">
      <c r="A114" s="3" t="s">
        <v>159</v>
      </c>
      <c r="B114" s="2">
        <v>46167</v>
      </c>
      <c r="C114" t="s">
        <v>87</v>
      </c>
      <c r="D114" t="s">
        <v>55</v>
      </c>
      <c r="E114" t="s">
        <v>12</v>
      </c>
      <c r="F114" t="s">
        <v>38</v>
      </c>
      <c r="G114">
        <v>4</v>
      </c>
      <c r="H114">
        <v>2584.73</v>
      </c>
      <c r="I114">
        <v>10338.92</v>
      </c>
      <c r="J114">
        <f t="shared" si="1"/>
        <v>7754.1900000000005</v>
      </c>
    </row>
    <row r="115" spans="1:10" x14ac:dyDescent="0.35">
      <c r="A115" s="3" t="s">
        <v>160</v>
      </c>
      <c r="B115" s="2">
        <v>46178</v>
      </c>
      <c r="C115" t="s">
        <v>28</v>
      </c>
      <c r="D115" t="s">
        <v>49</v>
      </c>
      <c r="E115" t="s">
        <v>32</v>
      </c>
      <c r="F115" t="s">
        <v>13</v>
      </c>
      <c r="G115">
        <v>3</v>
      </c>
      <c r="H115">
        <v>1680.4</v>
      </c>
      <c r="I115">
        <v>5041.2</v>
      </c>
      <c r="J115">
        <f t="shared" si="1"/>
        <v>3780.8999999999996</v>
      </c>
    </row>
    <row r="116" spans="1:10" x14ac:dyDescent="0.35">
      <c r="A116" s="3" t="s">
        <v>161</v>
      </c>
      <c r="B116" s="2">
        <v>46260</v>
      </c>
      <c r="C116" t="s">
        <v>143</v>
      </c>
      <c r="D116" t="s">
        <v>49</v>
      </c>
      <c r="E116" t="s">
        <v>32</v>
      </c>
      <c r="F116" t="s">
        <v>19</v>
      </c>
      <c r="G116">
        <v>1</v>
      </c>
      <c r="H116">
        <v>1828.33</v>
      </c>
      <c r="I116">
        <v>1828.33</v>
      </c>
      <c r="J116">
        <f t="shared" si="1"/>
        <v>1371.2474999999999</v>
      </c>
    </row>
    <row r="117" spans="1:10" x14ac:dyDescent="0.35">
      <c r="A117" s="3" t="s">
        <v>162</v>
      </c>
      <c r="B117" s="2">
        <v>46073</v>
      </c>
      <c r="C117" t="s">
        <v>71</v>
      </c>
      <c r="D117" t="s">
        <v>44</v>
      </c>
      <c r="E117" t="s">
        <v>45</v>
      </c>
      <c r="F117" t="s">
        <v>19</v>
      </c>
      <c r="G117">
        <v>4</v>
      </c>
      <c r="H117">
        <v>9250.5</v>
      </c>
      <c r="I117">
        <v>37002</v>
      </c>
      <c r="J117">
        <f t="shared" si="1"/>
        <v>27751.5</v>
      </c>
    </row>
    <row r="118" spans="1:10" x14ac:dyDescent="0.35">
      <c r="A118" s="3" t="s">
        <v>163</v>
      </c>
      <c r="B118" s="2">
        <v>46100</v>
      </c>
      <c r="C118" t="s">
        <v>34</v>
      </c>
      <c r="D118" t="s">
        <v>22</v>
      </c>
      <c r="E118" t="s">
        <v>12</v>
      </c>
      <c r="F118" t="s">
        <v>16</v>
      </c>
      <c r="G118">
        <v>1</v>
      </c>
      <c r="H118">
        <v>15591.58</v>
      </c>
      <c r="I118">
        <v>15591.58</v>
      </c>
      <c r="J118">
        <f t="shared" si="1"/>
        <v>11693.684999999999</v>
      </c>
    </row>
    <row r="119" spans="1:10" x14ac:dyDescent="0.35">
      <c r="A119" s="3" t="s">
        <v>164</v>
      </c>
      <c r="B119" s="2">
        <v>46132</v>
      </c>
      <c r="C119" t="s">
        <v>53</v>
      </c>
      <c r="D119" t="s">
        <v>36</v>
      </c>
      <c r="E119" t="s">
        <v>12</v>
      </c>
      <c r="F119" t="s">
        <v>16</v>
      </c>
      <c r="G119">
        <v>1</v>
      </c>
      <c r="H119">
        <v>11633.29</v>
      </c>
      <c r="I119">
        <v>11633.29</v>
      </c>
      <c r="J119">
        <f t="shared" si="1"/>
        <v>8724.9675000000007</v>
      </c>
    </row>
    <row r="120" spans="1:10" x14ac:dyDescent="0.35">
      <c r="A120" s="3" t="s">
        <v>165</v>
      </c>
      <c r="B120" s="2">
        <v>46130</v>
      </c>
      <c r="C120" t="s">
        <v>75</v>
      </c>
      <c r="D120" t="s">
        <v>60</v>
      </c>
      <c r="E120" t="s">
        <v>32</v>
      </c>
      <c r="F120" t="s">
        <v>16</v>
      </c>
      <c r="G120">
        <v>3</v>
      </c>
      <c r="H120">
        <v>1985.57</v>
      </c>
      <c r="I120">
        <v>5956.71</v>
      </c>
      <c r="J120">
        <f t="shared" si="1"/>
        <v>4467.5325000000003</v>
      </c>
    </row>
    <row r="121" spans="1:10" x14ac:dyDescent="0.35">
      <c r="A121" s="3" t="s">
        <v>166</v>
      </c>
      <c r="B121" s="2">
        <v>46235</v>
      </c>
      <c r="C121" t="s">
        <v>30</v>
      </c>
      <c r="D121" t="s">
        <v>44</v>
      </c>
      <c r="E121" t="s">
        <v>45</v>
      </c>
      <c r="F121" t="s">
        <v>13</v>
      </c>
      <c r="G121">
        <v>3</v>
      </c>
      <c r="H121">
        <v>8730.49</v>
      </c>
      <c r="I121">
        <v>26191.47</v>
      </c>
      <c r="J121">
        <f t="shared" si="1"/>
        <v>19643.602500000001</v>
      </c>
    </row>
  </sheetData>
  <autoFilter ref="A1:J121" xr:uid="{E62F6118-2C0F-48CB-8359-42D5839BDFE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ADDF-B891-4849-BD60-EE272A2F32E6}">
  <dimension ref="A1:D17"/>
  <sheetViews>
    <sheetView workbookViewId="0"/>
  </sheetViews>
  <sheetFormatPr defaultRowHeight="14.5" x14ac:dyDescent="0.35"/>
  <cols>
    <col min="1" max="1" width="9.6328125" bestFit="1" customWidth="1"/>
    <col min="2" max="2" width="19.7265625" bestFit="1" customWidth="1"/>
    <col min="3" max="3" width="20.7265625" bestFit="1" customWidth="1"/>
    <col min="4" max="4" width="19.54296875" bestFit="1" customWidth="1"/>
  </cols>
  <sheetData>
    <row r="1" spans="1:4" ht="18.5" x14ac:dyDescent="0.45">
      <c r="A1" s="1" t="s">
        <v>167</v>
      </c>
      <c r="B1" s="1" t="s">
        <v>168</v>
      </c>
      <c r="C1" s="1" t="s">
        <v>169</v>
      </c>
      <c r="D1" s="1" t="s">
        <v>170</v>
      </c>
    </row>
    <row r="2" spans="1:4" x14ac:dyDescent="0.35">
      <c r="B2">
        <f>SUM('Sales Data'!$G:$G)</f>
        <v>348</v>
      </c>
      <c r="C2">
        <f>SUM('Sales Data'!H:H)</f>
        <v>1742170.7700000003</v>
      </c>
      <c r="D2">
        <f>SUM('Sales Data'!I:I)</f>
        <v>5053724.5400000019</v>
      </c>
    </row>
    <row r="4" spans="1:4" ht="18.5" x14ac:dyDescent="0.45">
      <c r="A4" s="1" t="s">
        <v>171</v>
      </c>
      <c r="B4" s="1" t="s">
        <v>172</v>
      </c>
      <c r="C4" s="1" t="s">
        <v>173</v>
      </c>
      <c r="D4" s="1" t="s">
        <v>174</v>
      </c>
    </row>
    <row r="5" spans="1:4" x14ac:dyDescent="0.35">
      <c r="B5">
        <f>AVERAGE('Sales Data'!G:G)</f>
        <v>2.9</v>
      </c>
      <c r="C5">
        <f>AVERAGE('Sales Data'!H:H)</f>
        <v>14518.089750000003</v>
      </c>
      <c r="D5">
        <f>AVERAGE('Sales Data'!I:I)</f>
        <v>42114.371166666686</v>
      </c>
    </row>
    <row r="7" spans="1:4" ht="18.5" x14ac:dyDescent="0.45">
      <c r="A7" s="1" t="s">
        <v>175</v>
      </c>
      <c r="B7" s="1" t="s">
        <v>176</v>
      </c>
    </row>
    <row r="8" spans="1:4" x14ac:dyDescent="0.35">
      <c r="B8">
        <f>COUNT('Sales Data'!B:B)</f>
        <v>120</v>
      </c>
    </row>
    <row r="10" spans="1:4" ht="18.5" x14ac:dyDescent="0.45">
      <c r="A10" s="1" t="s">
        <v>177</v>
      </c>
      <c r="B10" s="1" t="s">
        <v>178</v>
      </c>
    </row>
    <row r="11" spans="1:4" x14ac:dyDescent="0.35">
      <c r="B11">
        <f>COUNTA('Sales Data'!C:C)-1</f>
        <v>120</v>
      </c>
    </row>
    <row r="13" spans="1:4" ht="18.5" x14ac:dyDescent="0.45">
      <c r="A13" s="1" t="s">
        <v>179</v>
      </c>
      <c r="B13" s="1" t="s">
        <v>180</v>
      </c>
      <c r="C13" s="1" t="s">
        <v>181</v>
      </c>
      <c r="D13" s="1" t="s">
        <v>182</v>
      </c>
    </row>
    <row r="14" spans="1:4" x14ac:dyDescent="0.35">
      <c r="B14">
        <f>MAX('Sales Data'!G:G)</f>
        <v>5</v>
      </c>
      <c r="C14">
        <f>MAX('Sales Data'!H:H)</f>
        <v>59147.42</v>
      </c>
      <c r="D14">
        <f>MAX('Sales Data'!I:I)</f>
        <v>277965.7</v>
      </c>
    </row>
    <row r="16" spans="1:4" ht="18.5" x14ac:dyDescent="0.45">
      <c r="A16" s="1" t="s">
        <v>183</v>
      </c>
      <c r="B16" s="1" t="s">
        <v>184</v>
      </c>
      <c r="C16" s="1" t="s">
        <v>185</v>
      </c>
      <c r="D16" s="1" t="s">
        <v>186</v>
      </c>
    </row>
    <row r="17" spans="2:4" x14ac:dyDescent="0.35">
      <c r="B17">
        <f>+MIN('Sales Data'!G:G)</f>
        <v>1</v>
      </c>
      <c r="C17">
        <f>MIN('Sales Data'!H:H)</f>
        <v>851.23</v>
      </c>
      <c r="D17">
        <f>MIN('Sales Data'!I:I)</f>
        <v>851.23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D4D0-60AD-4BE2-8A83-99582DE7CEAF}">
  <dimension ref="A1:B21"/>
  <sheetViews>
    <sheetView topLeftCell="A8" workbookViewId="0">
      <selection activeCell="F5" sqref="F5"/>
    </sheetView>
  </sheetViews>
  <sheetFormatPr defaultRowHeight="14.5" x14ac:dyDescent="0.35"/>
  <cols>
    <col min="1" max="1" width="12.08984375" bestFit="1" customWidth="1"/>
    <col min="2" max="2" width="48.7265625" bestFit="1" customWidth="1"/>
  </cols>
  <sheetData>
    <row r="1" spans="1:2" ht="18.5" x14ac:dyDescent="0.45">
      <c r="A1" s="1" t="s">
        <v>188</v>
      </c>
      <c r="B1" s="1" t="s">
        <v>189</v>
      </c>
    </row>
    <row r="2" spans="1:2" x14ac:dyDescent="0.35">
      <c r="B2">
        <f>COUNTIF('Sales Data'!E:E,"Electronics")</f>
        <v>63</v>
      </c>
    </row>
    <row r="5" spans="1:2" ht="18.5" x14ac:dyDescent="0.45">
      <c r="A5" s="1" t="s">
        <v>190</v>
      </c>
      <c r="B5" s="1" t="s">
        <v>191</v>
      </c>
    </row>
    <row r="6" spans="1:2" x14ac:dyDescent="0.35">
      <c r="B6">
        <f>COUNTIFS('Sales Data'!E:E,"Electronics",'Sales Data'!F:F,"South")</f>
        <v>14</v>
      </c>
    </row>
    <row r="8" spans="1:2" ht="18.5" x14ac:dyDescent="0.45">
      <c r="A8" s="1" t="s">
        <v>192</v>
      </c>
      <c r="B8" s="1" t="s">
        <v>193</v>
      </c>
    </row>
    <row r="9" spans="1:2" x14ac:dyDescent="0.35">
      <c r="B9">
        <f>SUMIF('Sales Data'!E:E,"Electronics",'Sales Data'!I:I)</f>
        <v>4142688.1400000006</v>
      </c>
    </row>
    <row r="12" spans="1:2" ht="18.5" x14ac:dyDescent="0.45">
      <c r="A12" s="1" t="s">
        <v>194</v>
      </c>
      <c r="B12" s="1" t="s">
        <v>195</v>
      </c>
    </row>
    <row r="13" spans="1:2" x14ac:dyDescent="0.35">
      <c r="B13">
        <f>SUMIFS('Sales Data'!I:I,'Sales Data'!E:E,"Electronics",'Sales Data'!F:F,"South")</f>
        <v>955804.05999999994</v>
      </c>
    </row>
    <row r="16" spans="1:2" ht="18.5" x14ac:dyDescent="0.45">
      <c r="A16" s="1" t="s">
        <v>196</v>
      </c>
      <c r="B16" s="1" t="s">
        <v>197</v>
      </c>
    </row>
    <row r="17" spans="1:2" x14ac:dyDescent="0.35">
      <c r="B17">
        <f>AVERAGEIF('Sales Data'!E:E,"Electronics",'Sales Data'!I:I)</f>
        <v>65756.954603174614</v>
      </c>
    </row>
    <row r="20" spans="1:2" ht="18.5" x14ac:dyDescent="0.45">
      <c r="A20" s="1" t="s">
        <v>198</v>
      </c>
      <c r="B20" s="1" t="s">
        <v>199</v>
      </c>
    </row>
    <row r="21" spans="1:2" x14ac:dyDescent="0.35">
      <c r="B21">
        <f>AVERAGEIFS('Sales Data'!I:I,'Sales Data'!E:E,"Electronics",'Sales Data'!F:F,"South")</f>
        <v>68271.718571428573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D468-80BA-4671-BB97-5033B05D9AD8}">
  <dimension ref="A1:J14"/>
  <sheetViews>
    <sheetView workbookViewId="0">
      <selection activeCell="E7" sqref="E7"/>
    </sheetView>
  </sheetViews>
  <sheetFormatPr defaultRowHeight="14.5" x14ac:dyDescent="0.35"/>
  <cols>
    <col min="1" max="1" width="23.54296875" bestFit="1" customWidth="1"/>
    <col min="2" max="2" width="10.81640625" bestFit="1" customWidth="1"/>
    <col min="5" max="5" width="23.6328125" bestFit="1" customWidth="1"/>
    <col min="6" max="6" width="10.81640625" bestFit="1" customWidth="1"/>
    <col min="9" max="9" width="21.453125" bestFit="1" customWidth="1"/>
    <col min="10" max="10" width="10.81640625" bestFit="1" customWidth="1"/>
  </cols>
  <sheetData>
    <row r="1" spans="1:10" ht="18.5" x14ac:dyDescent="0.45">
      <c r="A1" s="1" t="s">
        <v>200</v>
      </c>
      <c r="E1" s="1" t="s">
        <v>201</v>
      </c>
      <c r="I1" s="1" t="s">
        <v>202</v>
      </c>
    </row>
    <row r="3" spans="1:10" ht="18.5" x14ac:dyDescent="0.45">
      <c r="A3" s="4" t="str" cm="1">
        <f t="array" ref="A3:A14">_xlfn.UNIQUE('Sales Data'!D:D)</f>
        <v>Product</v>
      </c>
      <c r="B3" s="4" t="s">
        <v>8</v>
      </c>
      <c r="E3" s="4" t="str" cm="1">
        <f t="array" ref="E3:E7">_xlfn.UNIQUE('Sales Data'!E:E)</f>
        <v>Category</v>
      </c>
      <c r="F3" s="4" t="s">
        <v>8</v>
      </c>
      <c r="I3" s="4" t="str" cm="1">
        <f t="array" ref="I3:I9">_xlfn.UNIQUE('Sales Data'!F:F)</f>
        <v>Region</v>
      </c>
      <c r="J3" s="4" t="s">
        <v>8</v>
      </c>
    </row>
    <row r="4" spans="1:10" x14ac:dyDescent="0.35">
      <c r="A4" t="str">
        <v>Smartphone</v>
      </c>
      <c r="B4">
        <f>SUMIF('Sales Data'!D:D,A4,'Sales Data'!I:I)</f>
        <v>1255308.1100000001</v>
      </c>
      <c r="E4" t="str">
        <v>Electronics</v>
      </c>
      <c r="F4">
        <f>SUMIF('Sales Data'!E:E,'Revenue Calculations'!E4,'Sales Data'!I:I)</f>
        <v>4142688.1400000006</v>
      </c>
      <c r="I4" t="str">
        <v>South</v>
      </c>
      <c r="J4">
        <f>SUMIF('Sales Data'!F:F,'Revenue Calculations'!I4,'Sales Data'!I:I)</f>
        <v>1149852.74</v>
      </c>
    </row>
    <row r="5" spans="1:10" x14ac:dyDescent="0.35">
      <c r="A5" t="str">
        <v>Monitor</v>
      </c>
      <c r="B5">
        <f>SUMIF('Sales Data'!D:D,A5,'Sales Data'!I:I)</f>
        <v>703898.44</v>
      </c>
      <c r="E5" t="str">
        <v>Accessories</v>
      </c>
      <c r="F5">
        <f>SUMIF('Sales Data'!E:E,'Revenue Calculations'!E5,'Sales Data'!I:I)</f>
        <v>146219.74000000002</v>
      </c>
      <c r="I5" t="str">
        <v>North</v>
      </c>
      <c r="J5">
        <f>SUMIF('Sales Data'!F:F,'Revenue Calculations'!I5,'Sales Data'!I:I)</f>
        <v>963973.39</v>
      </c>
    </row>
    <row r="6" spans="1:10" x14ac:dyDescent="0.35">
      <c r="A6" t="str">
        <v>Laptop</v>
      </c>
      <c r="B6">
        <f>SUMIF('Sales Data'!D:D,A6,'Sales Data'!I:I)</f>
        <v>1714537.95</v>
      </c>
      <c r="E6" t="str">
        <v>Furniture</v>
      </c>
      <c r="F6">
        <f>SUMIF('Sales Data'!E:E,'Revenue Calculations'!E6,'Sales Data'!I:I)</f>
        <v>764816.65999999992</v>
      </c>
      <c r="I6" t="str">
        <v>Central</v>
      </c>
      <c r="J6">
        <f>SUMIF('Sales Data'!F:F,'Revenue Calculations'!I6,'Sales Data'!I:I)</f>
        <v>794071.59000000008</v>
      </c>
    </row>
    <row r="7" spans="1:10" x14ac:dyDescent="0.35">
      <c r="A7" t="str">
        <v>Mouse</v>
      </c>
      <c r="B7">
        <f>SUMIF('Sales Data'!D:D,A7,'Sales Data'!I:I)</f>
        <v>14150.970000000001</v>
      </c>
      <c r="E7">
        <v>0</v>
      </c>
      <c r="I7" t="str">
        <v>East</v>
      </c>
      <c r="J7">
        <f>SUMIF('Sales Data'!F:F,'Revenue Calculations'!I7,'Sales Data'!I:I)</f>
        <v>1177426.33</v>
      </c>
    </row>
    <row r="8" spans="1:10" x14ac:dyDescent="0.35">
      <c r="A8" t="str">
        <v>Printer</v>
      </c>
      <c r="B8">
        <f>SUMIF('Sales Data'!D:D,A8,'Sales Data'!I:I)</f>
        <v>390252.37</v>
      </c>
      <c r="I8" t="str">
        <v>West</v>
      </c>
      <c r="J8">
        <f>SUMIF('Sales Data'!F:F,'Revenue Calculations'!I8,'Sales Data'!I:I)</f>
        <v>968400.49</v>
      </c>
    </row>
    <row r="9" spans="1:10" x14ac:dyDescent="0.35">
      <c r="A9" t="str">
        <v>Office Chair</v>
      </c>
      <c r="B9">
        <f>SUMIF('Sales Data'!D:D,A9,'Sales Data'!I:I)</f>
        <v>409784.06999999995</v>
      </c>
      <c r="I9">
        <v>0</v>
      </c>
    </row>
    <row r="10" spans="1:10" x14ac:dyDescent="0.35">
      <c r="A10" t="str">
        <v>Keyboard</v>
      </c>
      <c r="B10">
        <f>SUMIF('Sales Data'!D:D,A10,'Sales Data'!I:I)</f>
        <v>67211.279999999984</v>
      </c>
    </row>
    <row r="11" spans="1:10" x14ac:dyDescent="0.35">
      <c r="A11" t="str">
        <v>Headphones</v>
      </c>
      <c r="B11">
        <f>SUMIF('Sales Data'!D:D,A11,'Sales Data'!I:I)</f>
        <v>78691.26999999999</v>
      </c>
    </row>
    <row r="12" spans="1:10" x14ac:dyDescent="0.35">
      <c r="A12" t="str">
        <v>Backpack</v>
      </c>
      <c r="B12">
        <f>SUMIF('Sales Data'!D:D,A12,'Sales Data'!I:I)</f>
        <v>64857.49</v>
      </c>
    </row>
    <row r="13" spans="1:10" x14ac:dyDescent="0.35">
      <c r="A13" t="str">
        <v>Desk</v>
      </c>
      <c r="B13">
        <f>SUMIF('Sales Data'!D:D,A13,'Sales Data'!I:I)</f>
        <v>355032.58999999997</v>
      </c>
    </row>
    <row r="14" spans="1:10" x14ac:dyDescent="0.35">
      <c r="A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8DC2-E31A-4363-93AF-260FF66560B7}">
  <dimension ref="A1:L121"/>
  <sheetViews>
    <sheetView tabSelected="1" topLeftCell="B1" workbookViewId="0">
      <selection activeCell="B1" sqref="B1"/>
    </sheetView>
  </sheetViews>
  <sheetFormatPr defaultRowHeight="14.5" x14ac:dyDescent="0.35"/>
  <cols>
    <col min="1" max="1" width="10" bestFit="1" customWidth="1"/>
    <col min="2" max="2" width="12.81640625" bestFit="1" customWidth="1"/>
    <col min="3" max="3" width="18.26953125" bestFit="1" customWidth="1"/>
    <col min="4" max="4" width="11.36328125" bestFit="1" customWidth="1"/>
    <col min="5" max="5" width="10.453125" bestFit="1" customWidth="1"/>
    <col min="6" max="6" width="8.26953125" bestFit="1" customWidth="1"/>
    <col min="7" max="7" width="10.36328125" bestFit="1" customWidth="1"/>
    <col min="8" max="8" width="11.36328125" bestFit="1" customWidth="1"/>
    <col min="9" max="9" width="10.1796875" bestFit="1" customWidth="1"/>
    <col min="10" max="10" width="11.81640625" bestFit="1" customWidth="1"/>
    <col min="12" max="12" width="15.1796875" bestFit="1" customWidth="1"/>
  </cols>
  <sheetData>
    <row r="1" spans="1:12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187</v>
      </c>
      <c r="K1" s="1" t="s">
        <v>203</v>
      </c>
      <c r="L1" s="1" t="s">
        <v>204</v>
      </c>
    </row>
    <row r="2" spans="1:12" x14ac:dyDescent="0.35">
      <c r="A2" s="3" t="s">
        <v>9</v>
      </c>
      <c r="B2" s="2">
        <v>46085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29352.68</v>
      </c>
      <c r="I2">
        <v>29352.68</v>
      </c>
      <c r="J2">
        <f t="shared" ref="J2:J65" si="0">I2*75%</f>
        <v>22014.510000000002</v>
      </c>
      <c r="K2">
        <f>I2-J2</f>
        <v>7338.1699999999983</v>
      </c>
      <c r="L2" s="5">
        <f>K2/I2</f>
        <v>0.24999999999999994</v>
      </c>
    </row>
    <row r="3" spans="1:12" x14ac:dyDescent="0.35">
      <c r="A3" s="3" t="s">
        <v>14</v>
      </c>
      <c r="B3" s="2">
        <v>46131</v>
      </c>
      <c r="C3" t="s">
        <v>15</v>
      </c>
      <c r="D3" t="s">
        <v>11</v>
      </c>
      <c r="E3" t="s">
        <v>12</v>
      </c>
      <c r="F3" t="s">
        <v>16</v>
      </c>
      <c r="G3">
        <v>5</v>
      </c>
      <c r="H3">
        <v>25686.86</v>
      </c>
      <c r="I3">
        <v>128434.3</v>
      </c>
      <c r="J3">
        <f t="shared" si="0"/>
        <v>96325.725000000006</v>
      </c>
      <c r="K3">
        <f t="shared" ref="K3:K66" si="1">I3-J3</f>
        <v>32108.574999999997</v>
      </c>
      <c r="L3" s="5">
        <f t="shared" ref="L3:L66" si="2">K3/I3</f>
        <v>0.24999999999999997</v>
      </c>
    </row>
    <row r="4" spans="1:12" x14ac:dyDescent="0.35">
      <c r="A4" s="3" t="s">
        <v>17</v>
      </c>
      <c r="B4" s="2">
        <v>46177</v>
      </c>
      <c r="C4" t="s">
        <v>18</v>
      </c>
      <c r="D4" t="s">
        <v>11</v>
      </c>
      <c r="E4" t="s">
        <v>12</v>
      </c>
      <c r="F4" t="s">
        <v>19</v>
      </c>
      <c r="G4">
        <v>2</v>
      </c>
      <c r="H4">
        <v>26502.9</v>
      </c>
      <c r="I4">
        <v>53005.8</v>
      </c>
      <c r="J4">
        <f t="shared" si="0"/>
        <v>39754.350000000006</v>
      </c>
      <c r="K4">
        <f t="shared" si="1"/>
        <v>13251.449999999997</v>
      </c>
      <c r="L4" s="5">
        <f t="shared" si="2"/>
        <v>0.24999999999999994</v>
      </c>
    </row>
    <row r="5" spans="1:12" x14ac:dyDescent="0.35">
      <c r="A5" s="3" t="s">
        <v>20</v>
      </c>
      <c r="B5" s="2">
        <v>46137</v>
      </c>
      <c r="C5" t="s">
        <v>21</v>
      </c>
      <c r="D5" t="s">
        <v>22</v>
      </c>
      <c r="E5" t="s">
        <v>12</v>
      </c>
      <c r="F5" t="s">
        <v>23</v>
      </c>
      <c r="G5">
        <v>5</v>
      </c>
      <c r="H5">
        <v>14758.56</v>
      </c>
      <c r="I5">
        <v>73792.800000000003</v>
      </c>
      <c r="J5">
        <f t="shared" si="0"/>
        <v>55344.600000000006</v>
      </c>
      <c r="K5">
        <f t="shared" si="1"/>
        <v>18448.199999999997</v>
      </c>
      <c r="L5" s="5">
        <f t="shared" si="2"/>
        <v>0.24999999999999994</v>
      </c>
    </row>
    <row r="6" spans="1:12" x14ac:dyDescent="0.35">
      <c r="A6" s="3" t="s">
        <v>24</v>
      </c>
      <c r="B6" s="2">
        <v>46110</v>
      </c>
      <c r="C6" t="s">
        <v>25</v>
      </c>
      <c r="D6" t="s">
        <v>26</v>
      </c>
      <c r="E6" t="s">
        <v>12</v>
      </c>
      <c r="F6" t="s">
        <v>13</v>
      </c>
      <c r="G6">
        <v>2</v>
      </c>
      <c r="H6">
        <v>57179.53</v>
      </c>
      <c r="I6">
        <v>114359.06</v>
      </c>
      <c r="J6">
        <f t="shared" si="0"/>
        <v>85769.294999999998</v>
      </c>
      <c r="K6">
        <f t="shared" si="1"/>
        <v>28589.764999999999</v>
      </c>
      <c r="L6" s="5">
        <f t="shared" si="2"/>
        <v>0.25</v>
      </c>
    </row>
    <row r="7" spans="1:12" x14ac:dyDescent="0.35">
      <c r="A7" s="3" t="s">
        <v>27</v>
      </c>
      <c r="B7" s="2">
        <v>46120</v>
      </c>
      <c r="C7" t="s">
        <v>28</v>
      </c>
      <c r="D7" t="s">
        <v>22</v>
      </c>
      <c r="E7" t="s">
        <v>12</v>
      </c>
      <c r="F7" t="s">
        <v>23</v>
      </c>
      <c r="G7">
        <v>3</v>
      </c>
      <c r="H7">
        <v>13806.63</v>
      </c>
      <c r="I7">
        <v>41419.89</v>
      </c>
      <c r="J7">
        <f t="shared" si="0"/>
        <v>31064.9175</v>
      </c>
      <c r="K7">
        <f t="shared" si="1"/>
        <v>10354.9725</v>
      </c>
      <c r="L7" s="5">
        <f t="shared" si="2"/>
        <v>0.25</v>
      </c>
    </row>
    <row r="8" spans="1:12" x14ac:dyDescent="0.35">
      <c r="A8" s="3" t="s">
        <v>29</v>
      </c>
      <c r="B8" s="2">
        <v>46034</v>
      </c>
      <c r="C8" t="s">
        <v>30</v>
      </c>
      <c r="D8" t="s">
        <v>31</v>
      </c>
      <c r="E8" t="s">
        <v>32</v>
      </c>
      <c r="F8" t="s">
        <v>19</v>
      </c>
      <c r="G8">
        <v>5</v>
      </c>
      <c r="H8">
        <v>857.61</v>
      </c>
      <c r="I8">
        <v>4288.05</v>
      </c>
      <c r="J8">
        <f t="shared" si="0"/>
        <v>3216.0375000000004</v>
      </c>
      <c r="K8">
        <f t="shared" si="1"/>
        <v>1072.0124999999998</v>
      </c>
      <c r="L8" s="5">
        <f t="shared" si="2"/>
        <v>0.24999999999999994</v>
      </c>
    </row>
    <row r="9" spans="1:12" x14ac:dyDescent="0.35">
      <c r="A9" s="3" t="s">
        <v>33</v>
      </c>
      <c r="B9" s="2">
        <v>46098</v>
      </c>
      <c r="C9" t="s">
        <v>34</v>
      </c>
      <c r="D9" t="s">
        <v>11</v>
      </c>
      <c r="E9" t="s">
        <v>12</v>
      </c>
      <c r="F9" t="s">
        <v>23</v>
      </c>
      <c r="G9">
        <v>4</v>
      </c>
      <c r="H9">
        <v>25641.279999999999</v>
      </c>
      <c r="I9">
        <v>102565.12</v>
      </c>
      <c r="J9">
        <f t="shared" si="0"/>
        <v>76923.839999999997</v>
      </c>
      <c r="K9">
        <f t="shared" si="1"/>
        <v>25641.279999999999</v>
      </c>
      <c r="L9" s="5">
        <f t="shared" si="2"/>
        <v>0.25</v>
      </c>
    </row>
    <row r="10" spans="1:12" x14ac:dyDescent="0.35">
      <c r="A10" s="3" t="s">
        <v>35</v>
      </c>
      <c r="B10" s="2">
        <v>46034</v>
      </c>
      <c r="C10" t="s">
        <v>10</v>
      </c>
      <c r="D10" t="s">
        <v>36</v>
      </c>
      <c r="E10" t="s">
        <v>12</v>
      </c>
      <c r="F10" t="s">
        <v>23</v>
      </c>
      <c r="G10">
        <v>2</v>
      </c>
      <c r="H10">
        <v>12490.97</v>
      </c>
      <c r="I10">
        <v>24981.94</v>
      </c>
      <c r="J10">
        <f t="shared" si="0"/>
        <v>18736.454999999998</v>
      </c>
      <c r="K10">
        <f t="shared" si="1"/>
        <v>6245.4850000000006</v>
      </c>
      <c r="L10" s="5">
        <f t="shared" si="2"/>
        <v>0.25000000000000006</v>
      </c>
    </row>
    <row r="11" spans="1:12" x14ac:dyDescent="0.35">
      <c r="A11" s="3" t="s">
        <v>37</v>
      </c>
      <c r="B11" s="2">
        <v>46120</v>
      </c>
      <c r="C11" t="s">
        <v>25</v>
      </c>
      <c r="D11" t="s">
        <v>11</v>
      </c>
      <c r="E11" t="s">
        <v>12</v>
      </c>
      <c r="F11" t="s">
        <v>38</v>
      </c>
      <c r="G11">
        <v>2</v>
      </c>
      <c r="H11">
        <v>30052.31</v>
      </c>
      <c r="I11">
        <v>60104.62</v>
      </c>
      <c r="J11">
        <f t="shared" si="0"/>
        <v>45078.465000000004</v>
      </c>
      <c r="K11">
        <f t="shared" si="1"/>
        <v>15026.154999999999</v>
      </c>
      <c r="L11" s="5">
        <f t="shared" si="2"/>
        <v>0.24999999999999997</v>
      </c>
    </row>
    <row r="12" spans="1:12" x14ac:dyDescent="0.35">
      <c r="A12" s="3" t="s">
        <v>39</v>
      </c>
      <c r="B12" s="2">
        <v>46076</v>
      </c>
      <c r="C12" t="s">
        <v>25</v>
      </c>
      <c r="D12" t="s">
        <v>31</v>
      </c>
      <c r="E12" t="s">
        <v>32</v>
      </c>
      <c r="F12" t="s">
        <v>16</v>
      </c>
      <c r="G12">
        <v>2</v>
      </c>
      <c r="H12">
        <v>876.63</v>
      </c>
      <c r="I12">
        <v>1753.26</v>
      </c>
      <c r="J12">
        <f t="shared" si="0"/>
        <v>1314.9449999999999</v>
      </c>
      <c r="K12">
        <f t="shared" si="1"/>
        <v>438.31500000000005</v>
      </c>
      <c r="L12" s="5">
        <f t="shared" si="2"/>
        <v>0.25000000000000006</v>
      </c>
    </row>
    <row r="13" spans="1:12" x14ac:dyDescent="0.35">
      <c r="A13" s="3" t="s">
        <v>40</v>
      </c>
      <c r="B13" s="2">
        <v>46085</v>
      </c>
      <c r="C13" t="s">
        <v>41</v>
      </c>
      <c r="D13" t="s">
        <v>36</v>
      </c>
      <c r="E13" t="s">
        <v>12</v>
      </c>
      <c r="F13" t="s">
        <v>38</v>
      </c>
      <c r="G13">
        <v>2</v>
      </c>
      <c r="H13">
        <v>12081.94</v>
      </c>
      <c r="I13">
        <v>24163.88</v>
      </c>
      <c r="J13">
        <f t="shared" si="0"/>
        <v>18122.91</v>
      </c>
      <c r="K13">
        <f t="shared" si="1"/>
        <v>6040.9700000000012</v>
      </c>
      <c r="L13" s="5">
        <f t="shared" si="2"/>
        <v>0.25000000000000006</v>
      </c>
    </row>
    <row r="14" spans="1:12" x14ac:dyDescent="0.35">
      <c r="A14" s="3" t="s">
        <v>42</v>
      </c>
      <c r="B14" s="2">
        <v>46186</v>
      </c>
      <c r="C14" t="s">
        <v>43</v>
      </c>
      <c r="D14" t="s">
        <v>44</v>
      </c>
      <c r="E14" t="s">
        <v>45</v>
      </c>
      <c r="F14" t="s">
        <v>13</v>
      </c>
      <c r="G14">
        <v>3</v>
      </c>
      <c r="H14">
        <v>9332.19</v>
      </c>
      <c r="I14">
        <v>27996.57</v>
      </c>
      <c r="J14">
        <f t="shared" si="0"/>
        <v>20997.427499999998</v>
      </c>
      <c r="K14">
        <f t="shared" si="1"/>
        <v>6999.1425000000017</v>
      </c>
      <c r="L14" s="5">
        <f t="shared" si="2"/>
        <v>0.25000000000000006</v>
      </c>
    </row>
    <row r="15" spans="1:12" x14ac:dyDescent="0.35">
      <c r="A15" s="3" t="s">
        <v>46</v>
      </c>
      <c r="B15" s="2">
        <v>46031</v>
      </c>
      <c r="C15" t="s">
        <v>47</v>
      </c>
      <c r="D15" t="s">
        <v>31</v>
      </c>
      <c r="E15" t="s">
        <v>32</v>
      </c>
      <c r="F15" t="s">
        <v>38</v>
      </c>
      <c r="G15">
        <v>1</v>
      </c>
      <c r="H15">
        <v>851.23</v>
      </c>
      <c r="I15">
        <v>851.23</v>
      </c>
      <c r="J15">
        <f t="shared" si="0"/>
        <v>638.42250000000001</v>
      </c>
      <c r="K15">
        <f t="shared" si="1"/>
        <v>212.8075</v>
      </c>
      <c r="L15" s="5">
        <f t="shared" si="2"/>
        <v>0.25</v>
      </c>
    </row>
    <row r="16" spans="1:12" x14ac:dyDescent="0.35">
      <c r="A16" s="3" t="s">
        <v>48</v>
      </c>
      <c r="B16" s="2">
        <v>46264</v>
      </c>
      <c r="C16" t="s">
        <v>21</v>
      </c>
      <c r="D16" t="s">
        <v>49</v>
      </c>
      <c r="E16" t="s">
        <v>32</v>
      </c>
      <c r="F16" t="s">
        <v>23</v>
      </c>
      <c r="G16">
        <v>1</v>
      </c>
      <c r="H16">
        <v>1695.95</v>
      </c>
      <c r="I16">
        <v>1695.95</v>
      </c>
      <c r="J16">
        <f t="shared" si="0"/>
        <v>1271.9625000000001</v>
      </c>
      <c r="K16">
        <f t="shared" si="1"/>
        <v>423.98749999999995</v>
      </c>
      <c r="L16" s="5">
        <f t="shared" si="2"/>
        <v>0.24999999999999997</v>
      </c>
    </row>
    <row r="17" spans="1:12" x14ac:dyDescent="0.35">
      <c r="A17" s="3" t="s">
        <v>50</v>
      </c>
      <c r="B17" s="2">
        <v>46257</v>
      </c>
      <c r="C17" t="s">
        <v>30</v>
      </c>
      <c r="D17" t="s">
        <v>22</v>
      </c>
      <c r="E17" t="s">
        <v>12</v>
      </c>
      <c r="F17" t="s">
        <v>13</v>
      </c>
      <c r="G17">
        <v>4</v>
      </c>
      <c r="H17">
        <v>14686.9</v>
      </c>
      <c r="I17">
        <v>58747.6</v>
      </c>
      <c r="J17">
        <f t="shared" si="0"/>
        <v>44060.7</v>
      </c>
      <c r="K17">
        <f t="shared" si="1"/>
        <v>14686.900000000001</v>
      </c>
      <c r="L17" s="5">
        <f t="shared" si="2"/>
        <v>0.25000000000000006</v>
      </c>
    </row>
    <row r="18" spans="1:12" x14ac:dyDescent="0.35">
      <c r="A18" s="3" t="s">
        <v>51</v>
      </c>
      <c r="B18" s="2">
        <v>46166</v>
      </c>
      <c r="C18" t="s">
        <v>43</v>
      </c>
      <c r="D18" t="s">
        <v>49</v>
      </c>
      <c r="E18" t="s">
        <v>32</v>
      </c>
      <c r="F18" t="s">
        <v>23</v>
      </c>
      <c r="G18">
        <v>2</v>
      </c>
      <c r="H18">
        <v>1708.79</v>
      </c>
      <c r="I18">
        <v>3417.58</v>
      </c>
      <c r="J18">
        <f t="shared" si="0"/>
        <v>2563.1849999999999</v>
      </c>
      <c r="K18">
        <f t="shared" si="1"/>
        <v>854.39499999999998</v>
      </c>
      <c r="L18" s="5">
        <f t="shared" si="2"/>
        <v>0.25</v>
      </c>
    </row>
    <row r="19" spans="1:12" x14ac:dyDescent="0.35">
      <c r="A19" s="3" t="s">
        <v>52</v>
      </c>
      <c r="B19" s="2">
        <v>46125</v>
      </c>
      <c r="C19" t="s">
        <v>53</v>
      </c>
      <c r="D19" t="s">
        <v>36</v>
      </c>
      <c r="E19" t="s">
        <v>12</v>
      </c>
      <c r="F19" t="s">
        <v>13</v>
      </c>
      <c r="G19">
        <v>4</v>
      </c>
      <c r="H19">
        <v>12954.77</v>
      </c>
      <c r="I19">
        <v>51819.08</v>
      </c>
      <c r="J19">
        <f t="shared" si="0"/>
        <v>38864.31</v>
      </c>
      <c r="K19">
        <f t="shared" si="1"/>
        <v>12954.770000000004</v>
      </c>
      <c r="L19" s="5">
        <f t="shared" si="2"/>
        <v>0.25000000000000006</v>
      </c>
    </row>
    <row r="20" spans="1:12" x14ac:dyDescent="0.35">
      <c r="A20" s="3" t="s">
        <v>54</v>
      </c>
      <c r="B20" s="2">
        <v>46216</v>
      </c>
      <c r="C20" t="s">
        <v>15</v>
      </c>
      <c r="D20" t="s">
        <v>55</v>
      </c>
      <c r="E20" t="s">
        <v>12</v>
      </c>
      <c r="F20" t="s">
        <v>16</v>
      </c>
      <c r="G20">
        <v>5</v>
      </c>
      <c r="H20">
        <v>2496.7600000000002</v>
      </c>
      <c r="I20">
        <v>12483.8</v>
      </c>
      <c r="J20">
        <f t="shared" si="0"/>
        <v>9362.8499999999985</v>
      </c>
      <c r="K20">
        <f t="shared" si="1"/>
        <v>3120.9500000000007</v>
      </c>
      <c r="L20" s="5">
        <f t="shared" si="2"/>
        <v>0.25000000000000006</v>
      </c>
    </row>
    <row r="21" spans="1:12" x14ac:dyDescent="0.35">
      <c r="A21" s="3" t="s">
        <v>56</v>
      </c>
      <c r="B21" s="2">
        <v>46131</v>
      </c>
      <c r="C21" t="s">
        <v>34</v>
      </c>
      <c r="D21" t="s">
        <v>55</v>
      </c>
      <c r="E21" t="s">
        <v>12</v>
      </c>
      <c r="F21" t="s">
        <v>16</v>
      </c>
      <c r="G21">
        <v>2</v>
      </c>
      <c r="H21">
        <v>2646.04</v>
      </c>
      <c r="I21">
        <v>5292.08</v>
      </c>
      <c r="J21">
        <f t="shared" si="0"/>
        <v>3969.06</v>
      </c>
      <c r="K21">
        <f t="shared" si="1"/>
        <v>1323.02</v>
      </c>
      <c r="L21" s="5">
        <f t="shared" si="2"/>
        <v>0.25</v>
      </c>
    </row>
    <row r="22" spans="1:12" x14ac:dyDescent="0.35">
      <c r="A22" s="3" t="s">
        <v>57</v>
      </c>
      <c r="B22" s="2">
        <v>46142</v>
      </c>
      <c r="C22" t="s">
        <v>58</v>
      </c>
      <c r="D22" t="s">
        <v>44</v>
      </c>
      <c r="E22" t="s">
        <v>45</v>
      </c>
      <c r="F22" t="s">
        <v>23</v>
      </c>
      <c r="G22">
        <v>4</v>
      </c>
      <c r="H22">
        <v>8663.01</v>
      </c>
      <c r="I22">
        <v>34652.04</v>
      </c>
      <c r="J22">
        <f t="shared" si="0"/>
        <v>25989.03</v>
      </c>
      <c r="K22">
        <f t="shared" si="1"/>
        <v>8663.010000000002</v>
      </c>
      <c r="L22" s="5">
        <f t="shared" si="2"/>
        <v>0.25000000000000006</v>
      </c>
    </row>
    <row r="23" spans="1:12" x14ac:dyDescent="0.35">
      <c r="A23" s="3" t="s">
        <v>59</v>
      </c>
      <c r="B23" s="2">
        <v>46052</v>
      </c>
      <c r="C23" t="s">
        <v>43</v>
      </c>
      <c r="D23" t="s">
        <v>60</v>
      </c>
      <c r="E23" t="s">
        <v>32</v>
      </c>
      <c r="F23" t="s">
        <v>23</v>
      </c>
      <c r="G23">
        <v>1</v>
      </c>
      <c r="H23">
        <v>2279.3200000000002</v>
      </c>
      <c r="I23">
        <v>2279.3200000000002</v>
      </c>
      <c r="J23">
        <f t="shared" si="0"/>
        <v>1709.4900000000002</v>
      </c>
      <c r="K23">
        <f t="shared" si="1"/>
        <v>569.82999999999993</v>
      </c>
      <c r="L23" s="5">
        <f t="shared" si="2"/>
        <v>0.24999999999999994</v>
      </c>
    </row>
    <row r="24" spans="1:12" x14ac:dyDescent="0.35">
      <c r="A24" s="3" t="s">
        <v>61</v>
      </c>
      <c r="B24" s="2">
        <v>46063</v>
      </c>
      <c r="C24" t="s">
        <v>30</v>
      </c>
      <c r="D24" t="s">
        <v>31</v>
      </c>
      <c r="E24" t="s">
        <v>32</v>
      </c>
      <c r="F24" t="s">
        <v>16</v>
      </c>
      <c r="G24">
        <v>1</v>
      </c>
      <c r="H24">
        <v>862.83</v>
      </c>
      <c r="I24">
        <v>862.83</v>
      </c>
      <c r="J24">
        <f t="shared" si="0"/>
        <v>647.12250000000006</v>
      </c>
      <c r="K24">
        <f t="shared" si="1"/>
        <v>215.70749999999998</v>
      </c>
      <c r="L24" s="5">
        <f t="shared" si="2"/>
        <v>0.24999999999999997</v>
      </c>
    </row>
    <row r="25" spans="1:12" x14ac:dyDescent="0.35">
      <c r="A25" s="3" t="s">
        <v>62</v>
      </c>
      <c r="B25" s="2">
        <v>46152</v>
      </c>
      <c r="C25" t="s">
        <v>28</v>
      </c>
      <c r="D25" t="s">
        <v>49</v>
      </c>
      <c r="E25" t="s">
        <v>32</v>
      </c>
      <c r="F25" t="s">
        <v>23</v>
      </c>
      <c r="G25">
        <v>5</v>
      </c>
      <c r="H25">
        <v>1894.31</v>
      </c>
      <c r="I25">
        <v>9471.5499999999993</v>
      </c>
      <c r="J25">
        <f t="shared" si="0"/>
        <v>7103.6624999999995</v>
      </c>
      <c r="K25">
        <f t="shared" si="1"/>
        <v>2367.8874999999998</v>
      </c>
      <c r="L25" s="5">
        <f t="shared" si="2"/>
        <v>0.25</v>
      </c>
    </row>
    <row r="26" spans="1:12" x14ac:dyDescent="0.35">
      <c r="A26" s="3" t="s">
        <v>63</v>
      </c>
      <c r="B26" s="2">
        <v>46118</v>
      </c>
      <c r="C26" t="s">
        <v>41</v>
      </c>
      <c r="D26" t="s">
        <v>60</v>
      </c>
      <c r="E26" t="s">
        <v>32</v>
      </c>
      <c r="F26" t="s">
        <v>19</v>
      </c>
      <c r="G26">
        <v>5</v>
      </c>
      <c r="H26">
        <v>2067.52</v>
      </c>
      <c r="I26">
        <v>10337.6</v>
      </c>
      <c r="J26">
        <f t="shared" si="0"/>
        <v>7753.2000000000007</v>
      </c>
      <c r="K26">
        <f t="shared" si="1"/>
        <v>2584.3999999999996</v>
      </c>
      <c r="L26" s="5">
        <f t="shared" si="2"/>
        <v>0.24999999999999994</v>
      </c>
    </row>
    <row r="27" spans="1:12" x14ac:dyDescent="0.35">
      <c r="A27" s="3" t="s">
        <v>64</v>
      </c>
      <c r="B27" s="2">
        <v>46148</v>
      </c>
      <c r="C27" t="s">
        <v>18</v>
      </c>
      <c r="D27" t="s">
        <v>60</v>
      </c>
      <c r="E27" t="s">
        <v>32</v>
      </c>
      <c r="F27" t="s">
        <v>16</v>
      </c>
      <c r="G27">
        <v>1</v>
      </c>
      <c r="H27">
        <v>2243.54</v>
      </c>
      <c r="I27">
        <v>2243.54</v>
      </c>
      <c r="J27">
        <f t="shared" si="0"/>
        <v>1682.655</v>
      </c>
      <c r="K27">
        <f t="shared" si="1"/>
        <v>560.88499999999999</v>
      </c>
      <c r="L27" s="5">
        <f t="shared" si="2"/>
        <v>0.25</v>
      </c>
    </row>
    <row r="28" spans="1:12" x14ac:dyDescent="0.35">
      <c r="A28" s="3" t="s">
        <v>65</v>
      </c>
      <c r="B28" s="2">
        <v>46084</v>
      </c>
      <c r="C28" t="s">
        <v>21</v>
      </c>
      <c r="D28" t="s">
        <v>31</v>
      </c>
      <c r="E28" t="s">
        <v>32</v>
      </c>
      <c r="F28" t="s">
        <v>16</v>
      </c>
      <c r="G28">
        <v>3</v>
      </c>
      <c r="H28">
        <v>853.1</v>
      </c>
      <c r="I28">
        <v>2559.3000000000002</v>
      </c>
      <c r="J28">
        <f t="shared" si="0"/>
        <v>1919.4750000000001</v>
      </c>
      <c r="K28">
        <f t="shared" si="1"/>
        <v>639.82500000000005</v>
      </c>
      <c r="L28" s="5">
        <f t="shared" si="2"/>
        <v>0.25</v>
      </c>
    </row>
    <row r="29" spans="1:12" x14ac:dyDescent="0.35">
      <c r="A29" s="3" t="s">
        <v>66</v>
      </c>
      <c r="B29" s="2">
        <v>46217</v>
      </c>
      <c r="C29" t="s">
        <v>43</v>
      </c>
      <c r="D29" t="s">
        <v>11</v>
      </c>
      <c r="E29" t="s">
        <v>12</v>
      </c>
      <c r="F29" t="s">
        <v>13</v>
      </c>
      <c r="G29">
        <v>4</v>
      </c>
      <c r="H29">
        <v>29769.73</v>
      </c>
      <c r="I29">
        <v>119078.92</v>
      </c>
      <c r="J29">
        <f t="shared" si="0"/>
        <v>89309.19</v>
      </c>
      <c r="K29">
        <f t="shared" si="1"/>
        <v>29769.729999999996</v>
      </c>
      <c r="L29" s="5">
        <f t="shared" si="2"/>
        <v>0.24999999999999997</v>
      </c>
    </row>
    <row r="30" spans="1:12" x14ac:dyDescent="0.35">
      <c r="A30" s="3" t="s">
        <v>67</v>
      </c>
      <c r="B30" s="2">
        <v>46065</v>
      </c>
      <c r="C30" t="s">
        <v>25</v>
      </c>
      <c r="D30" t="s">
        <v>55</v>
      </c>
      <c r="E30" t="s">
        <v>12</v>
      </c>
      <c r="F30" t="s">
        <v>19</v>
      </c>
      <c r="G30">
        <v>4</v>
      </c>
      <c r="H30">
        <v>2723.42</v>
      </c>
      <c r="I30">
        <v>10893.68</v>
      </c>
      <c r="J30">
        <f t="shared" si="0"/>
        <v>8170.26</v>
      </c>
      <c r="K30">
        <f t="shared" si="1"/>
        <v>2723.42</v>
      </c>
      <c r="L30" s="5">
        <f t="shared" si="2"/>
        <v>0.25</v>
      </c>
    </row>
    <row r="31" spans="1:12" x14ac:dyDescent="0.35">
      <c r="A31" s="3" t="s">
        <v>68</v>
      </c>
      <c r="B31" s="2">
        <v>46260</v>
      </c>
      <c r="C31" t="s">
        <v>43</v>
      </c>
      <c r="D31" t="s">
        <v>36</v>
      </c>
      <c r="E31" t="s">
        <v>12</v>
      </c>
      <c r="F31" t="s">
        <v>13</v>
      </c>
      <c r="G31">
        <v>4</v>
      </c>
      <c r="H31">
        <v>13114.47</v>
      </c>
      <c r="I31">
        <v>52457.88</v>
      </c>
      <c r="J31">
        <f t="shared" si="0"/>
        <v>39343.409999999996</v>
      </c>
      <c r="K31">
        <f t="shared" si="1"/>
        <v>13114.470000000001</v>
      </c>
      <c r="L31" s="5">
        <f t="shared" si="2"/>
        <v>0.25000000000000006</v>
      </c>
    </row>
    <row r="32" spans="1:12" x14ac:dyDescent="0.35">
      <c r="A32" s="3" t="s">
        <v>69</v>
      </c>
      <c r="B32" s="2">
        <v>46189</v>
      </c>
      <c r="C32" t="s">
        <v>53</v>
      </c>
      <c r="D32" t="s">
        <v>49</v>
      </c>
      <c r="E32" t="s">
        <v>32</v>
      </c>
      <c r="F32" t="s">
        <v>38</v>
      </c>
      <c r="G32">
        <v>4</v>
      </c>
      <c r="H32">
        <v>1978.25</v>
      </c>
      <c r="I32">
        <v>7913</v>
      </c>
      <c r="J32">
        <f t="shared" si="0"/>
        <v>5934.75</v>
      </c>
      <c r="K32">
        <f t="shared" si="1"/>
        <v>1978.25</v>
      </c>
      <c r="L32" s="5">
        <f t="shared" si="2"/>
        <v>0.25</v>
      </c>
    </row>
    <row r="33" spans="1:12" x14ac:dyDescent="0.35">
      <c r="A33" s="3" t="s">
        <v>70</v>
      </c>
      <c r="B33" s="2">
        <v>46080</v>
      </c>
      <c r="C33" t="s">
        <v>71</v>
      </c>
      <c r="D33" t="s">
        <v>60</v>
      </c>
      <c r="E33" t="s">
        <v>32</v>
      </c>
      <c r="F33" t="s">
        <v>23</v>
      </c>
      <c r="G33">
        <v>4</v>
      </c>
      <c r="H33">
        <v>2033.24</v>
      </c>
      <c r="I33">
        <v>8132.96</v>
      </c>
      <c r="J33">
        <f t="shared" si="0"/>
        <v>6099.72</v>
      </c>
      <c r="K33">
        <f t="shared" si="1"/>
        <v>2033.2399999999998</v>
      </c>
      <c r="L33" s="5">
        <f t="shared" si="2"/>
        <v>0.24999999999999997</v>
      </c>
    </row>
    <row r="34" spans="1:12" x14ac:dyDescent="0.35">
      <c r="A34" s="3" t="s">
        <v>72</v>
      </c>
      <c r="B34" s="2">
        <v>46173</v>
      </c>
      <c r="C34" t="s">
        <v>10</v>
      </c>
      <c r="D34" t="s">
        <v>26</v>
      </c>
      <c r="E34" t="s">
        <v>12</v>
      </c>
      <c r="F34" t="s">
        <v>16</v>
      </c>
      <c r="G34">
        <v>5</v>
      </c>
      <c r="H34">
        <v>55593.14</v>
      </c>
      <c r="I34">
        <v>277965.7</v>
      </c>
      <c r="J34">
        <f t="shared" si="0"/>
        <v>208474.27500000002</v>
      </c>
      <c r="K34">
        <f t="shared" si="1"/>
        <v>69491.424999999988</v>
      </c>
      <c r="L34" s="5">
        <f t="shared" si="2"/>
        <v>0.24999999999999994</v>
      </c>
    </row>
    <row r="35" spans="1:12" x14ac:dyDescent="0.35">
      <c r="A35" s="3" t="s">
        <v>73</v>
      </c>
      <c r="B35" s="2">
        <v>46254</v>
      </c>
      <c r="C35" t="s">
        <v>15</v>
      </c>
      <c r="D35" t="s">
        <v>11</v>
      </c>
      <c r="E35" t="s">
        <v>12</v>
      </c>
      <c r="F35" t="s">
        <v>23</v>
      </c>
      <c r="G35">
        <v>1</v>
      </c>
      <c r="H35">
        <v>26482.07</v>
      </c>
      <c r="I35">
        <v>26482.07</v>
      </c>
      <c r="J35">
        <f t="shared" si="0"/>
        <v>19861.552499999998</v>
      </c>
      <c r="K35">
        <f t="shared" si="1"/>
        <v>6620.5175000000017</v>
      </c>
      <c r="L35" s="5">
        <f t="shared" si="2"/>
        <v>0.25000000000000006</v>
      </c>
    </row>
    <row r="36" spans="1:12" x14ac:dyDescent="0.35">
      <c r="A36" s="3" t="s">
        <v>74</v>
      </c>
      <c r="B36" s="2">
        <v>46194</v>
      </c>
      <c r="C36" t="s">
        <v>75</v>
      </c>
      <c r="D36" t="s">
        <v>11</v>
      </c>
      <c r="E36" t="s">
        <v>12</v>
      </c>
      <c r="F36" t="s">
        <v>13</v>
      </c>
      <c r="G36">
        <v>5</v>
      </c>
      <c r="H36">
        <v>26532.83</v>
      </c>
      <c r="I36">
        <v>132664.15</v>
      </c>
      <c r="J36">
        <f t="shared" si="0"/>
        <v>99498.112499999988</v>
      </c>
      <c r="K36">
        <f t="shared" si="1"/>
        <v>33166.037500000006</v>
      </c>
      <c r="L36" s="5">
        <f t="shared" si="2"/>
        <v>0.25000000000000006</v>
      </c>
    </row>
    <row r="37" spans="1:12" x14ac:dyDescent="0.35">
      <c r="A37" s="3" t="s">
        <v>76</v>
      </c>
      <c r="B37" s="2">
        <v>46248</v>
      </c>
      <c r="C37" t="s">
        <v>21</v>
      </c>
      <c r="D37" t="s">
        <v>60</v>
      </c>
      <c r="E37" t="s">
        <v>32</v>
      </c>
      <c r="F37" t="s">
        <v>19</v>
      </c>
      <c r="G37">
        <v>2</v>
      </c>
      <c r="H37">
        <v>2298.2800000000002</v>
      </c>
      <c r="I37">
        <v>4596.5600000000004</v>
      </c>
      <c r="J37">
        <f t="shared" si="0"/>
        <v>3447.42</v>
      </c>
      <c r="K37">
        <f t="shared" si="1"/>
        <v>1149.1400000000003</v>
      </c>
      <c r="L37" s="5">
        <f t="shared" si="2"/>
        <v>0.25000000000000006</v>
      </c>
    </row>
    <row r="38" spans="1:12" x14ac:dyDescent="0.35">
      <c r="A38" s="3" t="s">
        <v>77</v>
      </c>
      <c r="B38" s="2">
        <v>46229</v>
      </c>
      <c r="C38" t="s">
        <v>78</v>
      </c>
      <c r="D38" t="s">
        <v>79</v>
      </c>
      <c r="E38" t="s">
        <v>45</v>
      </c>
      <c r="F38" t="s">
        <v>13</v>
      </c>
      <c r="G38">
        <v>2</v>
      </c>
      <c r="H38">
        <v>12683.09</v>
      </c>
      <c r="I38">
        <v>25366.18</v>
      </c>
      <c r="J38">
        <f t="shared" si="0"/>
        <v>19024.635000000002</v>
      </c>
      <c r="K38">
        <f t="shared" si="1"/>
        <v>6341.5449999999983</v>
      </c>
      <c r="L38" s="5">
        <f t="shared" si="2"/>
        <v>0.24999999999999992</v>
      </c>
    </row>
    <row r="39" spans="1:12" x14ac:dyDescent="0.35">
      <c r="A39" s="3" t="s">
        <v>80</v>
      </c>
      <c r="B39" s="2">
        <v>46113</v>
      </c>
      <c r="C39" t="s">
        <v>78</v>
      </c>
      <c r="D39" t="s">
        <v>11</v>
      </c>
      <c r="E39" t="s">
        <v>12</v>
      </c>
      <c r="F39" t="s">
        <v>38</v>
      </c>
      <c r="G39">
        <v>1</v>
      </c>
      <c r="H39">
        <v>28890.3</v>
      </c>
      <c r="I39">
        <v>28890.3</v>
      </c>
      <c r="J39">
        <f t="shared" si="0"/>
        <v>21667.724999999999</v>
      </c>
      <c r="K39">
        <f t="shared" si="1"/>
        <v>7222.5750000000007</v>
      </c>
      <c r="L39" s="5">
        <f t="shared" si="2"/>
        <v>0.25000000000000006</v>
      </c>
    </row>
    <row r="40" spans="1:12" x14ac:dyDescent="0.35">
      <c r="A40" s="3" t="s">
        <v>81</v>
      </c>
      <c r="B40" s="2">
        <v>46188</v>
      </c>
      <c r="C40" t="s">
        <v>28</v>
      </c>
      <c r="D40" t="s">
        <v>79</v>
      </c>
      <c r="E40" t="s">
        <v>45</v>
      </c>
      <c r="F40" t="s">
        <v>16</v>
      </c>
      <c r="G40">
        <v>1</v>
      </c>
      <c r="H40">
        <v>12416.07</v>
      </c>
      <c r="I40">
        <v>12416.07</v>
      </c>
      <c r="J40">
        <f t="shared" si="0"/>
        <v>9312.0524999999998</v>
      </c>
      <c r="K40">
        <f t="shared" si="1"/>
        <v>3104.0174999999999</v>
      </c>
      <c r="L40" s="5">
        <f t="shared" si="2"/>
        <v>0.25</v>
      </c>
    </row>
    <row r="41" spans="1:12" x14ac:dyDescent="0.35">
      <c r="A41" s="3" t="s">
        <v>82</v>
      </c>
      <c r="B41" s="2">
        <v>46050</v>
      </c>
      <c r="C41" t="s">
        <v>10</v>
      </c>
      <c r="D41" t="s">
        <v>44</v>
      </c>
      <c r="E41" t="s">
        <v>45</v>
      </c>
      <c r="F41" t="s">
        <v>13</v>
      </c>
      <c r="G41">
        <v>3</v>
      </c>
      <c r="H41">
        <v>9011.01</v>
      </c>
      <c r="I41">
        <v>27033.03</v>
      </c>
      <c r="J41">
        <f t="shared" si="0"/>
        <v>20274.772499999999</v>
      </c>
      <c r="K41">
        <f t="shared" si="1"/>
        <v>6758.2574999999997</v>
      </c>
      <c r="L41" s="5">
        <f t="shared" si="2"/>
        <v>0.25</v>
      </c>
    </row>
    <row r="42" spans="1:12" x14ac:dyDescent="0.35">
      <c r="A42" s="3" t="s">
        <v>83</v>
      </c>
      <c r="B42" s="2">
        <v>46131</v>
      </c>
      <c r="C42" t="s">
        <v>41</v>
      </c>
      <c r="D42" t="s">
        <v>22</v>
      </c>
      <c r="E42" t="s">
        <v>12</v>
      </c>
      <c r="F42" t="s">
        <v>23</v>
      </c>
      <c r="G42">
        <v>5</v>
      </c>
      <c r="H42">
        <v>14845.84</v>
      </c>
      <c r="I42">
        <v>74229.2</v>
      </c>
      <c r="J42">
        <f t="shared" si="0"/>
        <v>55671.899999999994</v>
      </c>
      <c r="K42">
        <f t="shared" si="1"/>
        <v>18557.300000000003</v>
      </c>
      <c r="L42" s="5">
        <f t="shared" si="2"/>
        <v>0.25000000000000006</v>
      </c>
    </row>
    <row r="43" spans="1:12" x14ac:dyDescent="0.35">
      <c r="A43" s="3" t="s">
        <v>84</v>
      </c>
      <c r="B43" s="2">
        <v>46042</v>
      </c>
      <c r="C43" t="s">
        <v>30</v>
      </c>
      <c r="D43" t="s">
        <v>79</v>
      </c>
      <c r="E43" t="s">
        <v>45</v>
      </c>
      <c r="F43" t="s">
        <v>19</v>
      </c>
      <c r="G43">
        <v>2</v>
      </c>
      <c r="H43">
        <v>12898.77</v>
      </c>
      <c r="I43">
        <v>25797.54</v>
      </c>
      <c r="J43">
        <f t="shared" si="0"/>
        <v>19348.154999999999</v>
      </c>
      <c r="K43">
        <f t="shared" si="1"/>
        <v>6449.385000000002</v>
      </c>
      <c r="L43" s="5">
        <f t="shared" si="2"/>
        <v>0.25000000000000006</v>
      </c>
    </row>
    <row r="44" spans="1:12" x14ac:dyDescent="0.35">
      <c r="A44" s="3" t="s">
        <v>85</v>
      </c>
      <c r="B44" s="2">
        <v>46161</v>
      </c>
      <c r="C44" t="s">
        <v>18</v>
      </c>
      <c r="D44" t="s">
        <v>11</v>
      </c>
      <c r="E44" t="s">
        <v>12</v>
      </c>
      <c r="F44" t="s">
        <v>16</v>
      </c>
      <c r="G44">
        <v>1</v>
      </c>
      <c r="H44">
        <v>28852.01</v>
      </c>
      <c r="I44">
        <v>28852.01</v>
      </c>
      <c r="J44">
        <f t="shared" si="0"/>
        <v>21639.0075</v>
      </c>
      <c r="K44">
        <f t="shared" si="1"/>
        <v>7213.0024999999987</v>
      </c>
      <c r="L44" s="5">
        <f t="shared" si="2"/>
        <v>0.24999999999999997</v>
      </c>
    </row>
    <row r="45" spans="1:12" x14ac:dyDescent="0.35">
      <c r="A45" s="3" t="s">
        <v>86</v>
      </c>
      <c r="B45" s="2">
        <v>46146</v>
      </c>
      <c r="C45" t="s">
        <v>87</v>
      </c>
      <c r="D45" t="s">
        <v>22</v>
      </c>
      <c r="E45" t="s">
        <v>12</v>
      </c>
      <c r="F45" t="s">
        <v>38</v>
      </c>
      <c r="G45">
        <v>2</v>
      </c>
      <c r="H45">
        <v>14719.24</v>
      </c>
      <c r="I45">
        <v>29438.48</v>
      </c>
      <c r="J45">
        <f t="shared" si="0"/>
        <v>22078.86</v>
      </c>
      <c r="K45">
        <f t="shared" si="1"/>
        <v>7359.619999999999</v>
      </c>
      <c r="L45" s="5">
        <f t="shared" si="2"/>
        <v>0.24999999999999997</v>
      </c>
    </row>
    <row r="46" spans="1:12" x14ac:dyDescent="0.35">
      <c r="A46" s="3" t="s">
        <v>88</v>
      </c>
      <c r="B46" s="2">
        <v>46122</v>
      </c>
      <c r="C46" t="s">
        <v>25</v>
      </c>
      <c r="D46" t="s">
        <v>26</v>
      </c>
      <c r="E46" t="s">
        <v>12</v>
      </c>
      <c r="F46" t="s">
        <v>38</v>
      </c>
      <c r="G46">
        <v>2</v>
      </c>
      <c r="H46">
        <v>53668.7</v>
      </c>
      <c r="I46">
        <v>107337.4</v>
      </c>
      <c r="J46">
        <f t="shared" si="0"/>
        <v>80503.049999999988</v>
      </c>
      <c r="K46">
        <f t="shared" si="1"/>
        <v>26834.350000000006</v>
      </c>
      <c r="L46" s="5">
        <f t="shared" si="2"/>
        <v>0.25000000000000006</v>
      </c>
    </row>
    <row r="47" spans="1:12" x14ac:dyDescent="0.35">
      <c r="A47" s="3" t="s">
        <v>89</v>
      </c>
      <c r="B47" s="2">
        <v>46210</v>
      </c>
      <c r="C47" t="s">
        <v>43</v>
      </c>
      <c r="D47" t="s">
        <v>49</v>
      </c>
      <c r="E47" t="s">
        <v>32</v>
      </c>
      <c r="F47" t="s">
        <v>38</v>
      </c>
      <c r="G47">
        <v>4</v>
      </c>
      <c r="H47">
        <v>1870.77</v>
      </c>
      <c r="I47">
        <v>7483.08</v>
      </c>
      <c r="J47">
        <f t="shared" si="0"/>
        <v>5612.3099999999995</v>
      </c>
      <c r="K47">
        <f t="shared" si="1"/>
        <v>1870.7700000000004</v>
      </c>
      <c r="L47" s="5">
        <f t="shared" si="2"/>
        <v>0.25000000000000006</v>
      </c>
    </row>
    <row r="48" spans="1:12" x14ac:dyDescent="0.35">
      <c r="A48" s="3" t="s">
        <v>90</v>
      </c>
      <c r="B48" s="2">
        <v>46037</v>
      </c>
      <c r="C48" t="s">
        <v>21</v>
      </c>
      <c r="D48" t="s">
        <v>55</v>
      </c>
      <c r="E48" t="s">
        <v>12</v>
      </c>
      <c r="F48" t="s">
        <v>19</v>
      </c>
      <c r="G48">
        <v>2</v>
      </c>
      <c r="H48">
        <v>2398.35</v>
      </c>
      <c r="I48">
        <v>4796.7</v>
      </c>
      <c r="J48">
        <f t="shared" si="0"/>
        <v>3597.5249999999996</v>
      </c>
      <c r="K48">
        <f t="shared" si="1"/>
        <v>1199.1750000000002</v>
      </c>
      <c r="L48" s="5">
        <f t="shared" si="2"/>
        <v>0.25000000000000006</v>
      </c>
    </row>
    <row r="49" spans="1:12" x14ac:dyDescent="0.35">
      <c r="A49" s="3" t="s">
        <v>91</v>
      </c>
      <c r="B49" s="2">
        <v>46172</v>
      </c>
      <c r="C49" t="s">
        <v>75</v>
      </c>
      <c r="D49" t="s">
        <v>26</v>
      </c>
      <c r="E49" t="s">
        <v>12</v>
      </c>
      <c r="F49" t="s">
        <v>19</v>
      </c>
      <c r="G49">
        <v>3</v>
      </c>
      <c r="H49">
        <v>50128.82</v>
      </c>
      <c r="I49">
        <v>150386.46</v>
      </c>
      <c r="J49">
        <f t="shared" si="0"/>
        <v>112789.845</v>
      </c>
      <c r="K49">
        <f t="shared" si="1"/>
        <v>37596.614999999991</v>
      </c>
      <c r="L49" s="5">
        <f t="shared" si="2"/>
        <v>0.24999999999999994</v>
      </c>
    </row>
    <row r="50" spans="1:12" x14ac:dyDescent="0.35">
      <c r="A50" s="3" t="s">
        <v>92</v>
      </c>
      <c r="B50" s="2">
        <v>46153</v>
      </c>
      <c r="C50" t="s">
        <v>71</v>
      </c>
      <c r="D50" t="s">
        <v>60</v>
      </c>
      <c r="E50" t="s">
        <v>32</v>
      </c>
      <c r="F50" t="s">
        <v>13</v>
      </c>
      <c r="G50">
        <v>2</v>
      </c>
      <c r="H50">
        <v>2005.03</v>
      </c>
      <c r="I50">
        <v>4010.06</v>
      </c>
      <c r="J50">
        <f t="shared" si="0"/>
        <v>3007.5450000000001</v>
      </c>
      <c r="K50">
        <f t="shared" si="1"/>
        <v>1002.5149999999999</v>
      </c>
      <c r="L50" s="5">
        <f t="shared" si="2"/>
        <v>0.24999999999999997</v>
      </c>
    </row>
    <row r="51" spans="1:12" x14ac:dyDescent="0.35">
      <c r="A51" s="3" t="s">
        <v>93</v>
      </c>
      <c r="B51" s="2">
        <v>46243</v>
      </c>
      <c r="C51" t="s">
        <v>10</v>
      </c>
      <c r="D51" t="s">
        <v>11</v>
      </c>
      <c r="E51" t="s">
        <v>12</v>
      </c>
      <c r="F51" t="s">
        <v>38</v>
      </c>
      <c r="G51">
        <v>5</v>
      </c>
      <c r="H51">
        <v>25580.58</v>
      </c>
      <c r="I51">
        <v>127902.9</v>
      </c>
      <c r="J51">
        <f t="shared" si="0"/>
        <v>95927.174999999988</v>
      </c>
      <c r="K51">
        <f t="shared" si="1"/>
        <v>31975.725000000006</v>
      </c>
      <c r="L51" s="5">
        <f t="shared" si="2"/>
        <v>0.25000000000000006</v>
      </c>
    </row>
    <row r="52" spans="1:12" x14ac:dyDescent="0.35">
      <c r="A52" s="3" t="s">
        <v>94</v>
      </c>
      <c r="B52" s="2">
        <v>46175</v>
      </c>
      <c r="C52" t="s">
        <v>15</v>
      </c>
      <c r="D52" t="s">
        <v>11</v>
      </c>
      <c r="E52" t="s">
        <v>12</v>
      </c>
      <c r="F52" t="s">
        <v>19</v>
      </c>
      <c r="G52">
        <v>5</v>
      </c>
      <c r="H52">
        <v>26578.81</v>
      </c>
      <c r="I52">
        <v>132894.04999999999</v>
      </c>
      <c r="J52">
        <f t="shared" si="0"/>
        <v>99670.537499999991</v>
      </c>
      <c r="K52">
        <f t="shared" si="1"/>
        <v>33223.512499999997</v>
      </c>
      <c r="L52" s="5">
        <f t="shared" si="2"/>
        <v>0.25</v>
      </c>
    </row>
    <row r="53" spans="1:12" x14ac:dyDescent="0.35">
      <c r="A53" s="3" t="s">
        <v>95</v>
      </c>
      <c r="B53" s="2">
        <v>46167</v>
      </c>
      <c r="C53" t="s">
        <v>58</v>
      </c>
      <c r="D53" t="s">
        <v>11</v>
      </c>
      <c r="E53" t="s">
        <v>12</v>
      </c>
      <c r="F53" t="s">
        <v>23</v>
      </c>
      <c r="G53">
        <v>4</v>
      </c>
      <c r="H53">
        <v>28881.29</v>
      </c>
      <c r="I53">
        <v>115525.16</v>
      </c>
      <c r="J53">
        <f t="shared" si="0"/>
        <v>86643.87</v>
      </c>
      <c r="K53">
        <f t="shared" si="1"/>
        <v>28881.290000000008</v>
      </c>
      <c r="L53" s="5">
        <f t="shared" si="2"/>
        <v>0.25000000000000006</v>
      </c>
    </row>
    <row r="54" spans="1:12" x14ac:dyDescent="0.35">
      <c r="A54" s="3" t="s">
        <v>96</v>
      </c>
      <c r="B54" s="2">
        <v>46103</v>
      </c>
      <c r="C54" t="s">
        <v>10</v>
      </c>
      <c r="D54" t="s">
        <v>49</v>
      </c>
      <c r="E54" t="s">
        <v>32</v>
      </c>
      <c r="F54" t="s">
        <v>23</v>
      </c>
      <c r="G54">
        <v>2</v>
      </c>
      <c r="H54">
        <v>1861.1</v>
      </c>
      <c r="I54">
        <v>3722.2</v>
      </c>
      <c r="J54">
        <f t="shared" si="0"/>
        <v>2791.6499999999996</v>
      </c>
      <c r="K54">
        <f t="shared" si="1"/>
        <v>930.55000000000018</v>
      </c>
      <c r="L54" s="5">
        <f t="shared" si="2"/>
        <v>0.25000000000000006</v>
      </c>
    </row>
    <row r="55" spans="1:12" x14ac:dyDescent="0.35">
      <c r="A55" s="3" t="s">
        <v>97</v>
      </c>
      <c r="B55" s="2">
        <v>46099</v>
      </c>
      <c r="C55" t="s">
        <v>30</v>
      </c>
      <c r="D55" t="s">
        <v>44</v>
      </c>
      <c r="E55" t="s">
        <v>45</v>
      </c>
      <c r="F55" t="s">
        <v>23</v>
      </c>
      <c r="G55">
        <v>2</v>
      </c>
      <c r="H55">
        <v>8791.8700000000008</v>
      </c>
      <c r="I55">
        <v>17583.740000000002</v>
      </c>
      <c r="J55">
        <f t="shared" si="0"/>
        <v>13187.805</v>
      </c>
      <c r="K55">
        <f t="shared" si="1"/>
        <v>4395.9350000000013</v>
      </c>
      <c r="L55" s="5">
        <f t="shared" si="2"/>
        <v>0.25000000000000006</v>
      </c>
    </row>
    <row r="56" spans="1:12" x14ac:dyDescent="0.35">
      <c r="A56" s="3" t="s">
        <v>98</v>
      </c>
      <c r="B56" s="2">
        <v>46167</v>
      </c>
      <c r="C56" t="s">
        <v>28</v>
      </c>
      <c r="D56" t="s">
        <v>11</v>
      </c>
      <c r="E56" t="s">
        <v>12</v>
      </c>
      <c r="F56" t="s">
        <v>16</v>
      </c>
      <c r="G56">
        <v>1</v>
      </c>
      <c r="H56">
        <v>27766.400000000001</v>
      </c>
      <c r="I56">
        <v>27766.400000000001</v>
      </c>
      <c r="J56">
        <f t="shared" si="0"/>
        <v>20824.800000000003</v>
      </c>
      <c r="K56">
        <f t="shared" si="1"/>
        <v>6941.5999999999985</v>
      </c>
      <c r="L56" s="5">
        <f t="shared" si="2"/>
        <v>0.24999999999999994</v>
      </c>
    </row>
    <row r="57" spans="1:12" x14ac:dyDescent="0.35">
      <c r="A57" s="3" t="s">
        <v>99</v>
      </c>
      <c r="B57" s="2">
        <v>46056</v>
      </c>
      <c r="C57" t="s">
        <v>53</v>
      </c>
      <c r="D57" t="s">
        <v>60</v>
      </c>
      <c r="E57" t="s">
        <v>32</v>
      </c>
      <c r="F57" t="s">
        <v>16</v>
      </c>
      <c r="G57">
        <v>2</v>
      </c>
      <c r="H57">
        <v>2202.59</v>
      </c>
      <c r="I57">
        <v>4405.18</v>
      </c>
      <c r="J57">
        <f t="shared" si="0"/>
        <v>3303.8850000000002</v>
      </c>
      <c r="K57">
        <f t="shared" si="1"/>
        <v>1101.2950000000001</v>
      </c>
      <c r="L57" s="5">
        <f t="shared" si="2"/>
        <v>0.25</v>
      </c>
    </row>
    <row r="58" spans="1:12" x14ac:dyDescent="0.35">
      <c r="A58" s="3" t="s">
        <v>100</v>
      </c>
      <c r="B58" s="2">
        <v>46135</v>
      </c>
      <c r="C58" t="s">
        <v>43</v>
      </c>
      <c r="D58" t="s">
        <v>22</v>
      </c>
      <c r="E58" t="s">
        <v>12</v>
      </c>
      <c r="F58" t="s">
        <v>23</v>
      </c>
      <c r="G58">
        <v>3</v>
      </c>
      <c r="H58">
        <v>14354.96</v>
      </c>
      <c r="I58">
        <v>43064.88</v>
      </c>
      <c r="J58">
        <f t="shared" si="0"/>
        <v>32298.659999999996</v>
      </c>
      <c r="K58">
        <f t="shared" si="1"/>
        <v>10766.220000000001</v>
      </c>
      <c r="L58" s="5">
        <f t="shared" si="2"/>
        <v>0.25000000000000006</v>
      </c>
    </row>
    <row r="59" spans="1:12" x14ac:dyDescent="0.35">
      <c r="A59" s="3" t="s">
        <v>101</v>
      </c>
      <c r="B59" s="2">
        <v>46232</v>
      </c>
      <c r="C59" t="s">
        <v>43</v>
      </c>
      <c r="D59" t="s">
        <v>36</v>
      </c>
      <c r="E59" t="s">
        <v>12</v>
      </c>
      <c r="F59" t="s">
        <v>23</v>
      </c>
      <c r="G59">
        <v>5</v>
      </c>
      <c r="H59">
        <v>10818.78</v>
      </c>
      <c r="I59">
        <v>54093.9</v>
      </c>
      <c r="J59">
        <f t="shared" si="0"/>
        <v>40570.425000000003</v>
      </c>
      <c r="K59">
        <f t="shared" si="1"/>
        <v>13523.474999999999</v>
      </c>
      <c r="L59" s="5">
        <f t="shared" si="2"/>
        <v>0.24999999999999997</v>
      </c>
    </row>
    <row r="60" spans="1:12" x14ac:dyDescent="0.35">
      <c r="A60" s="3" t="s">
        <v>102</v>
      </c>
      <c r="B60" s="2">
        <v>46250</v>
      </c>
      <c r="C60" t="s">
        <v>28</v>
      </c>
      <c r="D60" t="s">
        <v>11</v>
      </c>
      <c r="E60" t="s">
        <v>12</v>
      </c>
      <c r="F60" t="s">
        <v>19</v>
      </c>
      <c r="G60">
        <v>2</v>
      </c>
      <c r="H60">
        <v>26681.01</v>
      </c>
      <c r="I60">
        <v>53362.02</v>
      </c>
      <c r="J60">
        <f t="shared" si="0"/>
        <v>40021.514999999999</v>
      </c>
      <c r="K60">
        <f t="shared" si="1"/>
        <v>13340.504999999997</v>
      </c>
      <c r="L60" s="5">
        <f t="shared" si="2"/>
        <v>0.24999999999999997</v>
      </c>
    </row>
    <row r="61" spans="1:12" x14ac:dyDescent="0.35">
      <c r="A61" s="3" t="s">
        <v>103</v>
      </c>
      <c r="B61" s="2">
        <v>46076</v>
      </c>
      <c r="C61" t="s">
        <v>47</v>
      </c>
      <c r="D61" t="s">
        <v>55</v>
      </c>
      <c r="E61" t="s">
        <v>12</v>
      </c>
      <c r="F61" t="s">
        <v>13</v>
      </c>
      <c r="G61">
        <v>3</v>
      </c>
      <c r="H61">
        <v>2390.88</v>
      </c>
      <c r="I61">
        <v>7172.64</v>
      </c>
      <c r="J61">
        <f t="shared" si="0"/>
        <v>5379.4800000000005</v>
      </c>
      <c r="K61">
        <f t="shared" si="1"/>
        <v>1793.1599999999999</v>
      </c>
      <c r="L61" s="5">
        <f t="shared" si="2"/>
        <v>0.24999999999999997</v>
      </c>
    </row>
    <row r="62" spans="1:12" x14ac:dyDescent="0.35">
      <c r="A62" s="3" t="s">
        <v>104</v>
      </c>
      <c r="B62" s="2">
        <v>46254</v>
      </c>
      <c r="C62" t="s">
        <v>15</v>
      </c>
      <c r="D62" t="s">
        <v>49</v>
      </c>
      <c r="E62" t="s">
        <v>32</v>
      </c>
      <c r="F62" t="s">
        <v>16</v>
      </c>
      <c r="G62">
        <v>5</v>
      </c>
      <c r="H62">
        <v>1795.87</v>
      </c>
      <c r="I62">
        <v>8979.35</v>
      </c>
      <c r="J62">
        <f t="shared" si="0"/>
        <v>6734.5125000000007</v>
      </c>
      <c r="K62">
        <f t="shared" si="1"/>
        <v>2244.8374999999996</v>
      </c>
      <c r="L62" s="5">
        <f t="shared" si="2"/>
        <v>0.24999999999999994</v>
      </c>
    </row>
    <row r="63" spans="1:12" x14ac:dyDescent="0.35">
      <c r="A63" s="3" t="s">
        <v>105</v>
      </c>
      <c r="B63" s="2">
        <v>46108</v>
      </c>
      <c r="C63" t="s">
        <v>106</v>
      </c>
      <c r="D63" t="s">
        <v>44</v>
      </c>
      <c r="E63" t="s">
        <v>45</v>
      </c>
      <c r="F63" t="s">
        <v>23</v>
      </c>
      <c r="G63">
        <v>3</v>
      </c>
      <c r="H63">
        <v>7724.95</v>
      </c>
      <c r="I63">
        <v>23174.85</v>
      </c>
      <c r="J63">
        <f t="shared" si="0"/>
        <v>17381.137499999997</v>
      </c>
      <c r="K63">
        <f t="shared" si="1"/>
        <v>5793.7125000000015</v>
      </c>
      <c r="L63" s="5">
        <f t="shared" si="2"/>
        <v>0.25000000000000006</v>
      </c>
    </row>
    <row r="64" spans="1:12" x14ac:dyDescent="0.35">
      <c r="A64" s="3" t="s">
        <v>107</v>
      </c>
      <c r="B64" s="2">
        <v>46132</v>
      </c>
      <c r="C64" t="s">
        <v>43</v>
      </c>
      <c r="D64" t="s">
        <v>55</v>
      </c>
      <c r="E64" t="s">
        <v>12</v>
      </c>
      <c r="F64" t="s">
        <v>16</v>
      </c>
      <c r="G64">
        <v>4</v>
      </c>
      <c r="H64">
        <v>2525.84</v>
      </c>
      <c r="I64">
        <v>10103.36</v>
      </c>
      <c r="J64">
        <f t="shared" si="0"/>
        <v>7577.52</v>
      </c>
      <c r="K64">
        <f t="shared" si="1"/>
        <v>2525.84</v>
      </c>
      <c r="L64" s="5">
        <f t="shared" si="2"/>
        <v>0.25</v>
      </c>
    </row>
    <row r="65" spans="1:12" x14ac:dyDescent="0.35">
      <c r="A65" s="3" t="s">
        <v>108</v>
      </c>
      <c r="B65" s="2">
        <v>46199</v>
      </c>
      <c r="C65" t="s">
        <v>106</v>
      </c>
      <c r="D65" t="s">
        <v>11</v>
      </c>
      <c r="E65" t="s">
        <v>12</v>
      </c>
      <c r="F65" t="s">
        <v>19</v>
      </c>
      <c r="G65">
        <v>1</v>
      </c>
      <c r="H65">
        <v>30492.29</v>
      </c>
      <c r="I65">
        <v>30492.29</v>
      </c>
      <c r="J65">
        <f t="shared" si="0"/>
        <v>22869.217499999999</v>
      </c>
      <c r="K65">
        <f t="shared" si="1"/>
        <v>7623.072500000002</v>
      </c>
      <c r="L65" s="5">
        <f t="shared" si="2"/>
        <v>0.25000000000000006</v>
      </c>
    </row>
    <row r="66" spans="1:12" x14ac:dyDescent="0.35">
      <c r="A66" s="3" t="s">
        <v>109</v>
      </c>
      <c r="B66" s="2">
        <v>46060</v>
      </c>
      <c r="C66" t="s">
        <v>78</v>
      </c>
      <c r="D66" t="s">
        <v>26</v>
      </c>
      <c r="E66" t="s">
        <v>12</v>
      </c>
      <c r="F66" t="s">
        <v>13</v>
      </c>
      <c r="G66">
        <v>3</v>
      </c>
      <c r="H66">
        <v>55907.61</v>
      </c>
      <c r="I66">
        <v>167722.82999999999</v>
      </c>
      <c r="J66">
        <f t="shared" ref="J66:J121" si="3">I66*75%</f>
        <v>125792.1225</v>
      </c>
      <c r="K66">
        <f t="shared" si="1"/>
        <v>41930.70749999999</v>
      </c>
      <c r="L66" s="5">
        <f t="shared" si="2"/>
        <v>0.24999999999999994</v>
      </c>
    </row>
    <row r="67" spans="1:12" x14ac:dyDescent="0.35">
      <c r="A67" s="3" t="s">
        <v>110</v>
      </c>
      <c r="B67" s="2">
        <v>46261</v>
      </c>
      <c r="C67" t="s">
        <v>15</v>
      </c>
      <c r="D67" t="s">
        <v>26</v>
      </c>
      <c r="E67" t="s">
        <v>12</v>
      </c>
      <c r="F67" t="s">
        <v>23</v>
      </c>
      <c r="G67">
        <v>3</v>
      </c>
      <c r="H67">
        <v>53511.17</v>
      </c>
      <c r="I67">
        <v>160533.51</v>
      </c>
      <c r="J67">
        <f t="shared" si="3"/>
        <v>120400.13250000001</v>
      </c>
      <c r="K67">
        <f t="shared" ref="K67:K121" si="4">I67-J67</f>
        <v>40133.377500000002</v>
      </c>
      <c r="L67" s="5">
        <f t="shared" ref="L67:L121" si="5">K67/I67</f>
        <v>0.25</v>
      </c>
    </row>
    <row r="68" spans="1:12" x14ac:dyDescent="0.35">
      <c r="A68" s="3" t="s">
        <v>111</v>
      </c>
      <c r="B68" s="2">
        <v>46113</v>
      </c>
      <c r="C68" t="s">
        <v>43</v>
      </c>
      <c r="D68" t="s">
        <v>22</v>
      </c>
      <c r="E68" t="s">
        <v>12</v>
      </c>
      <c r="F68" t="s">
        <v>38</v>
      </c>
      <c r="G68">
        <v>2</v>
      </c>
      <c r="H68">
        <v>15500.8</v>
      </c>
      <c r="I68">
        <v>31001.599999999999</v>
      </c>
      <c r="J68">
        <f t="shared" si="3"/>
        <v>23251.199999999997</v>
      </c>
      <c r="K68">
        <f t="shared" si="4"/>
        <v>7750.4000000000015</v>
      </c>
      <c r="L68" s="5">
        <f t="shared" si="5"/>
        <v>0.25000000000000006</v>
      </c>
    </row>
    <row r="69" spans="1:12" x14ac:dyDescent="0.35">
      <c r="A69" s="3" t="s">
        <v>112</v>
      </c>
      <c r="B69" s="2">
        <v>46083</v>
      </c>
      <c r="C69" t="s">
        <v>41</v>
      </c>
      <c r="D69" t="s">
        <v>36</v>
      </c>
      <c r="E69" t="s">
        <v>12</v>
      </c>
      <c r="F69" t="s">
        <v>13</v>
      </c>
      <c r="G69">
        <v>2</v>
      </c>
      <c r="H69">
        <v>13021.83</v>
      </c>
      <c r="I69">
        <v>26043.66</v>
      </c>
      <c r="J69">
        <f t="shared" si="3"/>
        <v>19532.744999999999</v>
      </c>
      <c r="K69">
        <f t="shared" si="4"/>
        <v>6510.9150000000009</v>
      </c>
      <c r="L69" s="5">
        <f t="shared" si="5"/>
        <v>0.25000000000000006</v>
      </c>
    </row>
    <row r="70" spans="1:12" x14ac:dyDescent="0.35">
      <c r="A70" s="3" t="s">
        <v>113</v>
      </c>
      <c r="B70" s="2">
        <v>46259</v>
      </c>
      <c r="C70" t="s">
        <v>47</v>
      </c>
      <c r="D70" t="s">
        <v>44</v>
      </c>
      <c r="E70" t="s">
        <v>45</v>
      </c>
      <c r="F70" t="s">
        <v>38</v>
      </c>
      <c r="G70">
        <v>1</v>
      </c>
      <c r="H70">
        <v>7954.91</v>
      </c>
      <c r="I70">
        <v>7954.91</v>
      </c>
      <c r="J70">
        <f t="shared" si="3"/>
        <v>5966.1824999999999</v>
      </c>
      <c r="K70">
        <f t="shared" si="4"/>
        <v>1988.7275</v>
      </c>
      <c r="L70" s="5">
        <f t="shared" si="5"/>
        <v>0.25</v>
      </c>
    </row>
    <row r="71" spans="1:12" x14ac:dyDescent="0.35">
      <c r="A71" s="3" t="s">
        <v>114</v>
      </c>
      <c r="B71" s="2">
        <v>46202</v>
      </c>
      <c r="C71" t="s">
        <v>28</v>
      </c>
      <c r="D71" t="s">
        <v>22</v>
      </c>
      <c r="E71" t="s">
        <v>12</v>
      </c>
      <c r="F71" t="s">
        <v>38</v>
      </c>
      <c r="G71">
        <v>3</v>
      </c>
      <c r="H71">
        <v>13977.59</v>
      </c>
      <c r="I71">
        <v>41932.769999999997</v>
      </c>
      <c r="J71">
        <f t="shared" si="3"/>
        <v>31449.577499999999</v>
      </c>
      <c r="K71">
        <f t="shared" si="4"/>
        <v>10483.192499999997</v>
      </c>
      <c r="L71" s="5">
        <f t="shared" si="5"/>
        <v>0.24999999999999994</v>
      </c>
    </row>
    <row r="72" spans="1:12" x14ac:dyDescent="0.35">
      <c r="A72" s="3" t="s">
        <v>115</v>
      </c>
      <c r="B72" s="2">
        <v>46232</v>
      </c>
      <c r="C72" t="s">
        <v>30</v>
      </c>
      <c r="D72" t="s">
        <v>26</v>
      </c>
      <c r="E72" t="s">
        <v>12</v>
      </c>
      <c r="F72" t="s">
        <v>23</v>
      </c>
      <c r="G72">
        <v>4</v>
      </c>
      <c r="H72">
        <v>51946.77</v>
      </c>
      <c r="I72">
        <v>207787.08</v>
      </c>
      <c r="J72">
        <f t="shared" si="3"/>
        <v>155840.31</v>
      </c>
      <c r="K72">
        <f t="shared" si="4"/>
        <v>51946.76999999999</v>
      </c>
      <c r="L72" s="5">
        <f t="shared" si="5"/>
        <v>0.24999999999999997</v>
      </c>
    </row>
    <row r="73" spans="1:12" x14ac:dyDescent="0.35">
      <c r="A73" s="3" t="s">
        <v>116</v>
      </c>
      <c r="B73" s="2">
        <v>46191</v>
      </c>
      <c r="C73" t="s">
        <v>87</v>
      </c>
      <c r="D73" t="s">
        <v>49</v>
      </c>
      <c r="E73" t="s">
        <v>32</v>
      </c>
      <c r="F73" t="s">
        <v>38</v>
      </c>
      <c r="G73">
        <v>2</v>
      </c>
      <c r="H73">
        <v>1700.25</v>
      </c>
      <c r="I73">
        <v>3400.5</v>
      </c>
      <c r="J73">
        <f t="shared" si="3"/>
        <v>2550.375</v>
      </c>
      <c r="K73">
        <f t="shared" si="4"/>
        <v>850.125</v>
      </c>
      <c r="L73" s="5">
        <f t="shared" si="5"/>
        <v>0.25</v>
      </c>
    </row>
    <row r="74" spans="1:12" x14ac:dyDescent="0.35">
      <c r="A74" s="3" t="s">
        <v>117</v>
      </c>
      <c r="B74" s="2">
        <v>46220</v>
      </c>
      <c r="C74" t="s">
        <v>25</v>
      </c>
      <c r="D74" t="s">
        <v>31</v>
      </c>
      <c r="E74" t="s">
        <v>32</v>
      </c>
      <c r="F74" t="s">
        <v>23</v>
      </c>
      <c r="G74">
        <v>3</v>
      </c>
      <c r="H74">
        <v>965.58</v>
      </c>
      <c r="I74">
        <v>2896.74</v>
      </c>
      <c r="J74">
        <f t="shared" si="3"/>
        <v>2172.5549999999998</v>
      </c>
      <c r="K74">
        <f t="shared" si="4"/>
        <v>724.18499999999995</v>
      </c>
      <c r="L74" s="5">
        <f t="shared" si="5"/>
        <v>0.25</v>
      </c>
    </row>
    <row r="75" spans="1:12" x14ac:dyDescent="0.35">
      <c r="A75" s="3" t="s">
        <v>118</v>
      </c>
      <c r="B75" s="2">
        <v>46238</v>
      </c>
      <c r="C75" t="s">
        <v>43</v>
      </c>
      <c r="D75" t="s">
        <v>60</v>
      </c>
      <c r="E75" t="s">
        <v>32</v>
      </c>
      <c r="F75" t="s">
        <v>23</v>
      </c>
      <c r="G75">
        <v>4</v>
      </c>
      <c r="H75">
        <v>2278.9899999999998</v>
      </c>
      <c r="I75">
        <v>9115.9599999999991</v>
      </c>
      <c r="J75">
        <f t="shared" si="3"/>
        <v>6836.9699999999993</v>
      </c>
      <c r="K75">
        <f t="shared" si="4"/>
        <v>2278.9899999999998</v>
      </c>
      <c r="L75" s="5">
        <f t="shared" si="5"/>
        <v>0.25</v>
      </c>
    </row>
    <row r="76" spans="1:12" x14ac:dyDescent="0.35">
      <c r="A76" s="3" t="s">
        <v>119</v>
      </c>
      <c r="B76" s="2">
        <v>46089</v>
      </c>
      <c r="C76" t="s">
        <v>41</v>
      </c>
      <c r="D76" t="s">
        <v>26</v>
      </c>
      <c r="E76" t="s">
        <v>12</v>
      </c>
      <c r="F76" t="s">
        <v>19</v>
      </c>
      <c r="G76">
        <v>1</v>
      </c>
      <c r="H76">
        <v>59147.42</v>
      </c>
      <c r="I76">
        <v>59147.42</v>
      </c>
      <c r="J76">
        <f t="shared" si="3"/>
        <v>44360.565000000002</v>
      </c>
      <c r="K76">
        <f t="shared" si="4"/>
        <v>14786.854999999996</v>
      </c>
      <c r="L76" s="5">
        <f t="shared" si="5"/>
        <v>0.24999999999999994</v>
      </c>
    </row>
    <row r="77" spans="1:12" x14ac:dyDescent="0.35">
      <c r="A77" s="3" t="s">
        <v>120</v>
      </c>
      <c r="B77" s="2">
        <v>46134</v>
      </c>
      <c r="C77" t="s">
        <v>53</v>
      </c>
      <c r="D77" t="s">
        <v>49</v>
      </c>
      <c r="E77" t="s">
        <v>32</v>
      </c>
      <c r="F77" t="s">
        <v>23</v>
      </c>
      <c r="G77">
        <v>1</v>
      </c>
      <c r="H77">
        <v>1659.02</v>
      </c>
      <c r="I77">
        <v>1659.02</v>
      </c>
      <c r="J77">
        <f t="shared" si="3"/>
        <v>1244.2649999999999</v>
      </c>
      <c r="K77">
        <f t="shared" si="4"/>
        <v>414.75500000000011</v>
      </c>
      <c r="L77" s="5">
        <f t="shared" si="5"/>
        <v>0.25000000000000006</v>
      </c>
    </row>
    <row r="78" spans="1:12" x14ac:dyDescent="0.35">
      <c r="A78" s="3" t="s">
        <v>121</v>
      </c>
      <c r="B78" s="2">
        <v>46052</v>
      </c>
      <c r="C78" t="s">
        <v>122</v>
      </c>
      <c r="D78" t="s">
        <v>44</v>
      </c>
      <c r="E78" t="s">
        <v>45</v>
      </c>
      <c r="F78" t="s">
        <v>19</v>
      </c>
      <c r="G78">
        <v>5</v>
      </c>
      <c r="H78">
        <v>9323.2000000000007</v>
      </c>
      <c r="I78">
        <v>46616</v>
      </c>
      <c r="J78">
        <f t="shared" si="3"/>
        <v>34962</v>
      </c>
      <c r="K78">
        <f t="shared" si="4"/>
        <v>11654</v>
      </c>
      <c r="L78" s="5">
        <f t="shared" si="5"/>
        <v>0.25</v>
      </c>
    </row>
    <row r="79" spans="1:12" x14ac:dyDescent="0.35">
      <c r="A79" s="3" t="s">
        <v>123</v>
      </c>
      <c r="B79" s="2">
        <v>46134</v>
      </c>
      <c r="C79" t="s">
        <v>18</v>
      </c>
      <c r="D79" t="s">
        <v>22</v>
      </c>
      <c r="E79" t="s">
        <v>12</v>
      </c>
      <c r="F79" t="s">
        <v>19</v>
      </c>
      <c r="G79">
        <v>3</v>
      </c>
      <c r="H79">
        <v>13633.16</v>
      </c>
      <c r="I79">
        <v>40899.480000000003</v>
      </c>
      <c r="J79">
        <f t="shared" si="3"/>
        <v>30674.61</v>
      </c>
      <c r="K79">
        <f t="shared" si="4"/>
        <v>10224.870000000003</v>
      </c>
      <c r="L79" s="5">
        <f t="shared" si="5"/>
        <v>0.25000000000000006</v>
      </c>
    </row>
    <row r="80" spans="1:12" x14ac:dyDescent="0.35">
      <c r="A80" s="3" t="s">
        <v>124</v>
      </c>
      <c r="B80" s="2">
        <v>46040</v>
      </c>
      <c r="C80" t="s">
        <v>47</v>
      </c>
      <c r="D80" t="s">
        <v>60</v>
      </c>
      <c r="E80" t="s">
        <v>32</v>
      </c>
      <c r="F80" t="s">
        <v>19</v>
      </c>
      <c r="G80">
        <v>2</v>
      </c>
      <c r="H80">
        <v>2140.2600000000002</v>
      </c>
      <c r="I80">
        <v>4280.5200000000004</v>
      </c>
      <c r="J80">
        <f t="shared" si="3"/>
        <v>3210.3900000000003</v>
      </c>
      <c r="K80">
        <f t="shared" si="4"/>
        <v>1070.1300000000001</v>
      </c>
      <c r="L80" s="5">
        <f t="shared" si="5"/>
        <v>0.25</v>
      </c>
    </row>
    <row r="81" spans="1:12" x14ac:dyDescent="0.35">
      <c r="A81" s="3" t="s">
        <v>125</v>
      </c>
      <c r="B81" s="2">
        <v>46099</v>
      </c>
      <c r="C81" t="s">
        <v>58</v>
      </c>
      <c r="D81" t="s">
        <v>31</v>
      </c>
      <c r="E81" t="s">
        <v>32</v>
      </c>
      <c r="F81" t="s">
        <v>23</v>
      </c>
      <c r="G81">
        <v>1</v>
      </c>
      <c r="H81">
        <v>939.56</v>
      </c>
      <c r="I81">
        <v>939.56</v>
      </c>
      <c r="J81">
        <f t="shared" si="3"/>
        <v>704.67</v>
      </c>
      <c r="K81">
        <f t="shared" si="4"/>
        <v>234.89</v>
      </c>
      <c r="L81" s="5">
        <f t="shared" si="5"/>
        <v>0.25</v>
      </c>
    </row>
    <row r="82" spans="1:12" x14ac:dyDescent="0.35">
      <c r="A82" s="3" t="s">
        <v>126</v>
      </c>
      <c r="B82" s="2">
        <v>46098</v>
      </c>
      <c r="C82" t="s">
        <v>43</v>
      </c>
      <c r="D82" t="s">
        <v>44</v>
      </c>
      <c r="E82" t="s">
        <v>45</v>
      </c>
      <c r="F82" t="s">
        <v>13</v>
      </c>
      <c r="G82">
        <v>3</v>
      </c>
      <c r="H82">
        <v>8334.08</v>
      </c>
      <c r="I82">
        <v>25002.240000000002</v>
      </c>
      <c r="J82">
        <f t="shared" si="3"/>
        <v>18751.68</v>
      </c>
      <c r="K82">
        <f t="shared" si="4"/>
        <v>6250.5600000000013</v>
      </c>
      <c r="L82" s="5">
        <f t="shared" si="5"/>
        <v>0.25000000000000006</v>
      </c>
    </row>
    <row r="83" spans="1:12" x14ac:dyDescent="0.35">
      <c r="A83" s="3" t="s">
        <v>127</v>
      </c>
      <c r="B83" s="2">
        <v>46120</v>
      </c>
      <c r="C83" t="s">
        <v>41</v>
      </c>
      <c r="D83" t="s">
        <v>22</v>
      </c>
      <c r="E83" t="s">
        <v>12</v>
      </c>
      <c r="F83" t="s">
        <v>19</v>
      </c>
      <c r="G83">
        <v>4</v>
      </c>
      <c r="H83">
        <v>15494.79</v>
      </c>
      <c r="I83">
        <v>61979.16</v>
      </c>
      <c r="J83">
        <f t="shared" si="3"/>
        <v>46484.37</v>
      </c>
      <c r="K83">
        <f t="shared" si="4"/>
        <v>15494.79</v>
      </c>
      <c r="L83" s="5">
        <f t="shared" si="5"/>
        <v>0.25</v>
      </c>
    </row>
    <row r="84" spans="1:12" x14ac:dyDescent="0.35">
      <c r="A84" s="3" t="s">
        <v>128</v>
      </c>
      <c r="B84" s="2">
        <v>46236</v>
      </c>
      <c r="C84" t="s">
        <v>18</v>
      </c>
      <c r="D84" t="s">
        <v>36</v>
      </c>
      <c r="E84" t="s">
        <v>12</v>
      </c>
      <c r="F84" t="s">
        <v>23</v>
      </c>
      <c r="G84">
        <v>3</v>
      </c>
      <c r="H84">
        <v>11774.58</v>
      </c>
      <c r="I84">
        <v>35323.74</v>
      </c>
      <c r="J84">
        <f t="shared" si="3"/>
        <v>26492.805</v>
      </c>
      <c r="K84">
        <f t="shared" si="4"/>
        <v>8830.9349999999977</v>
      </c>
      <c r="L84" s="5">
        <f t="shared" si="5"/>
        <v>0.24999999999999994</v>
      </c>
    </row>
    <row r="85" spans="1:12" x14ac:dyDescent="0.35">
      <c r="A85" s="3" t="s">
        <v>129</v>
      </c>
      <c r="B85" s="2">
        <v>46171</v>
      </c>
      <c r="C85" t="s">
        <v>34</v>
      </c>
      <c r="D85" t="s">
        <v>49</v>
      </c>
      <c r="E85" t="s">
        <v>32</v>
      </c>
      <c r="F85" t="s">
        <v>23</v>
      </c>
      <c r="G85">
        <v>2</v>
      </c>
      <c r="H85">
        <v>1774.76</v>
      </c>
      <c r="I85">
        <v>3549.52</v>
      </c>
      <c r="J85">
        <f t="shared" si="3"/>
        <v>2662.14</v>
      </c>
      <c r="K85">
        <f t="shared" si="4"/>
        <v>887.38000000000011</v>
      </c>
      <c r="L85" s="5">
        <f t="shared" si="5"/>
        <v>0.25000000000000006</v>
      </c>
    </row>
    <row r="86" spans="1:12" x14ac:dyDescent="0.35">
      <c r="A86" s="3" t="s">
        <v>130</v>
      </c>
      <c r="B86" s="2">
        <v>46077</v>
      </c>
      <c r="C86" t="s">
        <v>58</v>
      </c>
      <c r="D86" t="s">
        <v>79</v>
      </c>
      <c r="E86" t="s">
        <v>45</v>
      </c>
      <c r="F86" t="s">
        <v>38</v>
      </c>
      <c r="G86">
        <v>4</v>
      </c>
      <c r="H86">
        <v>11861.18</v>
      </c>
      <c r="I86">
        <v>47444.72</v>
      </c>
      <c r="J86">
        <f t="shared" si="3"/>
        <v>35583.54</v>
      </c>
      <c r="K86">
        <f t="shared" si="4"/>
        <v>11861.18</v>
      </c>
      <c r="L86" s="5">
        <f t="shared" si="5"/>
        <v>0.25</v>
      </c>
    </row>
    <row r="87" spans="1:12" x14ac:dyDescent="0.35">
      <c r="A87" s="3" t="s">
        <v>131</v>
      </c>
      <c r="B87" s="2">
        <v>46192</v>
      </c>
      <c r="C87" t="s">
        <v>34</v>
      </c>
      <c r="D87" t="s">
        <v>55</v>
      </c>
      <c r="E87" t="s">
        <v>12</v>
      </c>
      <c r="F87" t="s">
        <v>23</v>
      </c>
      <c r="G87">
        <v>1</v>
      </c>
      <c r="H87">
        <v>2391.89</v>
      </c>
      <c r="I87">
        <v>2391.89</v>
      </c>
      <c r="J87">
        <f t="shared" si="3"/>
        <v>1793.9175</v>
      </c>
      <c r="K87">
        <f t="shared" si="4"/>
        <v>597.97249999999985</v>
      </c>
      <c r="L87" s="5">
        <f t="shared" si="5"/>
        <v>0.24999999999999994</v>
      </c>
    </row>
    <row r="88" spans="1:12" x14ac:dyDescent="0.35">
      <c r="A88" s="3" t="s">
        <v>132</v>
      </c>
      <c r="B88" s="2">
        <v>46080</v>
      </c>
      <c r="C88" t="s">
        <v>87</v>
      </c>
      <c r="D88" t="s">
        <v>11</v>
      </c>
      <c r="E88" t="s">
        <v>12</v>
      </c>
      <c r="F88" t="s">
        <v>13</v>
      </c>
      <c r="G88">
        <v>2</v>
      </c>
      <c r="H88">
        <v>28967.66</v>
      </c>
      <c r="I88">
        <v>57935.32</v>
      </c>
      <c r="J88">
        <f t="shared" si="3"/>
        <v>43451.49</v>
      </c>
      <c r="K88">
        <f t="shared" si="4"/>
        <v>14483.830000000002</v>
      </c>
      <c r="L88" s="5">
        <f t="shared" si="5"/>
        <v>0.25000000000000006</v>
      </c>
    </row>
    <row r="89" spans="1:12" x14ac:dyDescent="0.35">
      <c r="A89" s="3" t="s">
        <v>133</v>
      </c>
      <c r="B89" s="2">
        <v>46144</v>
      </c>
      <c r="C89" t="s">
        <v>34</v>
      </c>
      <c r="D89" t="s">
        <v>26</v>
      </c>
      <c r="E89" t="s">
        <v>12</v>
      </c>
      <c r="F89" t="s">
        <v>16</v>
      </c>
      <c r="G89">
        <v>1</v>
      </c>
      <c r="H89">
        <v>52193.27</v>
      </c>
      <c r="I89">
        <v>52193.27</v>
      </c>
      <c r="J89">
        <f t="shared" si="3"/>
        <v>39144.952499999999</v>
      </c>
      <c r="K89">
        <f t="shared" si="4"/>
        <v>13048.317499999997</v>
      </c>
      <c r="L89" s="5">
        <f t="shared" si="5"/>
        <v>0.24999999999999997</v>
      </c>
    </row>
    <row r="90" spans="1:12" x14ac:dyDescent="0.35">
      <c r="A90" s="3" t="s">
        <v>134</v>
      </c>
      <c r="B90" s="2">
        <v>46170</v>
      </c>
      <c r="C90" t="s">
        <v>87</v>
      </c>
      <c r="D90" t="s">
        <v>79</v>
      </c>
      <c r="E90" t="s">
        <v>45</v>
      </c>
      <c r="F90" t="s">
        <v>38</v>
      </c>
      <c r="G90">
        <v>4</v>
      </c>
      <c r="H90">
        <v>12926.73</v>
      </c>
      <c r="I90">
        <v>51706.92</v>
      </c>
      <c r="J90">
        <f t="shared" si="3"/>
        <v>38780.19</v>
      </c>
      <c r="K90">
        <f t="shared" si="4"/>
        <v>12926.729999999996</v>
      </c>
      <c r="L90" s="5">
        <f t="shared" si="5"/>
        <v>0.24999999999999992</v>
      </c>
    </row>
    <row r="91" spans="1:12" x14ac:dyDescent="0.35">
      <c r="A91" s="3" t="s">
        <v>135</v>
      </c>
      <c r="B91" s="2">
        <v>46190</v>
      </c>
      <c r="C91" t="s">
        <v>18</v>
      </c>
      <c r="D91" t="s">
        <v>79</v>
      </c>
      <c r="E91" t="s">
        <v>45</v>
      </c>
      <c r="F91" t="s">
        <v>16</v>
      </c>
      <c r="G91">
        <v>4</v>
      </c>
      <c r="H91">
        <v>11385.56</v>
      </c>
      <c r="I91">
        <v>45542.239999999998</v>
      </c>
      <c r="J91">
        <f t="shared" si="3"/>
        <v>34156.68</v>
      </c>
      <c r="K91">
        <f t="shared" si="4"/>
        <v>11385.559999999998</v>
      </c>
      <c r="L91" s="5">
        <f t="shared" si="5"/>
        <v>0.24999999999999997</v>
      </c>
    </row>
    <row r="92" spans="1:12" x14ac:dyDescent="0.35">
      <c r="A92" s="3" t="s">
        <v>136</v>
      </c>
      <c r="B92" s="2">
        <v>46201</v>
      </c>
      <c r="C92" t="s">
        <v>58</v>
      </c>
      <c r="D92" t="s">
        <v>44</v>
      </c>
      <c r="E92" t="s">
        <v>45</v>
      </c>
      <c r="F92" t="s">
        <v>38</v>
      </c>
      <c r="G92">
        <v>2</v>
      </c>
      <c r="H92">
        <v>7949.01</v>
      </c>
      <c r="I92">
        <v>15898.02</v>
      </c>
      <c r="J92">
        <f t="shared" si="3"/>
        <v>11923.514999999999</v>
      </c>
      <c r="K92">
        <f t="shared" si="4"/>
        <v>3974.505000000001</v>
      </c>
      <c r="L92" s="5">
        <f t="shared" si="5"/>
        <v>0.25000000000000006</v>
      </c>
    </row>
    <row r="93" spans="1:12" x14ac:dyDescent="0.35">
      <c r="A93" s="3" t="s">
        <v>137</v>
      </c>
      <c r="B93" s="2">
        <v>46240</v>
      </c>
      <c r="C93" t="s">
        <v>28</v>
      </c>
      <c r="D93" t="s">
        <v>26</v>
      </c>
      <c r="E93" t="s">
        <v>12</v>
      </c>
      <c r="F93" t="s">
        <v>38</v>
      </c>
      <c r="G93">
        <v>5</v>
      </c>
      <c r="H93">
        <v>52241.18</v>
      </c>
      <c r="I93">
        <v>261205.9</v>
      </c>
      <c r="J93">
        <f t="shared" si="3"/>
        <v>195904.42499999999</v>
      </c>
      <c r="K93">
        <f t="shared" si="4"/>
        <v>65301.475000000006</v>
      </c>
      <c r="L93" s="5">
        <f t="shared" si="5"/>
        <v>0.25000000000000006</v>
      </c>
    </row>
    <row r="94" spans="1:12" x14ac:dyDescent="0.35">
      <c r="A94" s="3" t="s">
        <v>138</v>
      </c>
      <c r="B94" s="2">
        <v>46166</v>
      </c>
      <c r="C94" t="s">
        <v>34</v>
      </c>
      <c r="D94" t="s">
        <v>55</v>
      </c>
      <c r="E94" t="s">
        <v>12</v>
      </c>
      <c r="F94" t="s">
        <v>23</v>
      </c>
      <c r="G94">
        <v>4</v>
      </c>
      <c r="H94">
        <v>2583.79</v>
      </c>
      <c r="I94">
        <v>10335.16</v>
      </c>
      <c r="J94">
        <f t="shared" si="3"/>
        <v>7751.37</v>
      </c>
      <c r="K94">
        <f t="shared" si="4"/>
        <v>2583.79</v>
      </c>
      <c r="L94" s="5">
        <f t="shared" si="5"/>
        <v>0.25</v>
      </c>
    </row>
    <row r="95" spans="1:12" x14ac:dyDescent="0.35">
      <c r="A95" s="3" t="s">
        <v>139</v>
      </c>
      <c r="B95" s="2">
        <v>46251</v>
      </c>
      <c r="C95" t="s">
        <v>58</v>
      </c>
      <c r="D95" t="s">
        <v>79</v>
      </c>
      <c r="E95" t="s">
        <v>45</v>
      </c>
      <c r="F95" t="s">
        <v>38</v>
      </c>
      <c r="G95">
        <v>5</v>
      </c>
      <c r="H95">
        <v>12756.02</v>
      </c>
      <c r="I95">
        <v>63780.1</v>
      </c>
      <c r="J95">
        <f t="shared" si="3"/>
        <v>47835.074999999997</v>
      </c>
      <c r="K95">
        <f t="shared" si="4"/>
        <v>15945.025000000001</v>
      </c>
      <c r="L95" s="5">
        <f t="shared" si="5"/>
        <v>0.25000000000000006</v>
      </c>
    </row>
    <row r="96" spans="1:12" x14ac:dyDescent="0.35">
      <c r="A96" s="3" t="s">
        <v>140</v>
      </c>
      <c r="B96" s="2">
        <v>46213</v>
      </c>
      <c r="C96" t="s">
        <v>75</v>
      </c>
      <c r="D96" t="s">
        <v>60</v>
      </c>
      <c r="E96" t="s">
        <v>32</v>
      </c>
      <c r="F96" t="s">
        <v>38</v>
      </c>
      <c r="G96">
        <v>4</v>
      </c>
      <c r="H96">
        <v>2374.77</v>
      </c>
      <c r="I96">
        <v>9499.08</v>
      </c>
      <c r="J96">
        <f t="shared" si="3"/>
        <v>7124.3099999999995</v>
      </c>
      <c r="K96">
        <f t="shared" si="4"/>
        <v>2374.7700000000004</v>
      </c>
      <c r="L96" s="5">
        <f t="shared" si="5"/>
        <v>0.25000000000000006</v>
      </c>
    </row>
    <row r="97" spans="1:12" x14ac:dyDescent="0.35">
      <c r="A97" s="3" t="s">
        <v>141</v>
      </c>
      <c r="B97" s="2">
        <v>46093</v>
      </c>
      <c r="C97" t="s">
        <v>58</v>
      </c>
      <c r="D97" t="s">
        <v>49</v>
      </c>
      <c r="E97" t="s">
        <v>32</v>
      </c>
      <c r="F97" t="s">
        <v>38</v>
      </c>
      <c r="G97">
        <v>2</v>
      </c>
      <c r="H97">
        <v>1922.35</v>
      </c>
      <c r="I97">
        <v>3844.7</v>
      </c>
      <c r="J97">
        <f t="shared" si="3"/>
        <v>2883.5249999999996</v>
      </c>
      <c r="K97">
        <f t="shared" si="4"/>
        <v>961.17500000000018</v>
      </c>
      <c r="L97" s="5">
        <f t="shared" si="5"/>
        <v>0.25000000000000006</v>
      </c>
    </row>
    <row r="98" spans="1:12" x14ac:dyDescent="0.35">
      <c r="A98" s="3" t="s">
        <v>142</v>
      </c>
      <c r="B98" s="2">
        <v>46205</v>
      </c>
      <c r="C98" t="s">
        <v>143</v>
      </c>
      <c r="D98" t="s">
        <v>22</v>
      </c>
      <c r="E98" t="s">
        <v>12</v>
      </c>
      <c r="F98" t="s">
        <v>13</v>
      </c>
      <c r="G98">
        <v>3</v>
      </c>
      <c r="H98">
        <v>14819.62</v>
      </c>
      <c r="I98">
        <v>44458.86</v>
      </c>
      <c r="J98">
        <f t="shared" si="3"/>
        <v>33344.145000000004</v>
      </c>
      <c r="K98">
        <f t="shared" si="4"/>
        <v>11114.714999999997</v>
      </c>
      <c r="L98" s="5">
        <f t="shared" si="5"/>
        <v>0.24999999999999992</v>
      </c>
    </row>
    <row r="99" spans="1:12" x14ac:dyDescent="0.35">
      <c r="A99" s="3" t="s">
        <v>144</v>
      </c>
      <c r="B99" s="2">
        <v>46161</v>
      </c>
      <c r="C99" t="s">
        <v>71</v>
      </c>
      <c r="D99" t="s">
        <v>49</v>
      </c>
      <c r="E99" t="s">
        <v>32</v>
      </c>
      <c r="F99" t="s">
        <v>13</v>
      </c>
      <c r="G99">
        <v>3</v>
      </c>
      <c r="H99">
        <v>1735.1</v>
      </c>
      <c r="I99">
        <v>5205.3</v>
      </c>
      <c r="J99">
        <f t="shared" si="3"/>
        <v>3903.9750000000004</v>
      </c>
      <c r="K99">
        <f t="shared" si="4"/>
        <v>1301.3249999999998</v>
      </c>
      <c r="L99" s="5">
        <f t="shared" si="5"/>
        <v>0.24999999999999994</v>
      </c>
    </row>
    <row r="100" spans="1:12" x14ac:dyDescent="0.35">
      <c r="A100" s="3" t="s">
        <v>145</v>
      </c>
      <c r="B100" s="2">
        <v>46062</v>
      </c>
      <c r="C100" t="s">
        <v>87</v>
      </c>
      <c r="D100" t="s">
        <v>55</v>
      </c>
      <c r="E100" t="s">
        <v>12</v>
      </c>
      <c r="F100" t="s">
        <v>16</v>
      </c>
      <c r="G100">
        <v>2</v>
      </c>
      <c r="H100">
        <v>2441.52</v>
      </c>
      <c r="I100">
        <v>4883.04</v>
      </c>
      <c r="J100">
        <f t="shared" si="3"/>
        <v>3662.2799999999997</v>
      </c>
      <c r="K100">
        <f t="shared" si="4"/>
        <v>1220.7600000000002</v>
      </c>
      <c r="L100" s="5">
        <f t="shared" si="5"/>
        <v>0.25000000000000006</v>
      </c>
    </row>
    <row r="101" spans="1:12" x14ac:dyDescent="0.35">
      <c r="A101" s="3" t="s">
        <v>146</v>
      </c>
      <c r="B101" s="2">
        <v>46142</v>
      </c>
      <c r="C101" t="s">
        <v>78</v>
      </c>
      <c r="D101" t="s">
        <v>44</v>
      </c>
      <c r="E101" t="s">
        <v>45</v>
      </c>
      <c r="F101" t="s">
        <v>16</v>
      </c>
      <c r="G101">
        <v>4</v>
      </c>
      <c r="H101">
        <v>8212.5</v>
      </c>
      <c r="I101">
        <v>32850</v>
      </c>
      <c r="J101">
        <f t="shared" si="3"/>
        <v>24637.5</v>
      </c>
      <c r="K101">
        <f t="shared" si="4"/>
        <v>8212.5</v>
      </c>
      <c r="L101" s="5">
        <f t="shared" si="5"/>
        <v>0.25</v>
      </c>
    </row>
    <row r="102" spans="1:12" x14ac:dyDescent="0.35">
      <c r="A102" s="3" t="s">
        <v>147</v>
      </c>
      <c r="B102" s="2">
        <v>46220</v>
      </c>
      <c r="C102" t="s">
        <v>21</v>
      </c>
      <c r="D102" t="s">
        <v>22</v>
      </c>
      <c r="E102" t="s">
        <v>12</v>
      </c>
      <c r="F102" t="s">
        <v>16</v>
      </c>
      <c r="G102">
        <v>4</v>
      </c>
      <c r="H102">
        <v>14668.43</v>
      </c>
      <c r="I102">
        <v>58673.72</v>
      </c>
      <c r="J102">
        <f t="shared" si="3"/>
        <v>44005.29</v>
      </c>
      <c r="K102">
        <f t="shared" si="4"/>
        <v>14668.43</v>
      </c>
      <c r="L102" s="5">
        <f t="shared" si="5"/>
        <v>0.25</v>
      </c>
    </row>
    <row r="103" spans="1:12" x14ac:dyDescent="0.35">
      <c r="A103" s="3" t="s">
        <v>148</v>
      </c>
      <c r="B103" s="2">
        <v>46264</v>
      </c>
      <c r="C103" t="s">
        <v>53</v>
      </c>
      <c r="D103" t="s">
        <v>36</v>
      </c>
      <c r="E103" t="s">
        <v>12</v>
      </c>
      <c r="F103" t="s">
        <v>23</v>
      </c>
      <c r="G103">
        <v>4</v>
      </c>
      <c r="H103">
        <v>11944.75</v>
      </c>
      <c r="I103">
        <v>47779</v>
      </c>
      <c r="J103">
        <f t="shared" si="3"/>
        <v>35834.25</v>
      </c>
      <c r="K103">
        <f t="shared" si="4"/>
        <v>11944.75</v>
      </c>
      <c r="L103" s="5">
        <f t="shared" si="5"/>
        <v>0.25</v>
      </c>
    </row>
    <row r="104" spans="1:12" x14ac:dyDescent="0.35">
      <c r="A104" s="3" t="s">
        <v>149</v>
      </c>
      <c r="B104" s="2">
        <v>46211</v>
      </c>
      <c r="C104" t="s">
        <v>43</v>
      </c>
      <c r="D104" t="s">
        <v>44</v>
      </c>
      <c r="E104" t="s">
        <v>45</v>
      </c>
      <c r="F104" t="s">
        <v>19</v>
      </c>
      <c r="G104">
        <v>4</v>
      </c>
      <c r="H104">
        <v>8564.9699999999993</v>
      </c>
      <c r="I104">
        <v>34259.879999999997</v>
      </c>
      <c r="J104">
        <f t="shared" si="3"/>
        <v>25694.909999999996</v>
      </c>
      <c r="K104">
        <f t="shared" si="4"/>
        <v>8564.9700000000012</v>
      </c>
      <c r="L104" s="5">
        <f t="shared" si="5"/>
        <v>0.25000000000000006</v>
      </c>
    </row>
    <row r="105" spans="1:12" x14ac:dyDescent="0.35">
      <c r="A105" s="3" t="s">
        <v>150</v>
      </c>
      <c r="B105" s="2">
        <v>46134</v>
      </c>
      <c r="C105" t="s">
        <v>75</v>
      </c>
      <c r="D105" t="s">
        <v>22</v>
      </c>
      <c r="E105" t="s">
        <v>12</v>
      </c>
      <c r="F105" t="s">
        <v>16</v>
      </c>
      <c r="G105">
        <v>4</v>
      </c>
      <c r="H105">
        <v>14158.26</v>
      </c>
      <c r="I105">
        <v>56633.04</v>
      </c>
      <c r="J105">
        <f t="shared" si="3"/>
        <v>42474.78</v>
      </c>
      <c r="K105">
        <f t="shared" si="4"/>
        <v>14158.260000000002</v>
      </c>
      <c r="L105" s="5">
        <f t="shared" si="5"/>
        <v>0.25000000000000006</v>
      </c>
    </row>
    <row r="106" spans="1:12" x14ac:dyDescent="0.35">
      <c r="A106" s="3" t="s">
        <v>151</v>
      </c>
      <c r="B106" s="2">
        <v>46227</v>
      </c>
      <c r="C106" t="s">
        <v>122</v>
      </c>
      <c r="D106" t="s">
        <v>44</v>
      </c>
      <c r="E106" t="s">
        <v>45</v>
      </c>
      <c r="F106" t="s">
        <v>13</v>
      </c>
      <c r="G106">
        <v>3</v>
      </c>
      <c r="H106">
        <v>8787.09</v>
      </c>
      <c r="I106">
        <v>26361.27</v>
      </c>
      <c r="J106">
        <f t="shared" si="3"/>
        <v>19770.952499999999</v>
      </c>
      <c r="K106">
        <f t="shared" si="4"/>
        <v>6590.317500000001</v>
      </c>
      <c r="L106" s="5">
        <f t="shared" si="5"/>
        <v>0.25000000000000006</v>
      </c>
    </row>
    <row r="107" spans="1:12" x14ac:dyDescent="0.35">
      <c r="A107" s="3" t="s">
        <v>152</v>
      </c>
      <c r="B107" s="2">
        <v>46159</v>
      </c>
      <c r="C107" t="s">
        <v>18</v>
      </c>
      <c r="D107" t="s">
        <v>79</v>
      </c>
      <c r="E107" t="s">
        <v>45</v>
      </c>
      <c r="F107" t="s">
        <v>38</v>
      </c>
      <c r="G107">
        <v>2</v>
      </c>
      <c r="H107">
        <v>13153.73</v>
      </c>
      <c r="I107">
        <v>26307.46</v>
      </c>
      <c r="J107">
        <f t="shared" si="3"/>
        <v>19730.595000000001</v>
      </c>
      <c r="K107">
        <f t="shared" si="4"/>
        <v>6576.864999999998</v>
      </c>
      <c r="L107" s="5">
        <f t="shared" si="5"/>
        <v>0.24999999999999994</v>
      </c>
    </row>
    <row r="108" spans="1:12" x14ac:dyDescent="0.35">
      <c r="A108" s="3" t="s">
        <v>153</v>
      </c>
      <c r="B108" s="2">
        <v>46044</v>
      </c>
      <c r="C108" t="s">
        <v>78</v>
      </c>
      <c r="D108" t="s">
        <v>36</v>
      </c>
      <c r="E108" t="s">
        <v>12</v>
      </c>
      <c r="F108" t="s">
        <v>13</v>
      </c>
      <c r="G108">
        <v>5</v>
      </c>
      <c r="H108">
        <v>12391.2</v>
      </c>
      <c r="I108">
        <v>61956</v>
      </c>
      <c r="J108">
        <f t="shared" si="3"/>
        <v>46467</v>
      </c>
      <c r="K108">
        <f t="shared" si="4"/>
        <v>15489</v>
      </c>
      <c r="L108" s="5">
        <f t="shared" si="5"/>
        <v>0.25</v>
      </c>
    </row>
    <row r="109" spans="1:12" x14ac:dyDescent="0.35">
      <c r="A109" s="3" t="s">
        <v>154</v>
      </c>
      <c r="B109" s="2">
        <v>46120</v>
      </c>
      <c r="C109" t="s">
        <v>47</v>
      </c>
      <c r="D109" t="s">
        <v>79</v>
      </c>
      <c r="E109" t="s">
        <v>45</v>
      </c>
      <c r="F109" t="s">
        <v>13</v>
      </c>
      <c r="G109">
        <v>2</v>
      </c>
      <c r="H109">
        <v>10920.68</v>
      </c>
      <c r="I109">
        <v>21841.360000000001</v>
      </c>
      <c r="J109">
        <f t="shared" si="3"/>
        <v>16381.02</v>
      </c>
      <c r="K109">
        <f t="shared" si="4"/>
        <v>5460.34</v>
      </c>
      <c r="L109" s="5">
        <f t="shared" si="5"/>
        <v>0.25</v>
      </c>
    </row>
    <row r="110" spans="1:12" x14ac:dyDescent="0.35">
      <c r="A110" s="3" t="s">
        <v>155</v>
      </c>
      <c r="B110" s="2">
        <v>46248</v>
      </c>
      <c r="C110" t="s">
        <v>122</v>
      </c>
      <c r="D110" t="s">
        <v>79</v>
      </c>
      <c r="E110" t="s">
        <v>45</v>
      </c>
      <c r="F110" t="s">
        <v>23</v>
      </c>
      <c r="G110">
        <v>3</v>
      </c>
      <c r="H110">
        <v>11610</v>
      </c>
      <c r="I110">
        <v>34830</v>
      </c>
      <c r="J110">
        <f t="shared" si="3"/>
        <v>26122.5</v>
      </c>
      <c r="K110">
        <f t="shared" si="4"/>
        <v>8707.5</v>
      </c>
      <c r="L110" s="5">
        <f t="shared" si="5"/>
        <v>0.25</v>
      </c>
    </row>
    <row r="111" spans="1:12" x14ac:dyDescent="0.35">
      <c r="A111" s="3" t="s">
        <v>156</v>
      </c>
      <c r="B111" s="2">
        <v>46143</v>
      </c>
      <c r="C111" t="s">
        <v>18</v>
      </c>
      <c r="D111" t="s">
        <v>44</v>
      </c>
      <c r="E111" t="s">
        <v>45</v>
      </c>
      <c r="F111" t="s">
        <v>19</v>
      </c>
      <c r="G111">
        <v>3</v>
      </c>
      <c r="H111">
        <v>9069.35</v>
      </c>
      <c r="I111">
        <v>27208.05</v>
      </c>
      <c r="J111">
        <f t="shared" si="3"/>
        <v>20406.037499999999</v>
      </c>
      <c r="K111">
        <f t="shared" si="4"/>
        <v>6802.0125000000007</v>
      </c>
      <c r="L111" s="5">
        <f t="shared" si="5"/>
        <v>0.25000000000000006</v>
      </c>
    </row>
    <row r="112" spans="1:12" x14ac:dyDescent="0.35">
      <c r="A112" s="3" t="s">
        <v>157</v>
      </c>
      <c r="B112" s="2">
        <v>46040</v>
      </c>
      <c r="C112" t="s">
        <v>15</v>
      </c>
      <c r="D112" t="s">
        <v>26</v>
      </c>
      <c r="E112" t="s">
        <v>12</v>
      </c>
      <c r="F112" t="s">
        <v>16</v>
      </c>
      <c r="G112">
        <v>3</v>
      </c>
      <c r="H112">
        <v>51966.44</v>
      </c>
      <c r="I112">
        <v>155899.32</v>
      </c>
      <c r="J112">
        <f t="shared" si="3"/>
        <v>116924.49</v>
      </c>
      <c r="K112">
        <f t="shared" si="4"/>
        <v>38974.83</v>
      </c>
      <c r="L112" s="5">
        <f t="shared" si="5"/>
        <v>0.25</v>
      </c>
    </row>
    <row r="113" spans="1:12" x14ac:dyDescent="0.35">
      <c r="A113" s="3" t="s">
        <v>158</v>
      </c>
      <c r="B113" s="2">
        <v>46182</v>
      </c>
      <c r="C113" t="s">
        <v>106</v>
      </c>
      <c r="D113" t="s">
        <v>22</v>
      </c>
      <c r="E113" t="s">
        <v>12</v>
      </c>
      <c r="F113" t="s">
        <v>13</v>
      </c>
      <c r="G113">
        <v>2</v>
      </c>
      <c r="H113">
        <v>16017.69</v>
      </c>
      <c r="I113">
        <v>32035.38</v>
      </c>
      <c r="J113">
        <f t="shared" si="3"/>
        <v>24026.535</v>
      </c>
      <c r="K113">
        <f t="shared" si="4"/>
        <v>8008.8450000000012</v>
      </c>
      <c r="L113" s="5">
        <f t="shared" si="5"/>
        <v>0.25000000000000006</v>
      </c>
    </row>
    <row r="114" spans="1:12" x14ac:dyDescent="0.35">
      <c r="A114" s="3" t="s">
        <v>159</v>
      </c>
      <c r="B114" s="2">
        <v>46167</v>
      </c>
      <c r="C114" t="s">
        <v>87</v>
      </c>
      <c r="D114" t="s">
        <v>55</v>
      </c>
      <c r="E114" t="s">
        <v>12</v>
      </c>
      <c r="F114" t="s">
        <v>38</v>
      </c>
      <c r="G114">
        <v>4</v>
      </c>
      <c r="H114">
        <v>2584.73</v>
      </c>
      <c r="I114">
        <v>10338.92</v>
      </c>
      <c r="J114">
        <f t="shared" si="3"/>
        <v>7754.1900000000005</v>
      </c>
      <c r="K114">
        <f t="shared" si="4"/>
        <v>2584.7299999999996</v>
      </c>
      <c r="L114" s="5">
        <f t="shared" si="5"/>
        <v>0.24999999999999994</v>
      </c>
    </row>
    <row r="115" spans="1:12" x14ac:dyDescent="0.35">
      <c r="A115" s="3" t="s">
        <v>160</v>
      </c>
      <c r="B115" s="2">
        <v>46178</v>
      </c>
      <c r="C115" t="s">
        <v>28</v>
      </c>
      <c r="D115" t="s">
        <v>49</v>
      </c>
      <c r="E115" t="s">
        <v>32</v>
      </c>
      <c r="F115" t="s">
        <v>13</v>
      </c>
      <c r="G115">
        <v>3</v>
      </c>
      <c r="H115">
        <v>1680.4</v>
      </c>
      <c r="I115">
        <v>5041.2</v>
      </c>
      <c r="J115">
        <f t="shared" si="3"/>
        <v>3780.8999999999996</v>
      </c>
      <c r="K115">
        <f t="shared" si="4"/>
        <v>1260.3000000000002</v>
      </c>
      <c r="L115" s="5">
        <f t="shared" si="5"/>
        <v>0.25000000000000006</v>
      </c>
    </row>
    <row r="116" spans="1:12" x14ac:dyDescent="0.35">
      <c r="A116" s="3" t="s">
        <v>161</v>
      </c>
      <c r="B116" s="2">
        <v>46260</v>
      </c>
      <c r="C116" t="s">
        <v>143</v>
      </c>
      <c r="D116" t="s">
        <v>49</v>
      </c>
      <c r="E116" t="s">
        <v>32</v>
      </c>
      <c r="F116" t="s">
        <v>19</v>
      </c>
      <c r="G116">
        <v>1</v>
      </c>
      <c r="H116">
        <v>1828.33</v>
      </c>
      <c r="I116">
        <v>1828.33</v>
      </c>
      <c r="J116">
        <f t="shared" si="3"/>
        <v>1371.2474999999999</v>
      </c>
      <c r="K116">
        <f t="shared" si="4"/>
        <v>457.08249999999998</v>
      </c>
      <c r="L116" s="5">
        <f t="shared" si="5"/>
        <v>0.25</v>
      </c>
    </row>
    <row r="117" spans="1:12" x14ac:dyDescent="0.35">
      <c r="A117" s="3" t="s">
        <v>162</v>
      </c>
      <c r="B117" s="2">
        <v>46073</v>
      </c>
      <c r="C117" t="s">
        <v>71</v>
      </c>
      <c r="D117" t="s">
        <v>44</v>
      </c>
      <c r="E117" t="s">
        <v>45</v>
      </c>
      <c r="F117" t="s">
        <v>19</v>
      </c>
      <c r="G117">
        <v>4</v>
      </c>
      <c r="H117">
        <v>9250.5</v>
      </c>
      <c r="I117">
        <v>37002</v>
      </c>
      <c r="J117">
        <f t="shared" si="3"/>
        <v>27751.5</v>
      </c>
      <c r="K117">
        <f t="shared" si="4"/>
        <v>9250.5</v>
      </c>
      <c r="L117" s="5">
        <f t="shared" si="5"/>
        <v>0.25</v>
      </c>
    </row>
    <row r="118" spans="1:12" x14ac:dyDescent="0.35">
      <c r="A118" s="3" t="s">
        <v>163</v>
      </c>
      <c r="B118" s="2">
        <v>46100</v>
      </c>
      <c r="C118" t="s">
        <v>34</v>
      </c>
      <c r="D118" t="s">
        <v>22</v>
      </c>
      <c r="E118" t="s">
        <v>12</v>
      </c>
      <c r="F118" t="s">
        <v>16</v>
      </c>
      <c r="G118">
        <v>1</v>
      </c>
      <c r="H118">
        <v>15591.58</v>
      </c>
      <c r="I118">
        <v>15591.58</v>
      </c>
      <c r="J118">
        <f t="shared" si="3"/>
        <v>11693.684999999999</v>
      </c>
      <c r="K118">
        <f t="shared" si="4"/>
        <v>3897.8950000000004</v>
      </c>
      <c r="L118" s="5">
        <f t="shared" si="5"/>
        <v>0.25000000000000006</v>
      </c>
    </row>
    <row r="119" spans="1:12" x14ac:dyDescent="0.35">
      <c r="A119" s="3" t="s">
        <v>164</v>
      </c>
      <c r="B119" s="2">
        <v>46132</v>
      </c>
      <c r="C119" t="s">
        <v>53</v>
      </c>
      <c r="D119" t="s">
        <v>36</v>
      </c>
      <c r="E119" t="s">
        <v>12</v>
      </c>
      <c r="F119" t="s">
        <v>16</v>
      </c>
      <c r="G119">
        <v>1</v>
      </c>
      <c r="H119">
        <v>11633.29</v>
      </c>
      <c r="I119">
        <v>11633.29</v>
      </c>
      <c r="J119">
        <f t="shared" si="3"/>
        <v>8724.9675000000007</v>
      </c>
      <c r="K119">
        <f t="shared" si="4"/>
        <v>2908.3225000000002</v>
      </c>
      <c r="L119" s="5">
        <f t="shared" si="5"/>
        <v>0.25</v>
      </c>
    </row>
    <row r="120" spans="1:12" x14ac:dyDescent="0.35">
      <c r="A120" s="3" t="s">
        <v>165</v>
      </c>
      <c r="B120" s="2">
        <v>46130</v>
      </c>
      <c r="C120" t="s">
        <v>75</v>
      </c>
      <c r="D120" t="s">
        <v>60</v>
      </c>
      <c r="E120" t="s">
        <v>32</v>
      </c>
      <c r="F120" t="s">
        <v>16</v>
      </c>
      <c r="G120">
        <v>3</v>
      </c>
      <c r="H120">
        <v>1985.57</v>
      </c>
      <c r="I120">
        <v>5956.71</v>
      </c>
      <c r="J120">
        <f t="shared" si="3"/>
        <v>4467.5325000000003</v>
      </c>
      <c r="K120">
        <f t="shared" si="4"/>
        <v>1489.1774999999998</v>
      </c>
      <c r="L120" s="5">
        <f t="shared" si="5"/>
        <v>0.24999999999999997</v>
      </c>
    </row>
    <row r="121" spans="1:12" x14ac:dyDescent="0.35">
      <c r="A121" s="3" t="s">
        <v>166</v>
      </c>
      <c r="B121" s="2">
        <v>46235</v>
      </c>
      <c r="C121" t="s">
        <v>30</v>
      </c>
      <c r="D121" t="s">
        <v>44</v>
      </c>
      <c r="E121" t="s">
        <v>45</v>
      </c>
      <c r="F121" t="s">
        <v>13</v>
      </c>
      <c r="G121">
        <v>3</v>
      </c>
      <c r="H121">
        <v>8730.49</v>
      </c>
      <c r="I121">
        <v>26191.47</v>
      </c>
      <c r="J121">
        <f t="shared" si="3"/>
        <v>19643.602500000001</v>
      </c>
      <c r="K121">
        <f t="shared" si="4"/>
        <v>6547.8675000000003</v>
      </c>
      <c r="L121" s="5">
        <f t="shared" si="5"/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CA4A-9D5C-422B-A0BF-363414E002F1}">
  <dimension ref="A1:C7"/>
  <sheetViews>
    <sheetView workbookViewId="0">
      <selection activeCell="A7" sqref="A7"/>
    </sheetView>
  </sheetViews>
  <sheetFormatPr defaultRowHeight="14.5" x14ac:dyDescent="0.35"/>
  <cols>
    <col min="2" max="2" width="13.1796875" bestFit="1" customWidth="1"/>
    <col min="3" max="3" width="38.453125" bestFit="1" customWidth="1"/>
  </cols>
  <sheetData>
    <row r="1" spans="1:3" ht="18.5" x14ac:dyDescent="0.45">
      <c r="A1" s="4" t="s">
        <v>211</v>
      </c>
      <c r="B1" t="str">
        <f>IF('Sales Data'!I2&lt;15000,"Low-Value","Medium-Value")</f>
        <v>Medium-Value</v>
      </c>
      <c r="C1" t="s">
        <v>212</v>
      </c>
    </row>
    <row r="3" spans="1:3" ht="18.5" x14ac:dyDescent="0.45">
      <c r="A3" s="4" t="s">
        <v>209</v>
      </c>
      <c r="B3" t="str">
        <f>IF('Sales Data'!I2&gt;=50000,"High-Value",IF('Sales Data'!I2&lt;15000,"Low-Value","Medium-Value"))</f>
        <v>Medium-Value</v>
      </c>
      <c r="C3" t="s">
        <v>210</v>
      </c>
    </row>
    <row r="5" spans="1:3" ht="18.5" x14ac:dyDescent="0.45">
      <c r="A5" s="4" t="s">
        <v>205</v>
      </c>
      <c r="B5" t="str">
        <f>IF(AND('Sales Data'!I2&gt;=50000,'Sales Data'!L2&gt;=20%),"Strong","Not Strong")</f>
        <v>Not Strong</v>
      </c>
      <c r="C5" t="s">
        <v>206</v>
      </c>
    </row>
    <row r="7" spans="1:3" ht="18.5" x14ac:dyDescent="0.45">
      <c r="A7" s="4" t="s">
        <v>207</v>
      </c>
      <c r="B7" t="str">
        <f>IF(OR('Sales Data'!I2&lt;15000,'Sales Data'!L2&gt;15%),"Poor","Not Poor")</f>
        <v>Not Poor</v>
      </c>
      <c r="C7" t="s">
        <v>208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1D78-9C28-43ED-997D-DBDD371D1721}">
  <dimension ref="A1:C11"/>
  <sheetViews>
    <sheetView workbookViewId="0">
      <selection activeCell="C1" sqref="C1"/>
    </sheetView>
  </sheetViews>
  <sheetFormatPr defaultRowHeight="14.5" x14ac:dyDescent="0.35"/>
  <cols>
    <col min="2" max="2" width="56.54296875" bestFit="1" customWidth="1"/>
  </cols>
  <sheetData>
    <row r="1" spans="1:3" ht="18.5" x14ac:dyDescent="0.45">
      <c r="A1" s="1" t="s">
        <v>217</v>
      </c>
      <c r="B1" s="1" t="s">
        <v>218</v>
      </c>
    </row>
    <row r="2" spans="1:3" x14ac:dyDescent="0.35">
      <c r="A2">
        <v>1</v>
      </c>
      <c r="B2" t="s">
        <v>213</v>
      </c>
      <c r="C2">
        <f>COUNTA('Sales Data'!A:A)-1</f>
        <v>120</v>
      </c>
    </row>
    <row r="3" spans="1:3" x14ac:dyDescent="0.35">
      <c r="A3">
        <v>2</v>
      </c>
      <c r="B3" t="s">
        <v>214</v>
      </c>
      <c r="C3">
        <f>SUM('Sales Data'!G:G)</f>
        <v>348</v>
      </c>
    </row>
    <row r="4" spans="1:3" x14ac:dyDescent="0.35">
      <c r="A4">
        <v>3</v>
      </c>
      <c r="B4" t="s">
        <v>220</v>
      </c>
      <c r="C4">
        <f>SUM('Sales Data'!I:I)</f>
        <v>5053724.5400000019</v>
      </c>
    </row>
    <row r="5" spans="1:3" x14ac:dyDescent="0.35">
      <c r="A5">
        <v>4</v>
      </c>
      <c r="B5" t="s">
        <v>215</v>
      </c>
      <c r="C5">
        <f>AVERAGE('Sales Data'!I:I)</f>
        <v>42114.371166666686</v>
      </c>
    </row>
    <row r="6" spans="1:3" x14ac:dyDescent="0.35">
      <c r="A6">
        <v>5</v>
      </c>
      <c r="B6" t="s">
        <v>216</v>
      </c>
      <c r="C6">
        <f>MIN('Sales Data'!I:I)</f>
        <v>851.23</v>
      </c>
    </row>
    <row r="7" spans="1:3" x14ac:dyDescent="0.35">
      <c r="A7">
        <v>6</v>
      </c>
      <c r="B7" t="s">
        <v>221</v>
      </c>
      <c r="C7">
        <f>MAX('Sales Data'!I:I)</f>
        <v>277965.7</v>
      </c>
    </row>
    <row r="8" spans="1:3" x14ac:dyDescent="0.35">
      <c r="A8">
        <v>7</v>
      </c>
      <c r="B8" t="s">
        <v>222</v>
      </c>
      <c r="C8">
        <f>MAX('Revenue Calculations'!B:B)</f>
        <v>1714537.95</v>
      </c>
    </row>
    <row r="9" spans="1:3" x14ac:dyDescent="0.35">
      <c r="A9">
        <v>8</v>
      </c>
      <c r="B9" t="s">
        <v>223</v>
      </c>
      <c r="C9">
        <f>MAX('Revenue Calculations'!F:F)</f>
        <v>4142688.1400000006</v>
      </c>
    </row>
    <row r="10" spans="1:3" x14ac:dyDescent="0.35">
      <c r="A10">
        <v>9</v>
      </c>
      <c r="B10" t="s">
        <v>224</v>
      </c>
      <c r="C10">
        <f>MAX('Revenue Calculations'!J:J)</f>
        <v>1177426.33</v>
      </c>
    </row>
    <row r="11" spans="1:3" x14ac:dyDescent="0.35">
      <c r="A11">
        <v>10</v>
      </c>
      <c r="B11" t="s">
        <v>219</v>
      </c>
      <c r="C11">
        <f>SUM('Creating Profit&amp;Profit Margin  '!K:K)</f>
        <v>1263431.1350000005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Data</vt:lpstr>
      <vt:lpstr>Basic Formulas &amp; Calculations</vt:lpstr>
      <vt:lpstr>Conditional Formulas</vt:lpstr>
      <vt:lpstr>Revenue Calculations</vt:lpstr>
      <vt:lpstr>Creating Profit&amp;Profit Margin  </vt:lpstr>
      <vt:lpstr>IF,NESTED IF,AND,OR</vt:lpstr>
      <vt:lpstr>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</dc:creator>
  <cp:lastModifiedBy>Vishnu</cp:lastModifiedBy>
  <dcterms:created xsi:type="dcterms:W3CDTF">2026-09-02T07:59:14Z</dcterms:created>
  <dcterms:modified xsi:type="dcterms:W3CDTF">2026-09-02T12:13:45Z</dcterms:modified>
</cp:coreProperties>
</file>