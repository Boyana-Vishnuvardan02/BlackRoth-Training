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IT Computers\Documents\"/>
    </mc:Choice>
  </mc:AlternateContent>
  <xr:revisionPtr revIDLastSave="0" documentId="13_ncr:1_{C3A64073-3EF3-4E55-8219-3F27132C3FE9}" xr6:coauthVersionLast="47" xr6:coauthVersionMax="47" xr10:uidLastSave="{00000000-0000-0000-0000-000000000000}"/>
  <bookViews>
    <workbookView xWindow="-110" yWindow="-110" windowWidth="19420" windowHeight="10300" xr2:uid="{828534C8-B553-46A2-93BA-AE70DABFFB0D}"/>
  </bookViews>
  <sheets>
    <sheet name="RawData" sheetId="1" r:id="rId1"/>
    <sheet name="Cleaned Data" sheetId="2" r:id="rId2"/>
    <sheet name="Pivot Tables" sheetId="3" r:id="rId3"/>
    <sheet name="E-Commerce Sales Analysis" sheetId="4" r:id="rId4"/>
  </sheets>
  <definedNames>
    <definedName name="Slicer_Category">#N/A</definedName>
    <definedName name="Slicer_Months__Order_Date">#N/A</definedName>
    <definedName name="Slicer_Product">#N/A</definedName>
    <definedName name="Slicer_Region">#N/A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1" i="3" l="1"/>
  <c r="N9" i="3"/>
  <c r="N7" i="3"/>
  <c r="N5" i="3"/>
  <c r="N3" i="3"/>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2"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223"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H3" i="2"/>
  <c r="H4" i="2"/>
  <c r="N536" i="2" s="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2"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2"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alcChain>
</file>

<file path=xl/sharedStrings.xml><?xml version="1.0" encoding="utf-8"?>
<sst xmlns="http://schemas.openxmlformats.org/spreadsheetml/2006/main" count="3714" uniqueCount="683">
  <si>
    <t>ORD0001</t>
  </si>
  <si>
    <t>North</t>
  </si>
  <si>
    <t>Delhi</t>
  </si>
  <si>
    <t>Laptop</t>
  </si>
  <si>
    <t>Electronics</t>
  </si>
  <si>
    <t>ORD0002</t>
  </si>
  <si>
    <t>Lucknow</t>
  </si>
  <si>
    <t>Backpack</t>
  </si>
  <si>
    <t>Accessories</t>
  </si>
  <si>
    <t>ORD0003</t>
  </si>
  <si>
    <t>ORD0004</t>
  </si>
  <si>
    <t>Notebook</t>
  </si>
  <si>
    <t>Office Supplies</t>
  </si>
  <si>
    <t>ORD0005</t>
  </si>
  <si>
    <t>West</t>
  </si>
  <si>
    <t>Pune</t>
  </si>
  <si>
    <t>Monitor</t>
  </si>
  <si>
    <t>ORD0006</t>
  </si>
  <si>
    <t>South</t>
  </si>
  <si>
    <t>Chennai</t>
  </si>
  <si>
    <t>Keyboard</t>
  </si>
  <si>
    <t>ORD0007</t>
  </si>
  <si>
    <t>Desk</t>
  </si>
  <si>
    <t>Furniture</t>
  </si>
  <si>
    <t>ORD0008</t>
  </si>
  <si>
    <t>East</t>
  </si>
  <si>
    <t xml:space="preserve"> Hyderabad </t>
  </si>
  <si>
    <t>ORD0009</t>
  </si>
  <si>
    <t>Jaipur</t>
  </si>
  <si>
    <t>Bookshelf</t>
  </si>
  <si>
    <t>ORD0010</t>
  </si>
  <si>
    <t>Kolkata</t>
  </si>
  <si>
    <t>Pen Set</t>
  </si>
  <si>
    <t>ORD0011</t>
  </si>
  <si>
    <t>Hyderabad</t>
  </si>
  <si>
    <t>Office Chair</t>
  </si>
  <si>
    <t>ORD0012</t>
  </si>
  <si>
    <t>Bhubaneswar</t>
  </si>
  <si>
    <t>Printer</t>
  </si>
  <si>
    <t>ORD0013</t>
  </si>
  <si>
    <t>Bengaluru</t>
  </si>
  <si>
    <t>ORD0014</t>
  </si>
  <si>
    <t>ORD0015</t>
  </si>
  <si>
    <t>ORD0016</t>
  </si>
  <si>
    <t>ORD0017</t>
  </si>
  <si>
    <t>ORD0018</t>
  </si>
  <si>
    <t>Patna</t>
  </si>
  <si>
    <t>ORD0019</t>
  </si>
  <si>
    <t>ORD0020</t>
  </si>
  <si>
    <t>smartphone</t>
  </si>
  <si>
    <t>ORD0021</t>
  </si>
  <si>
    <t>ORD0022</t>
  </si>
  <si>
    <t>Smartphone</t>
  </si>
  <si>
    <t>ORD0023</t>
  </si>
  <si>
    <t>ORD0024</t>
  </si>
  <si>
    <t>Mumbai</t>
  </si>
  <si>
    <t>ORD0025</t>
  </si>
  <si>
    <t>ORD0026</t>
  </si>
  <si>
    <t>ORD0027</t>
  </si>
  <si>
    <t>ORD0028</t>
  </si>
  <si>
    <t>ORD0029</t>
  </si>
  <si>
    <t>Headphones</t>
  </si>
  <si>
    <t>ORD0030</t>
  </si>
  <si>
    <t>ORD0031</t>
  </si>
  <si>
    <t>ORD0032</t>
  </si>
  <si>
    <t>ORD0033</t>
  </si>
  <si>
    <t>Ahmedabad</t>
  </si>
  <si>
    <t>ORD0034</t>
  </si>
  <si>
    <t>ORD0035</t>
  </si>
  <si>
    <t xml:space="preserve">south </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</si>
  <si>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</si>
  <si>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</si>
  <si>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</si>
  <si>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</si>
  <si>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</si>
  <si>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</si>
  <si>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</si>
  <si>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</si>
  <si>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</si>
  <si>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</si>
  <si>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</si>
  <si>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</si>
  <si>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</si>
  <si>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</si>
  <si>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</si>
  <si>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</si>
  <si>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</si>
  <si>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</si>
  <si>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</si>
  <si>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</si>
  <si>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</si>
  <si>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</si>
  <si>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</si>
  <si>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</si>
  <si>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</si>
  <si>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</si>
  <si>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</si>
  <si>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</si>
  <si>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</si>
  <si>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</si>
  <si>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</si>
  <si>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</si>
  <si>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</si>
  <si>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</si>
  <si>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</si>
  <si>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</si>
  <si>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</si>
  <si>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</si>
  <si>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</si>
  <si>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</si>
  <si>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</si>
  <si>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</si>
  <si>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</si>
  <si>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</si>
  <si>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</si>
  <si>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</si>
  <si>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</si>
  <si>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</si>
  <si>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</si>
  <si>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</si>
  <si>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</si>
  <si>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</si>
  <si>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</si>
  <si>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</si>
  <si>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</si>
  <si>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</si>
  <si>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</si>
  <si>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</si>
  <si>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</si>
  <si>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</si>
  <si>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</si>
  <si>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</si>
  <si>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</si>
  <si>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</si>
  <si>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</si>
  <si>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</si>
  <si>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</si>
  <si>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 xml:space="preserve">Mumbai </t>
  </si>
  <si>
    <t>ORD0103</t>
  </si>
  <si>
    <t>ORD0104</t>
  </si>
  <si>
    <t>ORD0105</t>
  </si>
  <si>
    <t>ORD0106</t>
  </si>
  <si>
    <t>ORD0107</t>
  </si>
  <si>
    <t>ORD0108</t>
  </si>
  <si>
    <t>ORD0109</t>
  </si>
  <si>
    <t>ORD0110</t>
  </si>
  <si>
    <t>ORD0111</t>
  </si>
  <si>
    <t>ORD0112</t>
  </si>
  <si>
    <t>ORD0113</t>
  </si>
  <si>
    <t>ORD0114</t>
  </si>
  <si>
    <t>ORD0115</t>
  </si>
  <si>
    <t>ORD0116</t>
  </si>
  <si>
    <t>ORD0117</t>
  </si>
  <si>
    <t>ORD0118</t>
  </si>
  <si>
    <t>electronics</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</si>
  <si>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</si>
  <si>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</si>
  <si>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</si>
  <si>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</si>
  <si>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</si>
  <si>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</si>
  <si>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</si>
  <si>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</si>
  <si>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</si>
  <si>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</si>
  <si>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</si>
  <si>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</si>
  <si>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</si>
  <si>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</si>
  <si>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</si>
  <si>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</si>
  <si>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</si>
  <si>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</si>
  <si>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</si>
  <si>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</si>
  <si>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</si>
  <si>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</si>
  <si>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</si>
  <si>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</si>
  <si>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</si>
  <si>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</si>
  <si>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 xml:space="preserve">Laptop </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</si>
  <si>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</si>
  <si>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</si>
  <si>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</si>
  <si>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</si>
  <si>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</si>
  <si>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</si>
  <si>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</si>
  <si>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</si>
  <si>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</si>
  <si>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</si>
  <si>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</si>
  <si>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</si>
  <si>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</si>
  <si>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</si>
  <si>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</si>
  <si>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</si>
  <si>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</si>
  <si>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</si>
  <si>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</si>
  <si>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</si>
  <si>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</si>
  <si>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</si>
  <si>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</si>
  <si>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</si>
  <si>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</si>
  <si>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</si>
  <si>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</si>
  <si>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</si>
  <si>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</si>
  <si>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</si>
  <si>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</si>
  <si>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</si>
  <si>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</si>
  <si>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</si>
  <si>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</si>
  <si>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</si>
  <si>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</si>
  <si>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</si>
  <si>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</si>
  <si>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</si>
  <si>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</si>
  <si>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</si>
  <si>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</si>
  <si>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</si>
  <si>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</si>
  <si>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</si>
  <si>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</si>
  <si>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</si>
  <si>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</si>
  <si>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</si>
  <si>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</si>
  <si>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</si>
  <si>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</si>
  <si>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</si>
  <si>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</si>
  <si>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</si>
  <si>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</si>
  <si>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</si>
  <si>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</si>
  <si>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</si>
  <si>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</si>
  <si>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</si>
  <si>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</si>
  <si>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</si>
  <si>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</si>
  <si>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</si>
  <si>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</si>
  <si>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</si>
  <si>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</si>
  <si>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</si>
  <si>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</si>
  <si>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</si>
  <si>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</si>
  <si>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</si>
  <si>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</si>
  <si>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</si>
  <si>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</si>
  <si>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</si>
  <si>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</si>
  <si>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</si>
  <si>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</si>
  <si>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</si>
  <si>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</si>
  <si>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</si>
  <si>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</si>
  <si>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</si>
  <si>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</si>
  <si>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</si>
  <si>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</si>
  <si>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</si>
  <si>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</si>
  <si>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</si>
  <si>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</si>
  <si>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</si>
  <si>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</si>
  <si>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</si>
  <si>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</si>
  <si>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</si>
  <si>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</si>
  <si>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</si>
  <si>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</si>
  <si>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</si>
  <si>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</si>
  <si>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</si>
  <si>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</si>
  <si>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</si>
  <si>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</si>
  <si>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</si>
  <si>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WEST</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</si>
  <si>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</si>
  <si>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</si>
  <si>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</si>
  <si>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</si>
  <si>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</si>
  <si>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</si>
  <si>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</si>
  <si>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</si>
  <si>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</si>
  <si>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</si>
  <si>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</si>
  <si>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</si>
  <si>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</si>
  <si>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</si>
  <si>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</si>
  <si>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</si>
  <si>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</si>
  <si>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</si>
  <si>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</si>
  <si>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</si>
  <si>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</si>
  <si>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</si>
  <si>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</si>
  <si>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</si>
  <si>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</si>
  <si>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chennai</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</si>
  <si>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</si>
  <si>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</si>
  <si>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</si>
  <si>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</si>
  <si>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</si>
  <si>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</si>
  <si>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</si>
  <si>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</si>
  <si>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</si>
  <si>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</si>
  <si>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</si>
  <si>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</si>
  <si>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</si>
  <si>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</si>
  <si>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</si>
  <si>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</si>
  <si>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</si>
  <si>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</si>
  <si>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</si>
  <si>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</si>
  <si>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</si>
  <si>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</si>
  <si>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</si>
  <si>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</si>
  <si>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</si>
  <si>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</si>
  <si>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</si>
  <si>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</si>
  <si>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</si>
  <si>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</si>
  <si>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</si>
  <si>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</si>
  <si>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</si>
  <si>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</si>
  <si>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</si>
  <si>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</si>
  <si>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</si>
  <si>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</si>
  <si>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</si>
  <si>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</si>
  <si>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</si>
  <si>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</si>
  <si>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</si>
  <si>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</si>
  <si>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</si>
  <si>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</si>
  <si>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</si>
  <si>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</si>
  <si>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</si>
  <si>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</si>
  <si>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</si>
  <si>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</si>
  <si>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</si>
  <si>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</si>
  <si>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</si>
  <si>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</si>
  <si>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</si>
  <si>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 xml:space="preserve">Keyboard </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</si>
  <si>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</si>
  <si>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</si>
  <si>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</si>
  <si>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</si>
  <si>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</si>
  <si>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</si>
  <si>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</si>
  <si>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</si>
  <si>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</si>
  <si>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</si>
  <si>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</si>
  <si>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</si>
  <si>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</si>
  <si>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</si>
  <si>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</si>
  <si>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</si>
  <si>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</si>
  <si>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</si>
  <si>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</si>
  <si>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</si>
  <si>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</si>
  <si>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</si>
  <si>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</si>
  <si>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</si>
  <si>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</si>
  <si>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</si>
  <si>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</si>
  <si>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</si>
  <si>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</si>
  <si>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</si>
  <si>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</si>
  <si>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</si>
  <si>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</si>
  <si>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</si>
  <si>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</si>
  <si>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</si>
  <si>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</si>
  <si>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</si>
  <si>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</si>
  <si>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</si>
  <si>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</si>
  <si>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</si>
  <si>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</si>
  <si>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</si>
  <si>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</si>
  <si>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</si>
  <si>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</si>
  <si>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</si>
  <si>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</si>
  <si>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</si>
  <si>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</si>
  <si>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</si>
  <si>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</si>
  <si>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</si>
  <si>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</si>
  <si>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</si>
  <si>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</si>
  <si>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</si>
  <si>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</si>
  <si>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</si>
  <si>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</si>
  <si>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</si>
  <si>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</si>
  <si>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</si>
  <si>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</si>
  <si>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</si>
  <si>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</si>
  <si>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</si>
  <si>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</si>
  <si>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 xml:space="preserve"> Pune</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</si>
  <si>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</si>
  <si>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</si>
  <si>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</si>
  <si>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</si>
  <si>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</si>
  <si>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</si>
  <si>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</si>
  <si>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</si>
  <si>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</si>
  <si>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</si>
  <si>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</si>
  <si>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</si>
  <si>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</si>
  <si>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</si>
  <si>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</si>
  <si>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</si>
  <si>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</si>
  <si>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</si>
  <si>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</si>
  <si>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</si>
  <si>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</si>
  <si>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</si>
  <si>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</si>
  <si>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</si>
  <si>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</si>
  <si>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</si>
  <si>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</si>
  <si>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</si>
  <si>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</si>
  <si>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</si>
  <si>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</si>
  <si>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</si>
  <si>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</si>
  <si>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</si>
  <si>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</si>
  <si>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</si>
  <si>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</si>
  <si>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</si>
  <si>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</si>
  <si>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</si>
  <si>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</si>
  <si>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</si>
  <si>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Office supplies</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</si>
  <si>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</si>
  <si>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</si>
  <si>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</si>
  <si>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</si>
  <si>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</si>
  <si>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</si>
  <si>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</si>
  <si>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</si>
  <si>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</si>
  <si>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</si>
  <si>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</si>
  <si>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</si>
  <si>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</si>
  <si>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</si>
  <si>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</si>
  <si>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</si>
  <si>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</si>
  <si>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</si>
  <si>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</si>
  <si>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</si>
  <si>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</si>
  <si>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</si>
  <si>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</si>
  <si>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</si>
  <si>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</si>
  <si>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</si>
  <si>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</si>
  <si>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</si>
  <si>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</si>
  <si>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</si>
  <si>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</si>
  <si>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</si>
  <si>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</si>
  <si>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</si>
  <si>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</si>
  <si>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</si>
  <si>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</si>
  <si>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</si>
  <si>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</si>
  <si>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</si>
  <si>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</si>
  <si>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</si>
  <si>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</si>
  <si>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</si>
  <si>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</si>
  <si>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</si>
  <si>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</si>
  <si>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</si>
  <si>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</si>
  <si>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</si>
  <si>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</si>
  <si>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</si>
  <si>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</si>
  <si>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</si>
  <si>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</si>
  <si>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</si>
  <si>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</si>
  <si>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</si>
  <si>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</si>
  <si>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</si>
  <si>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</si>
  <si>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</si>
  <si>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</si>
  <si>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</si>
  <si>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</si>
  <si>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</si>
  <si>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</si>
  <si>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</si>
  <si>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</si>
  <si>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</si>
  <si>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</si>
  <si>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</si>
  <si>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</si>
  <si>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</si>
  <si>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</si>
  <si>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</si>
  <si>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</si>
  <si>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</si>
  <si>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</si>
  <si>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</si>
  <si>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</si>
  <si>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 xml:space="preserve">Desk </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</si>
  <si>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</si>
  <si>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</si>
  <si>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</si>
  <si>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</si>
  <si>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</si>
  <si>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</si>
  <si>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</si>
  <si>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</si>
  <si>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</si>
  <si>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</si>
  <si>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</si>
  <si>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</si>
  <si>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</si>
  <si>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</si>
  <si>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</si>
  <si>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</si>
  <si>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</si>
  <si>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</si>
  <si>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</si>
  <si>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</si>
  <si>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</si>
  <si>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</si>
  <si>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</si>
  <si>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</si>
  <si>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</si>
  <si>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</si>
  <si>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</si>
  <si>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</si>
  <si>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</si>
  <si>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</si>
  <si>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</si>
  <si>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</si>
  <si>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</si>
  <si>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</si>
  <si>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</si>
  <si>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</si>
  <si>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</si>
  <si>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</si>
  <si>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</si>
  <si>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</si>
  <si>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</si>
  <si>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</si>
  <si>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</si>
  <si>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</si>
  <si>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</si>
  <si>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</si>
  <si>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</si>
  <si>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</si>
  <si>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</si>
  <si>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</si>
  <si>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</si>
  <si>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</si>
  <si>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</si>
  <si>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</si>
  <si>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</si>
  <si>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</si>
  <si>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</si>
  <si>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</si>
  <si>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</si>
  <si>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</si>
  <si>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</si>
  <si>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</si>
  <si>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</si>
  <si>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</si>
  <si>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</si>
  <si>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</si>
  <si>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</si>
  <si>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</si>
  <si>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</si>
  <si>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</si>
  <si>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</si>
  <si>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</si>
  <si>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</si>
  <si>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</si>
  <si>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Order_ID</t>
  </si>
  <si>
    <t>Order_Date</t>
  </si>
  <si>
    <t>Region</t>
  </si>
  <si>
    <t>City</t>
  </si>
  <si>
    <t>Product</t>
  </si>
  <si>
    <t>Category</t>
  </si>
  <si>
    <t>Quantity</t>
  </si>
  <si>
    <t>Unit_Price</t>
  </si>
  <si>
    <t>Discount</t>
  </si>
  <si>
    <t>Revenue</t>
  </si>
  <si>
    <t>Cost</t>
  </si>
  <si>
    <t>Profit</t>
  </si>
  <si>
    <t>Grand Total</t>
  </si>
  <si>
    <t>Jan</t>
  </si>
  <si>
    <t>Feb</t>
  </si>
  <si>
    <t>Mar</t>
  </si>
  <si>
    <t>Apr</t>
  </si>
  <si>
    <t>May</t>
  </si>
  <si>
    <t>Jun</t>
  </si>
  <si>
    <t>Jul</t>
  </si>
  <si>
    <t>Aug</t>
  </si>
  <si>
    <t>Sep</t>
  </si>
  <si>
    <t>Oct</t>
  </si>
  <si>
    <t>Nov</t>
  </si>
  <si>
    <t>Dec</t>
  </si>
  <si>
    <t>Month</t>
  </si>
  <si>
    <t xml:space="preserve">Revenue </t>
  </si>
  <si>
    <t xml:space="preserve">Profit </t>
  </si>
  <si>
    <t xml:space="preserve">Quantity </t>
  </si>
  <si>
    <t>E-Commerce Sales Analysis</t>
  </si>
  <si>
    <t>TOTAL REVENUE</t>
  </si>
  <si>
    <t>TOTAL PROFIT</t>
  </si>
  <si>
    <t>TOTAL ORDERS</t>
  </si>
  <si>
    <t>TOTAL QUANTITY</t>
  </si>
  <si>
    <t>AVERAGE ORDER VALUE</t>
  </si>
  <si>
    <t xml:space="preserve">Cost </t>
  </si>
  <si>
    <t xml:space="preserve"> Revenue</t>
  </si>
  <si>
    <t xml:space="preserve"> Profit</t>
  </si>
  <si>
    <t xml:space="preserve">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</si>
</sst>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0.0%"/>
  </numFmts>
  <fonts count="6" x14ac:knownFonts="1">
    <font>
      <sz val="11"/>
      <color theme="1"/>
      <name val="Calibri"/>
      <family val="2"/>
      <scheme val="minor"/>
    </font>
    <font>
      <b/>
      <sz val="11"/>
      <color rgb="FFFFFFFF"/>
      <name val="Calibri"/>
      <family val="2"/>
    </font>
    <font>
      <b/>
      <sz val="11"/>
      <color rgb="FFFFFFFF"/>
      <name val="Calibri"/>
    </font>
    <font>
      <b/>
      <sz val="13.5"/>
      <color theme="1"/>
      <name val="Calibri"/>
      <family val="2"/>
      <scheme val="minor"/>
    </font>
    <font>
      <b/>
      <sz val="16"/>
      <color theme="0"/>
      <name val="Calibri"/>
      <family val="2"/>
      <scheme val="minor"/>
    </font>
    <font>
      <sz val="12"/>
      <color theme="1"/>
      <name val="Times New Roman"/>
      <family val="1"/>
    </font>
  </fonts>
  <fills count="5">
    <fill>
      <patternFill patternType="none"/>
    </fill>
    <fill>
      <patternFill patternType="gray125"/>
    </fill>
    <fill>
      <patternFill patternType="solid">
        <fgColor rgb="FF1F4E78"/>
      </patternFill>
    </fill>
    <fill>
      <patternFill patternType="solid">
        <fgColor theme="1"/>
        <bgColor indexed="64"/>
      </patternFill>
    </fill>
    <fill>
      <patternFill patternType="solid">
        <fgColor theme="2" tint="-9.9978637043366805E-2"/>
        <bgColor indexed="64"/>
      </patternFill>
    </fill>
  </fills>
  <borders count="2">
    <border>
      <left/>
      <right/>
      <top/>
      <bottom/>
      <diagonal/>
    </border>
    <border>
      <left/>
      <right/>
      <top/>
      <bottom style="medium">
        <color indexed="64"/>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164" fontId="0" fillId="0" borderId="0" xfId="0" applyNumberFormat="1"/>
    <xf numFmtId="4" fontId="0" fillId="0" borderId="0" xfId="0" applyNumberFormat="1"/>
    <xf numFmtId="165" fontId="0" fillId="0" borderId="0" xfId="0" applyNumberFormat="1"/>
    <xf numFmtId="14" fontId="2" fillId="2" borderId="0" xfId="0" applyNumberFormat="1" applyFont="1" applyFill="1" applyAlignment="1">
      <alignment horizontal="center" vertic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3" fillId="3" borderId="0" xfId="0" applyFont="1" applyFill="1" applyAlignment="1">
      <alignment vertical="center"/>
    </xf>
    <xf numFmtId="0" fontId="4" fillId="3" borderId="0" xfId="0" applyFont="1" applyFill="1" applyAlignment="1">
      <alignment vertical="center"/>
    </xf>
    <xf numFmtId="0" fontId="0" fillId="4" borderId="0" xfId="0" applyFont="1" applyFill="1"/>
    <xf numFmtId="0" fontId="5" fillId="0" borderId="1" xfId="0" applyFont="1" applyBorder="1" applyAlignment="1">
      <alignment vertical="center" wrapText="1"/>
    </xf>
    <xf numFmtId="0" fontId="5" fillId="0" borderId="0" xfId="0" applyFont="1" applyAlignment="1">
      <alignment vertical="center" wrapText="1"/>
    </xf>
  </cellXfs>
  <cellStyles count="1">
    <cellStyle name="Normal" xfId="0" builtinId="0"/>
  </cellStyles>
  <dxfs count="3">
    <dxf>
      <numFmt numFmtId="4" formatCode="#,##0.00"/>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[05_Ecommerce_Case_Study.xlsx]Pivot Tables!PivotTable4</c:name>
    <c:fmtId val="7"/>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Tables'!$H$19</c:f>
              <c:strCache>
                <c:ptCount val="1"/>
                <c:pt idx="0">
                  <c:v> Revenue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9F8-46A2-840E-C2421A89ACC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9F8-46A2-840E-C2421A89ACC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9F8-46A2-840E-C2421A89ACC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9F8-46A2-840E-C2421A89ACCD}"/>
              </c:ext>
            </c:extLst>
          </c:dPt>
          <c:cat>
            <c:strRef>
              <c:f>'Pivot Tables'!$G$20:$G$24</c:f>
              <c:strCache>
                <c:ptCount val="4"/>
                <c:pt idx="0">
                  <c:v>East</c:v>
                </c:pt>
                <c:pt idx="1">
                  <c:v>North</c:v>
                </c:pt>
                <c:pt idx="2">
                  <c:v>South</c:v>
                </c:pt>
                <c:pt idx="3">
                  <c:v>West</c:v>
                </c:pt>
              </c:strCache>
            </c:strRef>
          </c:cat>
          <c:val>
            <c:numRef>
              <c:f>'Pivot Tables'!$H$20:$H$24</c:f>
              <c:numCache>
                <c:formatCode>#,##0.00</c:formatCode>
                <c:ptCount val="4"/>
                <c:pt idx="0">
                  <c:v>132965.32</c:v>
                </c:pt>
                <c:pt idx="1">
                  <c:v>160955.49000000011</c:v>
                </c:pt>
                <c:pt idx="2">
                  <c:v>126451.46999999994</c:v>
                </c:pt>
                <c:pt idx="3">
                  <c:v>129775.34999999999</c:v>
                </c:pt>
              </c:numCache>
            </c:numRef>
          </c:val>
          <c:extLst>
            <c:ext xmlns:c16="http://schemas.microsoft.com/office/drawing/2014/chart" uri="{C3380CC4-5D6E-409C-BE32-E72D297353CC}">
              <c16:uniqueId val="{00000008-D9F8-46A2-840E-C2421A89ACCD}"/>
            </c:ext>
          </c:extLst>
        </c:ser>
        <c:ser>
          <c:idx val="1"/>
          <c:order val="1"/>
          <c:tx>
            <c:strRef>
              <c:f>'Pivot Tables'!$I$19</c:f>
              <c:strCache>
                <c:ptCount val="1"/>
                <c:pt idx="0">
                  <c:v>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D9F8-46A2-840E-C2421A89ACC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D9F8-46A2-840E-C2421A89ACC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D9F8-46A2-840E-C2421A89ACC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D9F8-46A2-840E-C2421A89ACCD}"/>
              </c:ext>
            </c:extLst>
          </c:dPt>
          <c:cat>
            <c:strRef>
              <c:f>'Pivot Tables'!$G$20:$G$24</c:f>
              <c:strCache>
                <c:ptCount val="4"/>
                <c:pt idx="0">
                  <c:v>East</c:v>
                </c:pt>
                <c:pt idx="1">
                  <c:v>North</c:v>
                </c:pt>
                <c:pt idx="2">
                  <c:v>South</c:v>
                </c:pt>
                <c:pt idx="3">
                  <c:v>West</c:v>
                </c:pt>
              </c:strCache>
            </c:strRef>
          </c:cat>
          <c:val>
            <c:numRef>
              <c:f>'Pivot Tables'!$I$20:$I$24</c:f>
              <c:numCache>
                <c:formatCode>#,##0.00</c:formatCode>
                <c:ptCount val="4"/>
                <c:pt idx="0">
                  <c:v>41887.859999999993</c:v>
                </c:pt>
                <c:pt idx="1">
                  <c:v>50127.24</c:v>
                </c:pt>
                <c:pt idx="2">
                  <c:v>37974.369999999995</c:v>
                </c:pt>
                <c:pt idx="3">
                  <c:v>40692.400000000016</c:v>
                </c:pt>
              </c:numCache>
            </c:numRef>
          </c:val>
          <c:extLst>
            <c:ext xmlns:c16="http://schemas.microsoft.com/office/drawing/2014/chart" uri="{C3380CC4-5D6E-409C-BE32-E72D297353CC}">
              <c16:uniqueId val="{00000011-D9F8-46A2-840E-C2421A89ACCD}"/>
            </c:ext>
          </c:extLst>
        </c:ser>
        <c:ser>
          <c:idx val="2"/>
          <c:order val="2"/>
          <c:tx>
            <c:strRef>
              <c:f>'Pivot Tables'!$J$19</c:f>
              <c:strCache>
                <c:ptCount val="1"/>
                <c:pt idx="0">
                  <c:v>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3-D9F8-46A2-840E-C2421A89ACC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5-D9F8-46A2-840E-C2421A89ACC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7-D9F8-46A2-840E-C2421A89ACC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9-D9F8-46A2-840E-C2421A89ACCD}"/>
              </c:ext>
            </c:extLst>
          </c:dPt>
          <c:cat>
            <c:strRef>
              <c:f>'Pivot Tables'!$G$20:$G$24</c:f>
              <c:strCache>
                <c:ptCount val="4"/>
                <c:pt idx="0">
                  <c:v>East</c:v>
                </c:pt>
                <c:pt idx="1">
                  <c:v>North</c:v>
                </c:pt>
                <c:pt idx="2">
                  <c:v>South</c:v>
                </c:pt>
                <c:pt idx="3">
                  <c:v>West</c:v>
                </c:pt>
              </c:strCache>
            </c:strRef>
          </c:cat>
          <c:val>
            <c:numRef>
              <c:f>'Pivot Tables'!$J$20:$J$24</c:f>
              <c:numCache>
                <c:formatCode>General</c:formatCode>
                <c:ptCount val="4"/>
                <c:pt idx="0">
                  <c:v>804</c:v>
                </c:pt>
                <c:pt idx="1">
                  <c:v>863</c:v>
                </c:pt>
                <c:pt idx="2">
                  <c:v>862</c:v>
                </c:pt>
                <c:pt idx="3">
                  <c:v>770</c:v>
                </c:pt>
              </c:numCache>
            </c:numRef>
          </c:val>
          <c:extLst>
            <c:ext xmlns:c16="http://schemas.microsoft.com/office/drawing/2014/chart" uri="{C3380CC4-5D6E-409C-BE32-E72D297353CC}">
              <c16:uniqueId val="{0000001A-D9F8-46A2-840E-C2421A89ACCD}"/>
            </c:ext>
          </c:extLst>
        </c:ser>
        <c:dLbls>
          <c:showLegendKey val="0"/>
          <c:showVal val="0"/>
          <c:showCatName val="0"/>
          <c:showSerName val="0"/>
          <c:showPercent val="0"/>
          <c:showBubbleSize val="0"/>
          <c:showLeaderLines val="1"/>
        </c:dLbls>
      </c:pie3DChart>
      <c:spPr>
        <a:solidFill>
          <a:schemeClr val="tx1"/>
        </a:solid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[05_Ecommerce_Case_Study.xlsx]Pivot Tables!PivotTable1</c:name>
    <c:fmtId val="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c:f>
              <c:strCache>
                <c:ptCount val="1"/>
                <c:pt idx="0">
                  <c:v>Revenue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Tables'!$B$3:$B$15</c:f>
              <c:numCache>
                <c:formatCode>#,##0.00</c:formatCode>
                <c:ptCount val="12"/>
                <c:pt idx="0">
                  <c:v>39055.30999999999</c:v>
                </c:pt>
                <c:pt idx="1">
                  <c:v>50649.39</c:v>
                </c:pt>
                <c:pt idx="2">
                  <c:v>42271.760000000009</c:v>
                </c:pt>
                <c:pt idx="3">
                  <c:v>32866.910000000003</c:v>
                </c:pt>
                <c:pt idx="4">
                  <c:v>51113.15</c:v>
                </c:pt>
                <c:pt idx="5">
                  <c:v>52638.039999999994</c:v>
                </c:pt>
                <c:pt idx="6">
                  <c:v>40547.80000000001</c:v>
                </c:pt>
                <c:pt idx="7">
                  <c:v>59228.189999999995</c:v>
                </c:pt>
                <c:pt idx="8">
                  <c:v>26034.690000000006</c:v>
                </c:pt>
                <c:pt idx="9">
                  <c:v>38644.28</c:v>
                </c:pt>
                <c:pt idx="10">
                  <c:v>49210.94</c:v>
                </c:pt>
                <c:pt idx="11">
                  <c:v>67887.17</c:v>
                </c:pt>
              </c:numCache>
            </c:numRef>
          </c:val>
          <c:smooth val="0"/>
          <c:extLst>
            <c:ext xmlns:c16="http://schemas.microsoft.com/office/drawing/2014/chart" uri="{C3380CC4-5D6E-409C-BE32-E72D297353CC}">
              <c16:uniqueId val="{00000000-F97C-4E53-A7BF-30465F039C37}"/>
            </c:ext>
          </c:extLst>
        </c:ser>
        <c:ser>
          <c:idx val="1"/>
          <c:order val="1"/>
          <c:tx>
            <c:strRef>
              <c:f>'Pivot Tables'!$C$2</c:f>
              <c:strCache>
                <c:ptCount val="1"/>
                <c:pt idx="0">
                  <c:v>Profit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Tables'!$C$3:$C$15</c:f>
              <c:numCache>
                <c:formatCode>#,##0.00</c:formatCode>
                <c:ptCount val="12"/>
                <c:pt idx="0">
                  <c:v>11573.239999999998</c:v>
                </c:pt>
                <c:pt idx="1">
                  <c:v>15205.589999999998</c:v>
                </c:pt>
                <c:pt idx="2">
                  <c:v>14565.690000000002</c:v>
                </c:pt>
                <c:pt idx="3">
                  <c:v>10530.110000000002</c:v>
                </c:pt>
                <c:pt idx="4">
                  <c:v>17244.260000000002</c:v>
                </c:pt>
                <c:pt idx="5">
                  <c:v>17364.91</c:v>
                </c:pt>
                <c:pt idx="6">
                  <c:v>12028.680000000002</c:v>
                </c:pt>
                <c:pt idx="7">
                  <c:v>19119.959999999995</c:v>
                </c:pt>
                <c:pt idx="8">
                  <c:v>7531.5099999999993</c:v>
                </c:pt>
                <c:pt idx="9">
                  <c:v>10648.840000000002</c:v>
                </c:pt>
                <c:pt idx="10">
                  <c:v>15007.719999999996</c:v>
                </c:pt>
                <c:pt idx="11">
                  <c:v>19861.36</c:v>
                </c:pt>
              </c:numCache>
            </c:numRef>
          </c:val>
          <c:smooth val="0"/>
          <c:extLst>
            <c:ext xmlns:c16="http://schemas.microsoft.com/office/drawing/2014/chart" uri="{C3380CC4-5D6E-409C-BE32-E72D297353CC}">
              <c16:uniqueId val="{00000001-F97C-4E53-A7BF-30465F039C37}"/>
            </c:ext>
          </c:extLst>
        </c:ser>
        <c:ser>
          <c:idx val="2"/>
          <c:order val="2"/>
          <c:tx>
            <c:strRef>
              <c:f>'Pivot Tables'!$D$2</c:f>
              <c:strCache>
                <c:ptCount val="1"/>
                <c:pt idx="0">
                  <c:v>Quantity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Tables'!$D$3:$D$15</c:f>
              <c:numCache>
                <c:formatCode>General</c:formatCode>
                <c:ptCount val="12"/>
                <c:pt idx="0">
                  <c:v>234</c:v>
                </c:pt>
                <c:pt idx="1">
                  <c:v>245</c:v>
                </c:pt>
                <c:pt idx="2">
                  <c:v>309</c:v>
                </c:pt>
                <c:pt idx="3">
                  <c:v>208</c:v>
                </c:pt>
                <c:pt idx="4">
                  <c:v>306</c:v>
                </c:pt>
                <c:pt idx="5">
                  <c:v>324</c:v>
                </c:pt>
                <c:pt idx="6">
                  <c:v>259</c:v>
                </c:pt>
                <c:pt idx="7">
                  <c:v>325</c:v>
                </c:pt>
                <c:pt idx="8">
                  <c:v>171</c:v>
                </c:pt>
                <c:pt idx="9">
                  <c:v>268</c:v>
                </c:pt>
                <c:pt idx="10">
                  <c:v>277</c:v>
                </c:pt>
                <c:pt idx="11">
                  <c:v>373</c:v>
                </c:pt>
              </c:numCache>
            </c:numRef>
          </c:val>
          <c:smooth val="0"/>
          <c:extLst>
            <c:ext xmlns:c16="http://schemas.microsoft.com/office/drawing/2014/chart" uri="{C3380CC4-5D6E-409C-BE32-E72D297353CC}">
              <c16:uniqueId val="{00000002-F97C-4E53-A7BF-30465F039C37}"/>
            </c:ext>
          </c:extLst>
        </c:ser>
        <c:dLbls>
          <c:showLegendKey val="0"/>
          <c:showVal val="0"/>
          <c:showCatName val="0"/>
          <c:showSerName val="0"/>
          <c:showPercent val="0"/>
          <c:showBubbleSize val="0"/>
        </c:dLbls>
        <c:marker val="1"/>
        <c:smooth val="0"/>
        <c:axId val="1831938863"/>
        <c:axId val="1577728767"/>
      </c:lineChart>
      <c:catAx>
        <c:axId val="183193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77728767"/>
        <c:crosses val="autoZero"/>
        <c:auto val="1"/>
        <c:lblAlgn val="ctr"/>
        <c:lblOffset val="100"/>
        <c:noMultiLvlLbl val="0"/>
      </c:catAx>
      <c:valAx>
        <c:axId val="1577728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3193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[05_Ecommerce_Case_Study.xlsx]Pivot Tables!PivotTable3</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Tables'!$B$19</c:f>
              <c:strCache>
                <c:ptCount val="1"/>
                <c:pt idx="0">
                  <c:v>Revenue </c:v>
                </c:pt>
              </c:strCache>
            </c:strRef>
          </c:tx>
          <c:spPr>
            <a:solidFill>
              <a:schemeClr val="accent1"/>
            </a:solidFill>
            <a:ln>
              <a:noFill/>
            </a:ln>
            <a:effectLst/>
            <a:sp3d/>
          </c:spPr>
          <c:invertIfNegative val="0"/>
          <c:cat>
            <c:strRef>
              <c:f>'Pivot Tables'!$A$20:$A$24</c:f>
              <c:strCache>
                <c:ptCount val="4"/>
                <c:pt idx="0">
                  <c:v>Accessories</c:v>
                </c:pt>
                <c:pt idx="1">
                  <c:v>Electronics</c:v>
                </c:pt>
                <c:pt idx="2">
                  <c:v>Furniture</c:v>
                </c:pt>
                <c:pt idx="3">
                  <c:v>Office Supplies</c:v>
                </c:pt>
              </c:strCache>
            </c:strRef>
          </c:cat>
          <c:val>
            <c:numRef>
              <c:f>'Pivot Tables'!$B$20:$B$24</c:f>
              <c:numCache>
                <c:formatCode>#,##0.00</c:formatCode>
                <c:ptCount val="4"/>
                <c:pt idx="0">
                  <c:v>20353.39</c:v>
                </c:pt>
                <c:pt idx="1">
                  <c:v>321080.05999999994</c:v>
                </c:pt>
                <c:pt idx="2">
                  <c:v>158768.49000000002</c:v>
                </c:pt>
                <c:pt idx="3">
                  <c:v>49945.689999999995</c:v>
                </c:pt>
              </c:numCache>
            </c:numRef>
          </c:val>
          <c:extLst>
            <c:ext xmlns:c16="http://schemas.microsoft.com/office/drawing/2014/chart" uri="{C3380CC4-5D6E-409C-BE32-E72D297353CC}">
              <c16:uniqueId val="{00000000-A5F0-4806-8E50-7BF78D339695}"/>
            </c:ext>
          </c:extLst>
        </c:ser>
        <c:ser>
          <c:idx val="1"/>
          <c:order val="1"/>
          <c:tx>
            <c:strRef>
              <c:f>'Pivot Tables'!$C$19</c:f>
              <c:strCache>
                <c:ptCount val="1"/>
                <c:pt idx="0">
                  <c:v>Profit </c:v>
                </c:pt>
              </c:strCache>
            </c:strRef>
          </c:tx>
          <c:spPr>
            <a:solidFill>
              <a:schemeClr val="accent2"/>
            </a:solidFill>
            <a:ln>
              <a:noFill/>
            </a:ln>
            <a:effectLst/>
            <a:sp3d/>
          </c:spPr>
          <c:invertIfNegative val="0"/>
          <c:cat>
            <c:strRef>
              <c:f>'Pivot Tables'!$A$20:$A$24</c:f>
              <c:strCache>
                <c:ptCount val="4"/>
                <c:pt idx="0">
                  <c:v>Accessories</c:v>
                </c:pt>
                <c:pt idx="1">
                  <c:v>Electronics</c:v>
                </c:pt>
                <c:pt idx="2">
                  <c:v>Furniture</c:v>
                </c:pt>
                <c:pt idx="3">
                  <c:v>Office Supplies</c:v>
                </c:pt>
              </c:strCache>
            </c:strRef>
          </c:cat>
          <c:val>
            <c:numRef>
              <c:f>'Pivot Tables'!$C$20:$C$24</c:f>
              <c:numCache>
                <c:formatCode>#,##0.00</c:formatCode>
                <c:ptCount val="4"/>
                <c:pt idx="0">
                  <c:v>5993.3999999999978</c:v>
                </c:pt>
                <c:pt idx="1">
                  <c:v>98426.590000000011</c:v>
                </c:pt>
                <c:pt idx="2">
                  <c:v>49927.43</c:v>
                </c:pt>
                <c:pt idx="3">
                  <c:v>16334.450000000008</c:v>
                </c:pt>
              </c:numCache>
            </c:numRef>
          </c:val>
          <c:extLst>
            <c:ext xmlns:c16="http://schemas.microsoft.com/office/drawing/2014/chart" uri="{C3380CC4-5D6E-409C-BE32-E72D297353CC}">
              <c16:uniqueId val="{00000001-A5F0-4806-8E50-7BF78D339695}"/>
            </c:ext>
          </c:extLst>
        </c:ser>
        <c:ser>
          <c:idx val="2"/>
          <c:order val="2"/>
          <c:tx>
            <c:strRef>
              <c:f>'Pivot Tables'!$D$19</c:f>
              <c:strCache>
                <c:ptCount val="1"/>
                <c:pt idx="0">
                  <c:v>Quantity </c:v>
                </c:pt>
              </c:strCache>
            </c:strRef>
          </c:tx>
          <c:spPr>
            <a:solidFill>
              <a:schemeClr val="accent3"/>
            </a:solidFill>
            <a:ln>
              <a:noFill/>
            </a:ln>
            <a:effectLst/>
            <a:sp3d/>
          </c:spPr>
          <c:invertIfNegative val="0"/>
          <c:cat>
            <c:strRef>
              <c:f>'Pivot Tables'!$A$20:$A$24</c:f>
              <c:strCache>
                <c:ptCount val="4"/>
                <c:pt idx="0">
                  <c:v>Accessories</c:v>
                </c:pt>
                <c:pt idx="1">
                  <c:v>Electronics</c:v>
                </c:pt>
                <c:pt idx="2">
                  <c:v>Furniture</c:v>
                </c:pt>
                <c:pt idx="3">
                  <c:v>Office Supplies</c:v>
                </c:pt>
              </c:strCache>
            </c:strRef>
          </c:cat>
          <c:val>
            <c:numRef>
              <c:f>'Pivot Tables'!$D$20:$D$24</c:f>
              <c:numCache>
                <c:formatCode>General</c:formatCode>
                <c:ptCount val="4"/>
                <c:pt idx="0">
                  <c:v>541</c:v>
                </c:pt>
                <c:pt idx="1">
                  <c:v>931</c:v>
                </c:pt>
                <c:pt idx="2">
                  <c:v>917</c:v>
                </c:pt>
                <c:pt idx="3">
                  <c:v>910</c:v>
                </c:pt>
              </c:numCache>
            </c:numRef>
          </c:val>
          <c:extLst>
            <c:ext xmlns:c16="http://schemas.microsoft.com/office/drawing/2014/chart" uri="{C3380CC4-5D6E-409C-BE32-E72D297353CC}">
              <c16:uniqueId val="{00000002-A5F0-4806-8E50-7BF78D339695}"/>
            </c:ext>
          </c:extLst>
        </c:ser>
        <c:dLbls>
          <c:showLegendKey val="0"/>
          <c:showVal val="0"/>
          <c:showCatName val="0"/>
          <c:showSerName val="0"/>
          <c:showPercent val="0"/>
          <c:showBubbleSize val="0"/>
        </c:dLbls>
        <c:gapWidth val="150"/>
        <c:shape val="box"/>
        <c:axId val="1853376143"/>
        <c:axId val="1577802207"/>
        <c:axId val="0"/>
      </c:bar3DChart>
      <c:catAx>
        <c:axId val="1853376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77802207"/>
        <c:crosses val="autoZero"/>
        <c:auto val="1"/>
        <c:lblAlgn val="ctr"/>
        <c:lblOffset val="100"/>
        <c:noMultiLvlLbl val="0"/>
      </c:catAx>
      <c:valAx>
        <c:axId val="1577802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337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[05_Ecommerce_Case_Study.xlsx]Pivot Tables!PivotTable2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Tables'!$H$2</c:f>
              <c:strCache>
                <c:ptCount val="1"/>
                <c:pt idx="0">
                  <c:v>Revenue </c:v>
                </c:pt>
              </c:strCache>
            </c:strRef>
          </c:tx>
          <c:spPr>
            <a:solidFill>
              <a:schemeClr val="accent1"/>
            </a:solidFill>
            <a:ln>
              <a:noFill/>
            </a:ln>
            <a:effectLst/>
          </c:spPr>
          <c:invertIfNegative val="0"/>
          <c:cat>
            <c:strRef>
              <c:f>'Pivot Tables'!$G$3:$G$15</c:f>
              <c:strCache>
                <c:ptCount val="12"/>
                <c:pt idx="0">
                  <c:v>Backpack</c:v>
                </c:pt>
                <c:pt idx="1">
                  <c:v>Bookshelf</c:v>
                </c:pt>
                <c:pt idx="2">
                  <c:v>Desk</c:v>
                </c:pt>
                <c:pt idx="3">
                  <c:v>Headphones</c:v>
                </c:pt>
                <c:pt idx="4">
                  <c:v>Keyboard</c:v>
                </c:pt>
                <c:pt idx="5">
                  <c:v>Laptop</c:v>
                </c:pt>
                <c:pt idx="6">
                  <c:v>Monitor</c:v>
                </c:pt>
                <c:pt idx="7">
                  <c:v>Notebook</c:v>
                </c:pt>
                <c:pt idx="8">
                  <c:v>Office Chair</c:v>
                </c:pt>
                <c:pt idx="9">
                  <c:v>Pen Set</c:v>
                </c:pt>
                <c:pt idx="10">
                  <c:v>Printer</c:v>
                </c:pt>
                <c:pt idx="11">
                  <c:v>Smartphone</c:v>
                </c:pt>
              </c:strCache>
            </c:strRef>
          </c:cat>
          <c:val>
            <c:numRef>
              <c:f>'Pivot Tables'!$H$3:$H$15</c:f>
              <c:numCache>
                <c:formatCode>#,##0.00</c:formatCode>
                <c:ptCount val="12"/>
                <c:pt idx="0">
                  <c:v>12490.009999999998</c:v>
                </c:pt>
                <c:pt idx="1">
                  <c:v>38807.75</c:v>
                </c:pt>
                <c:pt idx="2">
                  <c:v>71937.649999999994</c:v>
                </c:pt>
                <c:pt idx="3">
                  <c:v>18151.259999999998</c:v>
                </c:pt>
                <c:pt idx="4">
                  <c:v>7340.9700000000012</c:v>
                </c:pt>
                <c:pt idx="5">
                  <c:v>120427.19000000005</c:v>
                </c:pt>
                <c:pt idx="6">
                  <c:v>45135.210000000014</c:v>
                </c:pt>
                <c:pt idx="7">
                  <c:v>1888.2800000000002</c:v>
                </c:pt>
                <c:pt idx="8">
                  <c:v>48177.189999999995</c:v>
                </c:pt>
                <c:pt idx="9">
                  <c:v>3835.1200000000008</c:v>
                </c:pt>
                <c:pt idx="10">
                  <c:v>42026.919999999991</c:v>
                </c:pt>
                <c:pt idx="11">
                  <c:v>139930.07999999996</c:v>
                </c:pt>
              </c:numCache>
            </c:numRef>
          </c:val>
          <c:extLst>
            <c:ext xmlns:c16="http://schemas.microsoft.com/office/drawing/2014/chart" uri="{C3380CC4-5D6E-409C-BE32-E72D297353CC}">
              <c16:uniqueId val="{00000000-8BA1-4C83-A923-01407E416D44}"/>
            </c:ext>
          </c:extLst>
        </c:ser>
        <c:ser>
          <c:idx val="1"/>
          <c:order val="1"/>
          <c:tx>
            <c:strRef>
              <c:f>'Pivot Tables'!$I$2</c:f>
              <c:strCache>
                <c:ptCount val="1"/>
                <c:pt idx="0">
                  <c:v>Profit </c:v>
                </c:pt>
              </c:strCache>
            </c:strRef>
          </c:tx>
          <c:spPr>
            <a:solidFill>
              <a:schemeClr val="accent2"/>
            </a:solidFill>
            <a:ln>
              <a:noFill/>
            </a:ln>
            <a:effectLst/>
          </c:spPr>
          <c:invertIfNegative val="0"/>
          <c:cat>
            <c:strRef>
              <c:f>'Pivot Tables'!$G$3:$G$15</c:f>
              <c:strCache>
                <c:ptCount val="12"/>
                <c:pt idx="0">
                  <c:v>Backpack</c:v>
                </c:pt>
                <c:pt idx="1">
                  <c:v>Bookshelf</c:v>
                </c:pt>
                <c:pt idx="2">
                  <c:v>Desk</c:v>
                </c:pt>
                <c:pt idx="3">
                  <c:v>Headphones</c:v>
                </c:pt>
                <c:pt idx="4">
                  <c:v>Keyboard</c:v>
                </c:pt>
                <c:pt idx="5">
                  <c:v>Laptop</c:v>
                </c:pt>
                <c:pt idx="6">
                  <c:v>Monitor</c:v>
                </c:pt>
                <c:pt idx="7">
                  <c:v>Notebook</c:v>
                </c:pt>
                <c:pt idx="8">
                  <c:v>Office Chair</c:v>
                </c:pt>
                <c:pt idx="9">
                  <c:v>Pen Set</c:v>
                </c:pt>
                <c:pt idx="10">
                  <c:v>Printer</c:v>
                </c:pt>
                <c:pt idx="11">
                  <c:v>Smartphone</c:v>
                </c:pt>
              </c:strCache>
            </c:strRef>
          </c:cat>
          <c:val>
            <c:numRef>
              <c:f>'Pivot Tables'!$I$3:$I$15</c:f>
              <c:numCache>
                <c:formatCode>#,##0.00</c:formatCode>
                <c:ptCount val="12"/>
                <c:pt idx="0">
                  <c:v>3770.3199999999997</c:v>
                </c:pt>
                <c:pt idx="1">
                  <c:v>12063.429999999998</c:v>
                </c:pt>
                <c:pt idx="2">
                  <c:v>23590.099999999991</c:v>
                </c:pt>
                <c:pt idx="3">
                  <c:v>5626.65</c:v>
                </c:pt>
                <c:pt idx="4">
                  <c:v>2072.4800000000005</c:v>
                </c:pt>
                <c:pt idx="5">
                  <c:v>37480.649999999994</c:v>
                </c:pt>
                <c:pt idx="6">
                  <c:v>13015.609999999997</c:v>
                </c:pt>
                <c:pt idx="7">
                  <c:v>626.45000000000005</c:v>
                </c:pt>
                <c:pt idx="8">
                  <c:v>14304.709999999997</c:v>
                </c:pt>
                <c:pt idx="9">
                  <c:v>1179.0200000000002</c:v>
                </c:pt>
                <c:pt idx="10">
                  <c:v>13705.77</c:v>
                </c:pt>
                <c:pt idx="11">
                  <c:v>43246.68</c:v>
                </c:pt>
              </c:numCache>
            </c:numRef>
          </c:val>
          <c:extLst>
            <c:ext xmlns:c16="http://schemas.microsoft.com/office/drawing/2014/chart" uri="{C3380CC4-5D6E-409C-BE32-E72D297353CC}">
              <c16:uniqueId val="{00000001-8BA1-4C83-A923-01407E416D44}"/>
            </c:ext>
          </c:extLst>
        </c:ser>
        <c:ser>
          <c:idx val="2"/>
          <c:order val="2"/>
          <c:tx>
            <c:strRef>
              <c:f>'Pivot Tables'!$J$2</c:f>
              <c:strCache>
                <c:ptCount val="1"/>
                <c:pt idx="0">
                  <c:v>Quantity </c:v>
                </c:pt>
              </c:strCache>
            </c:strRef>
          </c:tx>
          <c:spPr>
            <a:solidFill>
              <a:schemeClr val="accent3"/>
            </a:solidFill>
            <a:ln>
              <a:noFill/>
            </a:ln>
            <a:effectLst/>
          </c:spPr>
          <c:invertIfNegative val="0"/>
          <c:cat>
            <c:strRef>
              <c:f>'Pivot Tables'!$G$3:$G$15</c:f>
              <c:strCache>
                <c:ptCount val="12"/>
                <c:pt idx="0">
                  <c:v>Backpack</c:v>
                </c:pt>
                <c:pt idx="1">
                  <c:v>Bookshelf</c:v>
                </c:pt>
                <c:pt idx="2">
                  <c:v>Desk</c:v>
                </c:pt>
                <c:pt idx="3">
                  <c:v>Headphones</c:v>
                </c:pt>
                <c:pt idx="4">
                  <c:v>Keyboard</c:v>
                </c:pt>
                <c:pt idx="5">
                  <c:v>Laptop</c:v>
                </c:pt>
                <c:pt idx="6">
                  <c:v>Monitor</c:v>
                </c:pt>
                <c:pt idx="7">
                  <c:v>Notebook</c:v>
                </c:pt>
                <c:pt idx="8">
                  <c:v>Office Chair</c:v>
                </c:pt>
                <c:pt idx="9">
                  <c:v>Pen Set</c:v>
                </c:pt>
                <c:pt idx="10">
                  <c:v>Printer</c:v>
                </c:pt>
                <c:pt idx="11">
                  <c:v>Smartphone</c:v>
                </c:pt>
              </c:strCache>
            </c:strRef>
          </c:cat>
          <c:val>
            <c:numRef>
              <c:f>'Pivot Tables'!$J$3:$J$15</c:f>
              <c:numCache>
                <c:formatCode>General</c:formatCode>
                <c:ptCount val="12"/>
                <c:pt idx="0">
                  <c:v>301</c:v>
                </c:pt>
                <c:pt idx="1">
                  <c:v>311</c:v>
                </c:pt>
                <c:pt idx="2">
                  <c:v>312</c:v>
                </c:pt>
                <c:pt idx="3">
                  <c:v>257</c:v>
                </c:pt>
                <c:pt idx="4">
                  <c:v>223</c:v>
                </c:pt>
                <c:pt idx="5">
                  <c:v>167</c:v>
                </c:pt>
                <c:pt idx="6">
                  <c:v>233</c:v>
                </c:pt>
                <c:pt idx="7">
                  <c:v>262</c:v>
                </c:pt>
                <c:pt idx="8">
                  <c:v>295</c:v>
                </c:pt>
                <c:pt idx="9">
                  <c:v>357</c:v>
                </c:pt>
                <c:pt idx="10">
                  <c:v>289</c:v>
                </c:pt>
                <c:pt idx="11">
                  <c:v>292</c:v>
                </c:pt>
              </c:numCache>
            </c:numRef>
          </c:val>
          <c:extLst>
            <c:ext xmlns:c16="http://schemas.microsoft.com/office/drawing/2014/chart" uri="{C3380CC4-5D6E-409C-BE32-E72D297353CC}">
              <c16:uniqueId val="{00000002-8BA1-4C83-A923-01407E416D44}"/>
            </c:ext>
          </c:extLst>
        </c:ser>
        <c:dLbls>
          <c:showLegendKey val="0"/>
          <c:showVal val="0"/>
          <c:showCatName val="0"/>
          <c:showSerName val="0"/>
          <c:showPercent val="0"/>
          <c:showBubbleSize val="0"/>
        </c:dLbls>
        <c:gapWidth val="182"/>
        <c:axId val="1960850271"/>
        <c:axId val="1494979551"/>
      </c:barChart>
      <c:catAx>
        <c:axId val="196085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4979551"/>
        <c:crosses val="autoZero"/>
        <c:auto val="1"/>
        <c:lblAlgn val="ctr"/>
        <c:lblOffset val="100"/>
        <c:noMultiLvlLbl val="0"/>
      </c:catAx>
      <c:valAx>
        <c:axId val="149497955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6085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374650</xdr:colOff>
      <xdr:row>1</xdr:row>
      <xdr:rowOff>165100</xdr:rowOff>
    </xdr:from>
    <xdr:to>
      <xdr:col>2</xdr:col>
      <xdr:colOff>438150</xdr:colOff>
      <xdr:row>4</xdr:row>
      <xdr:rowOff>88900</xdr:rowOff>
    </xdr:to>
    <xdr:sp macro="" textlink="'Pivot Tables'!N3">
      <xdr:nvSpPr>
        <xdr:cNvPr id="2" name="Rectangle 1">
          <a:extLst>
            <a:ext uri="{FF2B5EF4-FFF2-40B4-BE49-F238E27FC236}">
              <a16:creationId xmlns:a16="http://schemas.microsoft.com/office/drawing/2014/main" id="{41C721C0-EE03-B77D-5643-37FBBB11376D}"/>
            </a:ext>
          </a:extLst>
        </xdr:cNvPr>
        <xdr:cNvSpPr/>
      </xdr:nvSpPr>
      <xdr:spPr>
        <a:xfrm>
          <a:off x="374650" y="387350"/>
          <a:ext cx="1282700" cy="476250"/>
        </a:xfrm>
        <a:prstGeom prst="rect">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i="0" u="none" strike="noStrike">
              <a:solidFill>
                <a:schemeClr val="bg1"/>
              </a:solidFill>
              <a:latin typeface="Calibri"/>
              <a:ea typeface="Calibri"/>
              <a:cs typeface="Calibri"/>
            </a:rPr>
            <a:t>   TOTAL REVENUE</a:t>
          </a:r>
        </a:p>
        <a:p>
          <a:pPr algn="l"/>
          <a:r>
            <a:rPr lang="en-US" sz="1100" b="0" i="0" u="none" strike="noStrike">
              <a:solidFill>
                <a:schemeClr val="bg1"/>
              </a:solidFill>
              <a:latin typeface="Calibri"/>
              <a:ea typeface="Calibri"/>
              <a:cs typeface="Calibri"/>
            </a:rPr>
            <a:t>        </a:t>
          </a:r>
          <a:fld id="{AF4754A1-4F3B-42B1-BAC2-00597EC21C55}" type="TxLink">
            <a:rPr lang="en-US" sz="1100" b="0" i="0" u="none" strike="noStrike">
              <a:solidFill>
                <a:schemeClr val="bg1"/>
              </a:solidFill>
              <a:latin typeface="Calibri"/>
              <a:ea typeface="Calibri"/>
              <a:cs typeface="Calibri"/>
            </a:rPr>
            <a:t>550147.63</a:t>
          </a:fld>
          <a:endParaRPr lang="en-US" sz="1100">
            <a:solidFill>
              <a:schemeClr val="bg1"/>
            </a:solidFill>
          </a:endParaRPr>
        </a:p>
      </xdr:txBody>
    </xdr:sp>
    <xdr:clientData/>
  </xdr:twoCellAnchor>
  <xdr:twoCellAnchor>
    <xdr:from>
      <xdr:col>4</xdr:col>
      <xdr:colOff>323850</xdr:colOff>
      <xdr:row>1</xdr:row>
      <xdr:rowOff>171450</xdr:rowOff>
    </xdr:from>
    <xdr:to>
      <xdr:col>6</xdr:col>
      <xdr:colOff>387350</xdr:colOff>
      <xdr:row>4</xdr:row>
      <xdr:rowOff>95250</xdr:rowOff>
    </xdr:to>
    <xdr:sp macro="" textlink="'Pivot Tables'!N5">
      <xdr:nvSpPr>
        <xdr:cNvPr id="3" name="Rectangle 2">
          <a:extLst>
            <a:ext uri="{FF2B5EF4-FFF2-40B4-BE49-F238E27FC236}">
              <a16:creationId xmlns:a16="http://schemas.microsoft.com/office/drawing/2014/main" id="{50F937D8-F46B-CC62-FF12-DE60213E267C}"/>
            </a:ext>
          </a:extLst>
        </xdr:cNvPr>
        <xdr:cNvSpPr/>
      </xdr:nvSpPr>
      <xdr:spPr>
        <a:xfrm>
          <a:off x="2762250" y="393700"/>
          <a:ext cx="1282700" cy="476250"/>
        </a:xfrm>
        <a:prstGeom prst="rect">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US" sz="1100" b="0" i="0" u="none" strike="noStrike">
              <a:solidFill>
                <a:schemeClr val="bg1"/>
              </a:solidFill>
              <a:latin typeface="Calibri"/>
              <a:ea typeface="Calibri"/>
              <a:cs typeface="Calibri"/>
            </a:rPr>
            <a:t>      TOTAL PROFIT</a:t>
          </a:r>
        </a:p>
        <a:p>
          <a:pPr marL="0" indent="0" algn="l"/>
          <a:r>
            <a:rPr lang="en-US" sz="1100" b="0" i="0" u="none" strike="noStrike">
              <a:solidFill>
                <a:schemeClr val="bg1"/>
              </a:solidFill>
              <a:latin typeface="Calibri"/>
              <a:ea typeface="Calibri"/>
              <a:cs typeface="Calibri"/>
            </a:rPr>
            <a:t>         </a:t>
          </a:r>
          <a:fld id="{4855CB46-8AFE-45E2-AB0C-608323EC4FEC}" type="TxLink">
            <a:rPr lang="en-US" sz="1100" b="0" i="0" u="none" strike="noStrike">
              <a:solidFill>
                <a:schemeClr val="bg1"/>
              </a:solidFill>
              <a:latin typeface="Calibri"/>
              <a:ea typeface="Calibri"/>
              <a:cs typeface="Calibri"/>
            </a:rPr>
            <a:pPr marL="0" indent="0" algn="l"/>
            <a:t>170681.87</a:t>
          </a:fld>
          <a:endParaRPr lang="en-IN" sz="1100" b="0" i="0" u="none" strike="noStrike">
            <a:solidFill>
              <a:schemeClr val="bg1"/>
            </a:solidFill>
            <a:latin typeface="Calibri"/>
            <a:ea typeface="Calibri"/>
            <a:cs typeface="Calibri"/>
          </a:endParaRPr>
        </a:p>
      </xdr:txBody>
    </xdr:sp>
    <xdr:clientData/>
  </xdr:twoCellAnchor>
  <xdr:twoCellAnchor>
    <xdr:from>
      <xdr:col>8</xdr:col>
      <xdr:colOff>438150</xdr:colOff>
      <xdr:row>1</xdr:row>
      <xdr:rowOff>152400</xdr:rowOff>
    </xdr:from>
    <xdr:to>
      <xdr:col>8</xdr:col>
      <xdr:colOff>1720850</xdr:colOff>
      <xdr:row>4</xdr:row>
      <xdr:rowOff>76200</xdr:rowOff>
    </xdr:to>
    <xdr:sp macro="" textlink="'Pivot Tables'!N7">
      <xdr:nvSpPr>
        <xdr:cNvPr id="4" name="Rectangle 3">
          <a:extLst>
            <a:ext uri="{FF2B5EF4-FFF2-40B4-BE49-F238E27FC236}">
              <a16:creationId xmlns:a16="http://schemas.microsoft.com/office/drawing/2014/main" id="{00A8085F-9CA3-43E9-8E15-7B2F416B54B2}"/>
            </a:ext>
          </a:extLst>
        </xdr:cNvPr>
        <xdr:cNvSpPr/>
      </xdr:nvSpPr>
      <xdr:spPr>
        <a:xfrm>
          <a:off x="5314950" y="374650"/>
          <a:ext cx="1282700" cy="476250"/>
        </a:xfrm>
        <a:prstGeom prst="rect">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US" sz="1100" b="0" i="0" u="none" strike="noStrike">
              <a:solidFill>
                <a:schemeClr val="bg1"/>
              </a:solidFill>
              <a:latin typeface="Calibri"/>
              <a:ea typeface="Calibri"/>
              <a:cs typeface="Calibri"/>
            </a:rPr>
            <a:t>   TOTAL ORDERS </a:t>
          </a:r>
        </a:p>
        <a:p>
          <a:pPr marL="0" indent="0" algn="l"/>
          <a:r>
            <a:rPr lang="en-US" sz="1100" b="0" i="0" u="none" strike="noStrike">
              <a:solidFill>
                <a:schemeClr val="bg1"/>
              </a:solidFill>
              <a:latin typeface="Calibri"/>
              <a:ea typeface="Calibri"/>
              <a:cs typeface="Calibri"/>
            </a:rPr>
            <a:t>            </a:t>
          </a:r>
          <a:fld id="{1368E382-D148-4B69-A3D6-210948AA3519}" type="TxLink">
            <a:rPr lang="en-US" sz="1100" b="0" i="0" u="none" strike="noStrike">
              <a:solidFill>
                <a:schemeClr val="bg1"/>
              </a:solidFill>
              <a:latin typeface="Calibri"/>
              <a:ea typeface="Calibri"/>
              <a:cs typeface="Calibri"/>
            </a:rPr>
            <a:pPr marL="0" indent="0" algn="l"/>
            <a:t>600</a:t>
          </a:fld>
          <a:endParaRPr lang="en-IN" sz="1100" b="0" i="0" u="none" strike="noStrike">
            <a:solidFill>
              <a:schemeClr val="bg1"/>
            </a:solidFill>
            <a:latin typeface="Calibri"/>
            <a:ea typeface="Calibri"/>
            <a:cs typeface="Calibri"/>
          </a:endParaRPr>
        </a:p>
      </xdr:txBody>
    </xdr:sp>
    <xdr:clientData/>
  </xdr:twoCellAnchor>
  <xdr:twoCellAnchor>
    <xdr:from>
      <xdr:col>9</xdr:col>
      <xdr:colOff>698500</xdr:colOff>
      <xdr:row>2</xdr:row>
      <xdr:rowOff>12700</xdr:rowOff>
    </xdr:from>
    <xdr:to>
      <xdr:col>9</xdr:col>
      <xdr:colOff>1981200</xdr:colOff>
      <xdr:row>4</xdr:row>
      <xdr:rowOff>120650</xdr:rowOff>
    </xdr:to>
    <xdr:sp macro="" textlink="'Pivot Tables'!N9">
      <xdr:nvSpPr>
        <xdr:cNvPr id="5" name="Rectangle 4">
          <a:extLst>
            <a:ext uri="{FF2B5EF4-FFF2-40B4-BE49-F238E27FC236}">
              <a16:creationId xmlns:a16="http://schemas.microsoft.com/office/drawing/2014/main" id="{19419830-E846-4D9A-80AC-F8509B4444C5}"/>
            </a:ext>
          </a:extLst>
        </xdr:cNvPr>
        <xdr:cNvSpPr/>
      </xdr:nvSpPr>
      <xdr:spPr>
        <a:xfrm>
          <a:off x="7607300" y="419100"/>
          <a:ext cx="1282700" cy="476250"/>
        </a:xfrm>
        <a:prstGeom prst="rect">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r>
            <a:rPr lang="en-IN" sz="1100" b="0" i="0" u="none" strike="noStrike">
              <a:solidFill>
                <a:schemeClr val="bg1"/>
              </a:solidFill>
              <a:latin typeface="Calibri"/>
              <a:ea typeface="Calibri"/>
              <a:cs typeface="Calibri"/>
            </a:rPr>
            <a:t> TOTAL QUANTITY</a:t>
          </a:r>
          <a:endParaRPr lang="en-US" sz="1100" b="0" i="0" u="none" strike="noStrike">
            <a:solidFill>
              <a:schemeClr val="bg1"/>
            </a:solidFill>
            <a:latin typeface="Calibri"/>
            <a:ea typeface="Calibri"/>
            <a:cs typeface="Calibri"/>
          </a:endParaRPr>
        </a:p>
        <a:p>
          <a:pPr marL="0" indent="0" algn="l"/>
          <a:r>
            <a:rPr lang="en-US" sz="1100" b="0" i="0" u="none" strike="noStrike">
              <a:solidFill>
                <a:schemeClr val="bg1"/>
              </a:solidFill>
              <a:latin typeface="Calibri"/>
              <a:ea typeface="Calibri"/>
              <a:cs typeface="Calibri"/>
            </a:rPr>
            <a:t>            </a:t>
          </a:r>
          <a:fld id="{589EFA7D-030E-47DA-A772-D0DEFEC9FECC}" type="TxLink">
            <a:rPr lang="en-US" sz="1100" b="0" i="0" u="none" strike="noStrike">
              <a:solidFill>
                <a:schemeClr val="bg1"/>
              </a:solidFill>
              <a:latin typeface="Calibri"/>
              <a:ea typeface="Calibri"/>
              <a:cs typeface="Calibri"/>
            </a:rPr>
            <a:pPr marL="0" indent="0" algn="l"/>
            <a:t>3299</a:t>
          </a:fld>
          <a:endParaRPr lang="en-IN" sz="1100" b="0" i="0" u="none" strike="noStrike">
            <a:solidFill>
              <a:schemeClr val="bg1"/>
            </a:solidFill>
            <a:latin typeface="Calibri"/>
            <a:ea typeface="Calibri"/>
            <a:cs typeface="Calibri"/>
          </a:endParaRPr>
        </a:p>
      </xdr:txBody>
    </xdr:sp>
    <xdr:clientData/>
  </xdr:twoCellAnchor>
  <xdr:twoCellAnchor>
    <xdr:from>
      <xdr:col>11</xdr:col>
      <xdr:colOff>457200</xdr:colOff>
      <xdr:row>2</xdr:row>
      <xdr:rowOff>6350</xdr:rowOff>
    </xdr:from>
    <xdr:to>
      <xdr:col>13</xdr:col>
      <xdr:colOff>558800</xdr:colOff>
      <xdr:row>4</xdr:row>
      <xdr:rowOff>120650</xdr:rowOff>
    </xdr:to>
    <xdr:sp macro="" textlink="'Pivot Tables'!N11">
      <xdr:nvSpPr>
        <xdr:cNvPr id="6" name="Rectangle 5">
          <a:extLst>
            <a:ext uri="{FF2B5EF4-FFF2-40B4-BE49-F238E27FC236}">
              <a16:creationId xmlns:a16="http://schemas.microsoft.com/office/drawing/2014/main" id="{F120FBDE-31FD-4CC0-8147-D3EEB235619D}"/>
            </a:ext>
          </a:extLst>
        </xdr:cNvPr>
        <xdr:cNvSpPr/>
      </xdr:nvSpPr>
      <xdr:spPr>
        <a:xfrm>
          <a:off x="10007600" y="412750"/>
          <a:ext cx="1320800" cy="482600"/>
        </a:xfrm>
        <a:prstGeom prst="rect">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bg1"/>
              </a:solidFill>
              <a:latin typeface="Calibri"/>
              <a:ea typeface="Calibri"/>
              <a:cs typeface="Calibri"/>
            </a:rPr>
            <a:t>AVG ORDER  VALUE</a:t>
          </a:r>
          <a:endParaRPr lang="en-US" sz="1100" b="0" i="0" u="none" strike="noStrike">
            <a:solidFill>
              <a:schemeClr val="bg1"/>
            </a:solidFill>
            <a:latin typeface="Calibri"/>
            <a:ea typeface="Calibri"/>
            <a:cs typeface="Calibri"/>
          </a:endParaRPr>
        </a:p>
        <a:p>
          <a:pPr marL="0" indent="0" algn="l"/>
          <a:r>
            <a:rPr lang="en-US" sz="1100" b="0" i="0" u="none" strike="noStrike">
              <a:solidFill>
                <a:schemeClr val="bg1"/>
              </a:solidFill>
              <a:latin typeface="Calibri"/>
              <a:ea typeface="Calibri"/>
              <a:cs typeface="Calibri"/>
            </a:rPr>
            <a:t>      </a:t>
          </a:r>
          <a:fld id="{9D53C44F-CDCD-4D7F-93F5-F76065879BE7}" type="TxLink">
            <a:rPr lang="en-US" sz="1100" b="0" i="0" u="none" strike="noStrike">
              <a:solidFill>
                <a:schemeClr val="bg1"/>
              </a:solidFill>
              <a:latin typeface="Calibri"/>
              <a:ea typeface="Calibri"/>
              <a:cs typeface="Calibri"/>
            </a:rPr>
            <a:pPr marL="0" indent="0" algn="l"/>
            <a:t>915.3870715</a:t>
          </a:fld>
          <a:endParaRPr lang="en-US" sz="1100" b="0" i="0" u="none" strike="noStrike">
            <a:solidFill>
              <a:schemeClr val="bg1"/>
            </a:solidFill>
            <a:latin typeface="Calibri"/>
            <a:ea typeface="Calibri"/>
            <a:cs typeface="Calibri"/>
          </a:endParaRPr>
        </a:p>
      </xdr:txBody>
    </xdr:sp>
    <xdr:clientData/>
  </xdr:twoCellAnchor>
  <xdr:twoCellAnchor>
    <xdr:from>
      <xdr:col>9</xdr:col>
      <xdr:colOff>190500</xdr:colOff>
      <xdr:row>5</xdr:row>
      <xdr:rowOff>31750</xdr:rowOff>
    </xdr:from>
    <xdr:to>
      <xdr:col>13</xdr:col>
      <xdr:colOff>558800</xdr:colOff>
      <xdr:row>18</xdr:row>
      <xdr:rowOff>12700</xdr:rowOff>
    </xdr:to>
    <xdr:graphicFrame macro="">
      <xdr:nvGraphicFramePr>
        <xdr:cNvPr id="8" name="Chart 7">
          <a:extLst>
            <a:ext uri="{FF2B5EF4-FFF2-40B4-BE49-F238E27FC236}">
              <a16:creationId xmlns:a16="http://schemas.microsoft.com/office/drawing/2014/main" id="{E433A858-5A89-4B46-AB57-0FD175271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361950</xdr:colOff>
      <xdr:row>5</xdr:row>
      <xdr:rowOff>69850</xdr:rowOff>
    </xdr:from>
    <xdr:to>
      <xdr:col>7</xdr:col>
      <xdr:colOff>495300</xdr:colOff>
      <xdr:row>18</xdr:row>
      <xdr:rowOff>12700</xdr:rowOff>
    </xdr:to>
    <xdr:graphicFrame macro="">
      <xdr:nvGraphicFramePr>
        <xdr:cNvPr id="9" name="Chart 8">
          <a:extLst>
            <a:ext uri="{FF2B5EF4-FFF2-40B4-BE49-F238E27FC236}">
              <a16:creationId xmlns:a16="http://schemas.microsoft.com/office/drawing/2014/main" id="{15BA2860-A282-464C-92CC-383D50A5F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355600</xdr:colOff>
      <xdr:row>19</xdr:row>
      <xdr:rowOff>38100</xdr:rowOff>
    </xdr:from>
    <xdr:to>
      <xdr:col>7</xdr:col>
      <xdr:colOff>495300</xdr:colOff>
      <xdr:row>32</xdr:row>
      <xdr:rowOff>127000</xdr:rowOff>
    </xdr:to>
    <xdr:graphicFrame macro="">
      <xdr:nvGraphicFramePr>
        <xdr:cNvPr id="10" name="Chart 9">
          <a:extLst>
            <a:ext uri="{FF2B5EF4-FFF2-40B4-BE49-F238E27FC236}">
              <a16:creationId xmlns:a16="http://schemas.microsoft.com/office/drawing/2014/main" id="{46F97555-04BA-4B51-B3E9-E036724DB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190500</xdr:colOff>
      <xdr:row>19</xdr:row>
      <xdr:rowOff>31750</xdr:rowOff>
    </xdr:from>
    <xdr:to>
      <xdr:col>13</xdr:col>
      <xdr:colOff>584200</xdr:colOff>
      <xdr:row>32</xdr:row>
      <xdr:rowOff>95250</xdr:rowOff>
    </xdr:to>
    <xdr:graphicFrame macro="">
      <xdr:nvGraphicFramePr>
        <xdr:cNvPr id="11" name="Chart 10">
          <a:extLst>
            <a:ext uri="{FF2B5EF4-FFF2-40B4-BE49-F238E27FC236}">
              <a16:creationId xmlns:a16="http://schemas.microsoft.com/office/drawing/2014/main" id="{63A0BB77-61AD-49B7-B03A-546F5A015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25400</xdr:colOff>
      <xdr:row>5</xdr:row>
      <xdr:rowOff>69851</xdr:rowOff>
    </xdr:from>
    <xdr:to>
      <xdr:col>9</xdr:col>
      <xdr:colOff>44450</xdr:colOff>
      <xdr:row>11</xdr:row>
      <xdr:rowOff>95250</xdr:rowOff>
    </xdr:to>
    <mc:AlternateContent xmlns:mc="http://schemas.openxmlformats.org/markup-compatibility/2006">
      <mc:Choice xmlns:a14="http://schemas.microsoft.com/office/drawing/2010/main" Requires="a14">
        <xdr:graphicFrame macro="">
          <xdr:nvGraphicFramePr>
            <xdr:cNvPr id="12" name="Months (Order_Date) 1">
              <a:extLst>
                <a:ext uri="{FF2B5EF4-FFF2-40B4-BE49-F238E27FC236}">
                  <a16:creationId xmlns:a16="http://schemas.microsoft.com/office/drawing/2014/main" id="{BD4F9EB0-C9B9-4182-9AEE-5AEA8CE6ECC8}"/>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dr:sp macro="" textlink="">
          <xdr:nvSpPr>
            <xdr:cNvPr id="0" name=""/>
            <xdr:cNvSpPr>
              <a:spLocks noTextEdit="1"/>
            </xdr:cNvSpPr>
          </xdr:nvSpPr>
          <xdr:spPr>
            <a:xfrm>
              <a:off x="4902200" y="1073151"/>
              <a:ext cx="2051050" cy="1130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26</xdr:row>
      <xdr:rowOff>31750</xdr:rowOff>
    </xdr:from>
    <xdr:to>
      <xdr:col>9</xdr:col>
      <xdr:colOff>107950</xdr:colOff>
      <xdr:row>32</xdr:row>
      <xdr:rowOff>88899</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FD577E73-9578-4978-BBDB-87645BA010E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895850" y="4902200"/>
              <a:ext cx="2120900" cy="116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19</xdr:row>
      <xdr:rowOff>38101</xdr:rowOff>
    </xdr:from>
    <xdr:to>
      <xdr:col>9</xdr:col>
      <xdr:colOff>76200</xdr:colOff>
      <xdr:row>25</xdr:row>
      <xdr:rowOff>127001</xdr:rowOff>
    </xdr:to>
    <mc:AlternateContent xmlns:mc="http://schemas.openxmlformats.org/markup-compatibility/2006">
      <mc:Choice xmlns:a14="http://schemas.microsoft.com/office/drawing/2010/main" Requires="a14">
        <xdr:graphicFrame macro="">
          <xdr:nvGraphicFramePr>
            <xdr:cNvPr id="14" name="Product 1">
              <a:extLst>
                <a:ext uri="{FF2B5EF4-FFF2-40B4-BE49-F238E27FC236}">
                  <a16:creationId xmlns:a16="http://schemas.microsoft.com/office/drawing/2014/main" id="{60192DE6-80A0-41F5-A0D9-984B7EC3DF0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895850" y="3619501"/>
              <a:ext cx="2089150" cy="119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11</xdr:row>
      <xdr:rowOff>165101</xdr:rowOff>
    </xdr:from>
    <xdr:to>
      <xdr:col>9</xdr:col>
      <xdr:colOff>57150</xdr:colOff>
      <xdr:row>18</xdr:row>
      <xdr:rowOff>127001</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54D55758-6CA9-4623-8217-F2453E48E5D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895850" y="2273301"/>
              <a:ext cx="2070100" cy="1250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T Computers" refreshedDate="46269.50007858796" createdVersion="8" refreshedVersion="8" minRefreshableVersion="3" recordCount="600" xr:uid="{74465859-6155-4DAB-8229-5BA3BB35954D}">
  <cacheSource type="worksheet">
    <worksheetSource name="RawSales3"/>
  </cacheSource>
  <cacheFields count="14">
    <cacheField name="Order_ID" numFmtId="0">
      <sharedItems count="6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 v="ORD0501"/>
        <s v="ORD0502"/>
        <s v="ORD0503"/>
        <s v="ORD0504"/>
        <s v="ORD0505"/>
        <s v="ORD0506"/>
        <s v="ORD0507"/>
        <s v="ORD0508"/>
        <s v="ORD0509"/>
        <s v="ORD0510"/>
        <s v="ORD0511"/>
        <s v="ORD0512"/>
        <s v="ORD0513"/>
        <s v="ORD0514"/>
        <s v="ORD0515"/>
        <s v="ORD0516"/>
        <s v="ORD0517"/>
        <s v="ORD0518"/>
        <s v="ORD0519"/>
        <s v="ORD0520"/>
        <s v="ORD0521"/>
        <s v="ORD0522"/>
        <s v="ORD0523"/>
        <s v="ORD0524"/>
        <s v="ORD0525"/>
        <s v="ORD0526"/>
        <s v="ORD0527"/>
        <s v="ORD0528"/>
        <s v="ORD0529"/>
        <s v="ORD0530"/>
        <s v="ORD0531"/>
        <s v="ORD0532"/>
        <s v="ORD0533"/>
        <s v="ORD0534"/>
        <s v="ORD0535"/>
        <s v="ORD0536"/>
        <s v="ORD0537"/>
        <s v="ORD0538"/>
        <s v="ORD0539"/>
        <s v="ORD0540"/>
        <s v="ORD0541"/>
        <s v="ORD0542"/>
        <s v="ORD0543"/>
        <s v="ORD0544"/>
        <s v="ORD0545"/>
        <s v="ORD0546"/>
        <s v="ORD0547"/>
        <s v="ORD0548"/>
        <s v="ORD0549"/>
        <s v="ORD0550"/>
        <s v="ORD0551"/>
        <s v="ORD0552"/>
        <s v="ORD0553"/>
        <s v="ORD0554"/>
        <s v="ORD0555"/>
        <s v="ORD0556"/>
        <s v="ORD0557"/>
        <s v="ORD0558"/>
        <s v="ORD0559"/>
        <s v="ORD0560"/>
        <s v="ORD0561"/>
        <s v="ORD0562"/>
        <s v="ORD0563"/>
        <s v="ORD0564"/>
        <s v="ORD0565"/>
        <s v="ORD0566"/>
        <s v="ORD0567"/>
        <s v="ORD0568"/>
        <s v="ORD0569"/>
        <s v="ORD0570"/>
        <s v="ORD0571"/>
        <s v="ORD0572"/>
        <s v="ORD0573"/>
        <s v="ORD0574"/>
        <s v="ORD0575"/>
        <s v="ORD0576"/>
        <s v="ORD0577"/>
        <s v="ORD0578"/>
        <s v="ORD0579"/>
        <s v="ORD0580"/>
        <s v="ORD0581"/>
        <s v="ORD0582"/>
        <s v="ORD0583"/>
        <s v="ORD0584"/>
        <s v="ORD0585"/>
        <s v="ORD0586"/>
        <s v="ORD0587"/>
        <s v="ORD0588"/>
        <s v="ORD0589"/>
        <s v="ORD0590"/>
        <s v="ORD0591"/>
        <s v="ORD0592"/>
        <s v="ORD0593"/>
        <s v="ORD0594"/>
        <s v="ORD0595"/>
        <s v="ORD0596"/>
        <s v="ORD0597"/>
        <s v="ORD0598"/>
        <s v="ORD0599"/>
        <s v="ORD0600"/>
      </sharedItems>
    </cacheField>
    <cacheField name="Order_Date" numFmtId="14">
      <sharedItems containsSemiMixedTypes="0" containsNonDate="0" containsDate="1" containsString="0" minDate="2025-01-01T00:00:00" maxDate="2026-01-01T00:00:00" count="297">
        <d v="2025-11-24T00:00:00"/>
        <d v="2025-03-13T00:00:00"/>
        <d v="2025-08-05T00:00:00"/>
        <d v="2025-09-16T00:00:00"/>
        <d v="2025-12-26T00:00:00"/>
        <d v="2025-01-04T00:00:00"/>
        <d v="2025-03-21T00:00:00"/>
        <d v="2025-02-19T00:00:00"/>
        <d v="2025-08-24T00:00:00"/>
        <d v="2025-11-18T00:00:00"/>
        <d v="2025-01-24T00:00:00"/>
        <d v="2025-07-14T00:00:00"/>
        <d v="2025-07-01T00:00:00"/>
        <d v="2025-11-28T00:00:00"/>
        <d v="2025-05-06T00:00:00"/>
        <d v="2025-12-19T00:00:00"/>
        <d v="2025-01-17T00:00:00"/>
        <d v="2025-10-18T00:00:00"/>
        <d v="2025-08-23T00:00:00"/>
        <d v="2025-10-15T00:00:00"/>
        <d v="2025-07-24T00:00:00"/>
        <d v="2025-02-16T00:00:00"/>
        <d v="2025-12-15T00:00:00"/>
        <d v="2025-11-02T00:00:00"/>
        <d v="2025-06-24T00:00:00"/>
        <d v="2025-01-02T00:00:00"/>
        <d v="2025-11-17T00:00:00"/>
        <d v="2025-03-20T00:00:00"/>
        <d v="2025-11-03T00:00:00"/>
        <d v="2025-06-07T00:00:00"/>
        <d v="2025-02-13T00:00:00"/>
        <d v="2025-12-04T00:00:00"/>
        <d v="2025-11-07T00:00:00"/>
        <d v="2025-04-13T00:00:00"/>
        <d v="2025-08-20T00:00:00"/>
        <d v="2025-01-11T00:00:00"/>
        <d v="2025-12-29T00:00:00"/>
        <d v="2025-02-06T00:00:00"/>
        <d v="2025-03-09T00:00:00"/>
        <d v="2025-02-18T00:00:00"/>
        <d v="2025-07-30T00:00:00"/>
        <d v="2025-11-27T00:00:00"/>
        <d v="2025-02-25T00:00:00"/>
        <d v="2025-02-08T00:00:00"/>
        <d v="2025-10-04T00:00:00"/>
        <d v="2025-09-06T00:00:00"/>
        <d v="2025-01-30T00:00:00"/>
        <d v="2025-10-27T00:00:00"/>
        <d v="2025-09-18T00:00:00"/>
        <d v="2025-12-12T00:00:00"/>
        <d v="2025-10-24T00:00:00"/>
        <d v="2025-10-26T00:00:00"/>
        <d v="2025-06-10T00:00:00"/>
        <d v="2025-05-16T00:00:00"/>
        <d v="2025-05-26T00:00:00"/>
        <d v="2025-11-10T00:00:00"/>
        <d v="2025-02-23T00:00:00"/>
        <d v="2025-10-11T00:00:00"/>
        <d v="2025-06-25T00:00:00"/>
        <d v="2025-05-09T00:00:00"/>
        <d v="2025-08-15T00:00:00"/>
        <d v="2025-12-20T00:00:00"/>
        <d v="2025-10-10T00:00:00"/>
        <d v="2025-07-06T00:00:00"/>
        <d v="2025-12-08T00:00:00"/>
        <d v="2025-04-02T00:00:00"/>
        <d v="2025-01-13T00:00:00"/>
        <d v="2025-05-23T00:00:00"/>
        <d v="2025-10-02T00:00:00"/>
        <d v="2025-10-25T00:00:00"/>
        <d v="2025-06-26T00:00:00"/>
        <d v="2025-07-17T00:00:00"/>
        <d v="2025-01-01T00:00:00"/>
        <d v="2025-06-19T00:00:00"/>
        <d v="2025-09-17T00:00:00"/>
        <d v="2025-12-23T00:00:00"/>
        <d v="2025-12-07T00:00:00"/>
        <d v="2025-06-04T00:00:00"/>
        <d v="2025-04-18T00:00:00"/>
        <d v="2025-08-27T00:00:00"/>
        <d v="2025-03-28T00:00:00"/>
        <d v="2025-11-14T00:00:00"/>
        <d v="2025-04-26T00:00:00"/>
        <d v="2025-09-01T00:00:00"/>
        <d v="2025-04-10T00:00:00"/>
        <d v="2025-12-02T00:00:00"/>
        <d v="2025-08-22T00:00:00"/>
        <d v="2025-06-12T00:00:00"/>
        <d v="2025-08-17T00:00:00"/>
        <d v="2025-05-07T00:00:00"/>
        <d v="2025-05-21T00:00:00"/>
        <d v="2025-06-21T00:00:00"/>
        <d v="2025-04-29T00:00:00"/>
        <d v="2025-02-02T00:00:00"/>
        <d v="2025-08-01T00:00:00"/>
        <d v="2025-06-30T00:00:00"/>
        <d v="2025-10-07T00:00:00"/>
        <d v="2025-07-27T00:00:00"/>
        <d v="2025-01-14T00:00:00"/>
        <d v="2025-02-12T00:00:00"/>
        <d v="2025-05-14T00:00:00"/>
        <d v="2025-06-22T00:00:00"/>
        <d v="2025-08-29T00:00:00"/>
        <d v="2025-04-25T00:00:00"/>
        <d v="2025-08-31T00:00:00"/>
        <d v="2025-05-12T00:00:00"/>
        <d v="2025-02-28T00:00:00"/>
        <d v="2025-06-09T00:00:00"/>
        <d v="2025-03-03T00:00:00"/>
        <d v="2025-07-09T00:00:00"/>
        <d v="2025-09-08T00:00:00"/>
        <d v="2025-11-30T00:00:00"/>
        <d v="2025-08-12T00:00:00"/>
        <d v="2025-08-19T00:00:00"/>
        <d v="2025-09-07T00:00:00"/>
        <d v="2025-05-04T00:00:00"/>
        <d v="2025-02-17T00:00:00"/>
        <d v="2025-06-06T00:00:00"/>
        <d v="2025-08-06T00:00:00"/>
        <d v="2025-05-22T00:00:00"/>
        <d v="2025-07-04T00:00:00"/>
        <d v="2025-03-06T00:00:00"/>
        <d v="2025-12-24T00:00:00"/>
        <d v="2025-10-21T00:00:00"/>
        <d v="2025-04-05T00:00:00"/>
        <d v="2025-07-25T00:00:00"/>
        <d v="2025-01-28T00:00:00"/>
        <d v="2025-05-08T00:00:00"/>
        <d v="2025-11-13T00:00:00"/>
        <d v="2025-06-02T00:00:00"/>
        <d v="2025-11-09T00:00:00"/>
        <d v="2025-02-11T00:00:00"/>
        <d v="2025-03-22T00:00:00"/>
        <d v="2025-05-25T00:00:00"/>
        <d v="2025-10-29T00:00:00"/>
        <d v="2025-03-26T00:00:00"/>
        <d v="2025-03-05T00:00:00"/>
        <d v="2025-05-20T00:00:00"/>
        <d v="2025-08-10T00:00:00"/>
        <d v="2025-04-28T00:00:00"/>
        <d v="2025-03-31T00:00:00"/>
        <d v="2025-06-28T00:00:00"/>
        <d v="2025-03-24T00:00:00"/>
        <d v="2025-06-15T00:00:00"/>
        <d v="2025-10-05T00:00:00"/>
        <d v="2025-07-05T00:00:00"/>
        <d v="2025-05-17T00:00:00"/>
        <d v="2025-03-04T00:00:00"/>
        <d v="2025-03-23T00:00:00"/>
        <d v="2025-03-11T00:00:00"/>
        <d v="2025-06-14T00:00:00"/>
        <d v="2025-04-30T00:00:00"/>
        <d v="2025-12-28T00:00:00"/>
        <d v="2025-12-21T00:00:00"/>
        <d v="2025-10-01T00:00:00"/>
        <d v="2025-12-22T00:00:00"/>
        <d v="2025-05-31T00:00:00"/>
        <d v="2025-09-29T00:00:00"/>
        <d v="2025-02-10T00:00:00"/>
        <d v="2025-03-15T00:00:00"/>
        <d v="2025-04-12T00:00:00"/>
        <d v="2025-10-20T00:00:00"/>
        <d v="2025-01-12T00:00:00"/>
        <d v="2025-01-26T00:00:00"/>
        <d v="2025-04-23T00:00:00"/>
        <d v="2025-01-21T00:00:00"/>
        <d v="2025-09-14T00:00:00"/>
        <d v="2025-06-23T00:00:00"/>
        <d v="2025-12-13T00:00:00"/>
        <d v="2025-01-08T00:00:00"/>
        <d v="2025-12-11T00:00:00"/>
        <d v="2025-06-17T00:00:00"/>
        <d v="2025-12-25T00:00:00"/>
        <d v="2025-05-01T00:00:00"/>
        <d v="2025-02-20T00:00:00"/>
        <d v="2025-07-03T00:00:00"/>
        <d v="2025-08-21T00:00:00"/>
        <d v="2025-10-17T00:00:00"/>
        <d v="2025-04-21T00:00:00"/>
        <d v="2025-02-26T00:00:00"/>
        <d v="2025-09-24T00:00:00"/>
        <d v="2025-08-16T00:00:00"/>
        <d v="2025-02-03T00:00:00"/>
        <d v="2025-10-08T00:00:00"/>
        <d v="2025-12-18T00:00:00"/>
        <d v="2025-01-31T00:00:00"/>
        <d v="2025-07-08T00:00:00"/>
        <d v="2025-01-16T00:00:00"/>
        <d v="2025-08-03T00:00:00"/>
        <d v="2025-06-16T00:00:00"/>
        <d v="2025-12-14T00:00:00"/>
        <d v="2025-07-22T00:00:00"/>
        <d v="2025-03-12T00:00:00"/>
        <d v="2025-09-12T00:00:00"/>
        <d v="2025-12-27T00:00:00"/>
        <d v="2025-02-15T00:00:00"/>
        <d v="2025-04-24T00:00:00"/>
        <d v="2025-03-17T00:00:00"/>
        <d v="2025-03-30T00:00:00"/>
        <d v="2025-09-10T00:00:00"/>
        <d v="2025-02-04T00:00:00"/>
        <d v="2025-01-29T00:00:00"/>
        <d v="2025-08-25T00:00:00"/>
        <d v="2025-02-22T00:00:00"/>
        <d v="2025-09-25T00:00:00"/>
        <d v="2025-07-29T00:00:00"/>
        <d v="2025-11-05T00:00:00"/>
        <d v="2025-03-14T00:00:00"/>
        <d v="2025-06-18T00:00:00"/>
        <d v="2025-12-10T00:00:00"/>
        <d v="2025-06-08T00:00:00"/>
        <d v="2025-11-16T00:00:00"/>
        <d v="2025-08-18T00:00:00"/>
        <d v="2025-07-10T00:00:00"/>
        <d v="2025-08-30T00:00:00"/>
        <d v="2025-01-03T00:00:00"/>
        <d v="2025-01-09T00:00:00"/>
        <d v="2025-10-06T00:00:00"/>
        <d v="2025-07-18T00:00:00"/>
        <d v="2025-06-20T00:00:00"/>
        <d v="2025-11-26T00:00:00"/>
        <d v="2025-11-20T00:00:00"/>
        <d v="2025-01-19T00:00:00"/>
        <d v="2025-06-11T00:00:00"/>
        <d v="2025-05-10T00:00:00"/>
        <d v="2025-01-25T00:00:00"/>
        <d v="2025-06-01T00:00:00"/>
        <d v="2025-03-27T00:00:00"/>
        <d v="2025-11-23T00:00:00"/>
        <d v="2025-01-18T00:00:00"/>
        <d v="2025-11-29T00:00:00"/>
        <d v="2025-04-06T00:00:00"/>
        <d v="2025-05-15T00:00:00"/>
        <d v="2025-05-27T00:00:00"/>
        <d v="2025-06-13T00:00:00"/>
        <d v="2025-05-29T00:00:00"/>
        <d v="2025-07-23T00:00:00"/>
        <d v="2025-02-07T00:00:00"/>
        <d v="2025-04-04T00:00:00"/>
        <d v="2025-09-23T00:00:00"/>
        <d v="2025-12-30T00:00:00"/>
        <d v="2025-11-25T00:00:00"/>
        <d v="2025-08-26T00:00:00"/>
        <d v="2025-08-28T00:00:00"/>
        <d v="2025-07-21T00:00:00"/>
        <d v="2025-08-09T00:00:00"/>
        <d v="2025-10-09T00:00:00"/>
        <d v="2025-06-03T00:00:00"/>
        <d v="2025-03-29T00:00:00"/>
        <d v="2025-09-27T00:00:00"/>
        <d v="2025-04-09T00:00:00"/>
        <d v="2025-05-28T00:00:00"/>
        <d v="2025-09-03T00:00:00"/>
        <d v="2025-10-28T00:00:00"/>
        <d v="2025-04-01T00:00:00"/>
        <d v="2025-02-24T00:00:00"/>
        <d v="2025-09-26T00:00:00"/>
        <d v="2025-01-06T00:00:00"/>
        <d v="2025-02-01T00:00:00"/>
        <d v="2025-07-12T00:00:00"/>
        <d v="2025-03-07T00:00:00"/>
        <d v="2025-02-27T00:00:00"/>
        <d v="2025-05-02T00:00:00"/>
        <d v="2025-04-08T00:00:00"/>
        <d v="2025-05-05T00:00:00"/>
        <d v="2025-07-31T00:00:00"/>
        <d v="2025-08-02T00:00:00"/>
        <d v="2025-07-11T00:00:00"/>
        <d v="2025-01-07T00:00:00"/>
        <d v="2025-03-18T00:00:00"/>
        <d v="2025-09-28T00:00:00"/>
        <d v="2025-03-25T00:00:00"/>
        <d v="2025-04-27T00:00:00"/>
        <d v="2025-11-21T00:00:00"/>
        <d v="2025-05-19T00:00:00"/>
        <d v="2025-10-14T00:00:00"/>
        <d v="2025-08-04T00:00:00"/>
        <d v="2025-05-30T00:00:00"/>
        <d v="2025-05-24T00:00:00"/>
        <d v="2025-10-31T00:00:00"/>
        <d v="2025-10-13T00:00:00"/>
        <d v="2025-09-05T00:00:00"/>
        <d v="2025-12-03T00:00:00"/>
        <d v="2025-10-23T00:00:00"/>
        <d v="2025-04-11T00:00:00"/>
        <d v="2025-03-10T00:00:00"/>
        <d v="2025-07-07T00:00:00"/>
        <d v="2025-04-16T00:00:00"/>
        <d v="2025-12-31T00:00:00"/>
        <d v="2025-08-08T00:00:00"/>
        <d v="2025-04-22T00:00:00"/>
        <d v="2025-07-16T00:00:00"/>
        <d v="2025-11-08T00:00:00"/>
        <d v="2025-09-13T00:00:00"/>
        <d v="2025-12-16T00:00:00"/>
        <d v="2025-04-15T00:00:00"/>
        <d v="2025-06-27T00:00:00"/>
      </sharedItems>
      <fieldGroup par="13"/>
    </cacheField>
    <cacheField name="Region" numFmtId="0">
      <sharedItems count="4">
        <s v="North"/>
        <s v="West"/>
        <s v="South"/>
        <s v="East"/>
      </sharedItems>
    </cacheField>
    <cacheField name="City" numFmtId="0">
      <sharedItems count="12">
        <s v="Delhi"/>
        <s v="Lucknow"/>
        <s v="Pune"/>
        <s v="Chennai"/>
        <s v="Hyderabad"/>
        <s v="Jaipur"/>
        <s v="Kolkata"/>
        <s v="Bhubaneswar"/>
        <s v="Bengaluru"/>
        <s v="Patna"/>
        <s v="Mumbai"/>
        <s v="Ahmedabad"/>
      </sharedItems>
    </cacheField>
    <cacheField name="Product" numFmtId="0">
      <sharedItems count="12">
        <s v="Laptop"/>
        <s v="Backpack"/>
        <s v="Notebook"/>
        <s v="Monitor"/>
        <s v="Keyboard"/>
        <s v="Desk"/>
        <s v="Bookshelf"/>
        <s v="Pen Set"/>
        <s v="Office Chair"/>
        <s v="Printer"/>
        <s v="Smartphone"/>
        <s v="Headphones"/>
      </sharedItems>
    </cacheField>
    <cacheField name="Category" numFmtId="0">
      <sharedItems count="4">
        <s v="Electronics"/>
        <s v="Accessories"/>
        <s v="Office Supplies"/>
        <s v="Furniture"/>
      </sharedItems>
    </cacheField>
    <cacheField name="Quantity" numFmtId="0">
      <sharedItems containsSemiMixedTypes="0" containsString="0" containsNumber="1" containsInteger="1" minValue="1" maxValue="10"/>
    </cacheField>
    <cacheField name="Unit_Price" numFmtId="4">
      <sharedItems containsSemiMixedTypes="0" containsString="0" containsNumber="1" minValue="6.83" maxValue="976.97"/>
    </cacheField>
    <cacheField name="Discount" numFmtId="165">
      <sharedItems containsSemiMixedTypes="0" containsString="0" containsNumber="1" minValue="0" maxValue="0.35"/>
    </cacheField>
    <cacheField name="Revenue" numFmtId="4">
      <sharedItems containsSemiMixedTypes="0" containsString="0" containsNumber="1" minValue="6.98" maxValue="8397.61"/>
    </cacheField>
    <cacheField name="Cost" numFmtId="4">
      <sharedItems containsSemiMixedTypes="0" containsString="0" containsNumber="1" minValue="3.97" maxValue="6054.15"/>
    </cacheField>
    <cacheField name="Profit" numFmtId="4">
      <sharedItems containsSemiMixedTypes="0" containsString="0" containsNumber="1" minValue="1.83" maxValue="2695.64"/>
    </cacheField>
    <cacheField name="Days (Order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528272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x v="0"/>
    <x v="0"/>
    <x v="0"/>
    <x v="0"/>
    <x v="0"/>
    <n v="5"/>
    <n v="818.01"/>
    <n v="0.02"/>
    <n v="4008.25"/>
    <n v="3233.43"/>
    <n v="774.82"/>
  </r>
  <r>
    <x v="1"/>
    <x v="1"/>
    <x v="0"/>
    <x v="1"/>
    <x v="1"/>
    <x v="1"/>
    <n v="9"/>
    <n v="48.13"/>
    <n v="0"/>
    <n v="433.17"/>
    <n v="308.26"/>
    <n v="124.91"/>
  </r>
  <r>
    <x v="2"/>
    <x v="2"/>
    <x v="0"/>
    <x v="0"/>
    <x v="0"/>
    <x v="0"/>
    <n v="2"/>
    <n v="762.28"/>
    <n v="0.02"/>
    <n v="1494.07"/>
    <n v="884.67"/>
    <n v="609.4"/>
  </r>
  <r>
    <x v="3"/>
    <x v="3"/>
    <x v="0"/>
    <x v="1"/>
    <x v="2"/>
    <x v="2"/>
    <n v="4"/>
    <n v="6.94"/>
    <n v="0.2"/>
    <n v="22.21"/>
    <n v="17.41"/>
    <n v="4.8"/>
  </r>
  <r>
    <x v="4"/>
    <x v="4"/>
    <x v="1"/>
    <x v="2"/>
    <x v="3"/>
    <x v="0"/>
    <n v="8"/>
    <n v="226.67"/>
    <n v="0.15"/>
    <n v="1541.36"/>
    <n v="1142.42"/>
    <n v="398.94"/>
  </r>
  <r>
    <x v="5"/>
    <x v="5"/>
    <x v="2"/>
    <x v="3"/>
    <x v="4"/>
    <x v="1"/>
    <n v="7"/>
    <n v="29.97"/>
    <n v="0.05"/>
    <n v="199.3"/>
    <n v="161.81"/>
    <n v="37.49"/>
  </r>
  <r>
    <x v="6"/>
    <x v="6"/>
    <x v="2"/>
    <x v="3"/>
    <x v="5"/>
    <x v="3"/>
    <n v="2"/>
    <n v="274.93"/>
    <n v="0"/>
    <n v="549.86"/>
    <n v="333.95"/>
    <n v="215.91"/>
  </r>
  <r>
    <x v="7"/>
    <x v="7"/>
    <x v="3"/>
    <x v="4"/>
    <x v="5"/>
    <x v="3"/>
    <n v="10"/>
    <n v="226.14"/>
    <n v="0.05"/>
    <n v="2148.33"/>
    <n v="1287.97"/>
    <n v="860.36"/>
  </r>
  <r>
    <x v="8"/>
    <x v="8"/>
    <x v="0"/>
    <x v="5"/>
    <x v="6"/>
    <x v="3"/>
    <n v="2"/>
    <n v="131.78"/>
    <n v="0.15"/>
    <n v="224.03"/>
    <n v="154.96"/>
    <n v="69.069999999999993"/>
  </r>
  <r>
    <x v="9"/>
    <x v="9"/>
    <x v="3"/>
    <x v="6"/>
    <x v="7"/>
    <x v="2"/>
    <n v="4"/>
    <n v="11.76"/>
    <n v="0.2"/>
    <n v="37.630000000000003"/>
    <n v="23.66"/>
    <n v="13.97"/>
  </r>
  <r>
    <x v="10"/>
    <x v="10"/>
    <x v="2"/>
    <x v="4"/>
    <x v="8"/>
    <x v="3"/>
    <n v="2"/>
    <n v="186.04"/>
    <n v="0.02"/>
    <n v="364.64"/>
    <n v="214.29"/>
    <n v="150.35"/>
  </r>
  <r>
    <x v="11"/>
    <x v="11"/>
    <x v="3"/>
    <x v="7"/>
    <x v="9"/>
    <x v="2"/>
    <n v="6"/>
    <n v="150.02000000000001"/>
    <n v="0.02"/>
    <n v="882.12"/>
    <n v="572.41999999999996"/>
    <n v="309.7"/>
  </r>
  <r>
    <x v="12"/>
    <x v="12"/>
    <x v="2"/>
    <x v="8"/>
    <x v="1"/>
    <x v="1"/>
    <n v="5"/>
    <n v="44.41"/>
    <n v="0.2"/>
    <n v="177.64"/>
    <n v="135.36000000000001"/>
    <n v="42.28"/>
  </r>
  <r>
    <x v="13"/>
    <x v="13"/>
    <x v="0"/>
    <x v="1"/>
    <x v="7"/>
    <x v="2"/>
    <n v="3"/>
    <n v="10.92"/>
    <n v="0.15"/>
    <n v="27.85"/>
    <n v="19.18"/>
    <n v="8.67"/>
  </r>
  <r>
    <x v="14"/>
    <x v="14"/>
    <x v="2"/>
    <x v="8"/>
    <x v="9"/>
    <x v="2"/>
    <n v="7"/>
    <n v="164.44"/>
    <n v="0.05"/>
    <n v="1093.53"/>
    <n v="615.16"/>
    <n v="478.37"/>
  </r>
  <r>
    <x v="15"/>
    <x v="15"/>
    <x v="2"/>
    <x v="4"/>
    <x v="1"/>
    <x v="1"/>
    <n v="6"/>
    <n v="46.45"/>
    <n v="0"/>
    <n v="278.7"/>
    <n v="166.12"/>
    <n v="112.58"/>
  </r>
  <r>
    <x v="16"/>
    <x v="16"/>
    <x v="3"/>
    <x v="6"/>
    <x v="6"/>
    <x v="3"/>
    <n v="5"/>
    <n v="121.73"/>
    <n v="0"/>
    <n v="608.65"/>
    <n v="490.69"/>
    <n v="117.96"/>
  </r>
  <r>
    <x v="17"/>
    <x v="17"/>
    <x v="3"/>
    <x v="9"/>
    <x v="3"/>
    <x v="0"/>
    <n v="8"/>
    <n v="250.73"/>
    <n v="0.1"/>
    <n v="1805.26"/>
    <n v="1386.92"/>
    <n v="418.34"/>
  </r>
  <r>
    <x v="18"/>
    <x v="18"/>
    <x v="2"/>
    <x v="8"/>
    <x v="8"/>
    <x v="3"/>
    <n v="3"/>
    <n v="169.45"/>
    <n v="0.02"/>
    <n v="498.18"/>
    <n v="287.14"/>
    <n v="211.04"/>
  </r>
  <r>
    <x v="19"/>
    <x v="19"/>
    <x v="3"/>
    <x v="9"/>
    <x v="10"/>
    <x v="1"/>
    <n v="10"/>
    <n v="36.93"/>
    <n v="0.1"/>
    <n v="332.37"/>
    <n v="222.3"/>
    <n v="110.07"/>
  </r>
  <r>
    <x v="20"/>
    <x v="20"/>
    <x v="3"/>
    <x v="7"/>
    <x v="3"/>
    <x v="0"/>
    <n v="3"/>
    <n v="195.05"/>
    <n v="0.15"/>
    <n v="497.38"/>
    <n v="340.06"/>
    <n v="157.32"/>
  </r>
  <r>
    <x v="21"/>
    <x v="21"/>
    <x v="0"/>
    <x v="0"/>
    <x v="10"/>
    <x v="0"/>
    <n v="3"/>
    <n v="473.17"/>
    <n v="0.2"/>
    <n v="1135.6099999999999"/>
    <n v="903.4"/>
    <n v="232.21"/>
  </r>
  <r>
    <x v="22"/>
    <x v="22"/>
    <x v="1"/>
    <x v="2"/>
    <x v="7"/>
    <x v="2"/>
    <n v="2"/>
    <n v="11.13"/>
    <n v="0.1"/>
    <n v="20.03"/>
    <n v="14.6"/>
    <n v="5.43"/>
  </r>
  <r>
    <x v="23"/>
    <x v="23"/>
    <x v="1"/>
    <x v="10"/>
    <x v="2"/>
    <x v="2"/>
    <n v="5"/>
    <n v="7.55"/>
    <n v="0.15"/>
    <n v="32.090000000000003"/>
    <n v="22.16"/>
    <n v="9.93"/>
  </r>
  <r>
    <x v="24"/>
    <x v="22"/>
    <x v="0"/>
    <x v="1"/>
    <x v="1"/>
    <x v="1"/>
    <n v="9"/>
    <n v="45.63"/>
    <n v="0.05"/>
    <n v="390.14"/>
    <n v="234.05"/>
    <n v="156.09"/>
  </r>
  <r>
    <x v="25"/>
    <x v="24"/>
    <x v="0"/>
    <x v="5"/>
    <x v="8"/>
    <x v="3"/>
    <n v="7"/>
    <n v="205.36"/>
    <n v="0.02"/>
    <n v="1408.77"/>
    <n v="1069.6600000000001"/>
    <n v="339.11"/>
  </r>
  <r>
    <x v="26"/>
    <x v="25"/>
    <x v="3"/>
    <x v="6"/>
    <x v="2"/>
    <x v="2"/>
    <n v="3"/>
    <n v="9.0500000000000007"/>
    <n v="0.15"/>
    <n v="23.08"/>
    <n v="18.27"/>
    <n v="4.8099999999999996"/>
  </r>
  <r>
    <x v="27"/>
    <x v="26"/>
    <x v="3"/>
    <x v="6"/>
    <x v="1"/>
    <x v="1"/>
    <n v="9"/>
    <n v="46.32"/>
    <n v="0.15"/>
    <n v="354.35"/>
    <n v="283.08999999999997"/>
    <n v="71.260000000000005"/>
  </r>
  <r>
    <x v="28"/>
    <x v="27"/>
    <x v="3"/>
    <x v="6"/>
    <x v="11"/>
    <x v="0"/>
    <n v="9"/>
    <n v="70.12"/>
    <n v="0.15"/>
    <n v="536.41999999999996"/>
    <n v="323.42"/>
    <n v="213"/>
  </r>
  <r>
    <x v="29"/>
    <x v="28"/>
    <x v="3"/>
    <x v="7"/>
    <x v="9"/>
    <x v="2"/>
    <n v="1"/>
    <n v="138.16999999999999"/>
    <n v="0"/>
    <n v="138.16999999999999"/>
    <n v="88.13"/>
    <n v="50.04"/>
  </r>
  <r>
    <x v="30"/>
    <x v="29"/>
    <x v="2"/>
    <x v="4"/>
    <x v="0"/>
    <x v="0"/>
    <n v="4"/>
    <n v="821.61"/>
    <n v="0.15"/>
    <n v="2793.47"/>
    <n v="1741.07"/>
    <n v="1052.4000000000001"/>
  </r>
  <r>
    <x v="31"/>
    <x v="30"/>
    <x v="1"/>
    <x v="10"/>
    <x v="10"/>
    <x v="0"/>
    <n v="9"/>
    <n v="604.24"/>
    <n v="0.02"/>
    <n v="5329.4"/>
    <n v="3444.52"/>
    <n v="1884.88"/>
  </r>
  <r>
    <x v="32"/>
    <x v="31"/>
    <x v="1"/>
    <x v="11"/>
    <x v="2"/>
    <x v="2"/>
    <n v="3"/>
    <n v="7.47"/>
    <n v="0.05"/>
    <n v="21.29"/>
    <n v="14.83"/>
    <n v="6.46"/>
  </r>
  <r>
    <x v="33"/>
    <x v="32"/>
    <x v="1"/>
    <x v="11"/>
    <x v="3"/>
    <x v="0"/>
    <n v="9"/>
    <n v="196.3"/>
    <n v="0.2"/>
    <n v="1413.36"/>
    <n v="1083.47"/>
    <n v="329.89"/>
  </r>
  <r>
    <x v="34"/>
    <x v="33"/>
    <x v="2"/>
    <x v="9"/>
    <x v="6"/>
    <x v="3"/>
    <n v="6"/>
    <n v="122.13"/>
    <n v="0.1"/>
    <n v="659.5"/>
    <n v="538.46"/>
    <n v="121.04"/>
  </r>
  <r>
    <x v="35"/>
    <x v="34"/>
    <x v="0"/>
    <x v="5"/>
    <x v="3"/>
    <x v="0"/>
    <n v="4"/>
    <n v="237.97"/>
    <n v="0"/>
    <n v="951.88"/>
    <n v="574.61"/>
    <n v="377.27"/>
  </r>
  <r>
    <x v="36"/>
    <x v="35"/>
    <x v="2"/>
    <x v="4"/>
    <x v="7"/>
    <x v="2"/>
    <n v="4"/>
    <n v="10.220000000000001"/>
    <n v="0"/>
    <n v="40.880000000000003"/>
    <n v="31.48"/>
    <n v="9.4"/>
  </r>
  <r>
    <x v="37"/>
    <x v="36"/>
    <x v="0"/>
    <x v="5"/>
    <x v="3"/>
    <x v="0"/>
    <n v="2"/>
    <n v="233.65"/>
    <n v="0"/>
    <n v="467.3"/>
    <n v="348.99"/>
    <n v="118.31"/>
  </r>
  <r>
    <x v="38"/>
    <x v="37"/>
    <x v="2"/>
    <x v="8"/>
    <x v="8"/>
    <x v="3"/>
    <n v="8"/>
    <n v="194.65"/>
    <n v="0.02"/>
    <n v="1526.06"/>
    <n v="869.84"/>
    <n v="656.22"/>
  </r>
  <r>
    <x v="39"/>
    <x v="38"/>
    <x v="1"/>
    <x v="10"/>
    <x v="3"/>
    <x v="0"/>
    <n v="8"/>
    <n v="210.66"/>
    <n v="0.1"/>
    <n v="1516.75"/>
    <n v="881.66"/>
    <n v="635.09"/>
  </r>
  <r>
    <x v="40"/>
    <x v="39"/>
    <x v="0"/>
    <x v="5"/>
    <x v="1"/>
    <x v="1"/>
    <n v="7"/>
    <n v="49.9"/>
    <n v="0.05"/>
    <n v="331.83"/>
    <n v="238.35"/>
    <n v="93.48"/>
  </r>
  <r>
    <x v="41"/>
    <x v="40"/>
    <x v="1"/>
    <x v="11"/>
    <x v="4"/>
    <x v="1"/>
    <n v="1"/>
    <n v="33.22"/>
    <n v="0.2"/>
    <n v="26.58"/>
    <n v="15.08"/>
    <n v="11.5"/>
  </r>
  <r>
    <x v="42"/>
    <x v="41"/>
    <x v="0"/>
    <x v="5"/>
    <x v="0"/>
    <x v="0"/>
    <n v="7"/>
    <n v="801.8"/>
    <n v="0.2"/>
    <n v="4490.08"/>
    <n v="2863.77"/>
    <n v="1626.31"/>
  </r>
  <r>
    <x v="43"/>
    <x v="42"/>
    <x v="2"/>
    <x v="3"/>
    <x v="3"/>
    <x v="0"/>
    <n v="4"/>
    <n v="235.15"/>
    <n v="0.15"/>
    <n v="799.51"/>
    <n v="577.36"/>
    <n v="222.15"/>
  </r>
  <r>
    <x v="44"/>
    <x v="1"/>
    <x v="1"/>
    <x v="10"/>
    <x v="11"/>
    <x v="0"/>
    <n v="5"/>
    <n v="89.29"/>
    <n v="0.1"/>
    <n v="401.81"/>
    <n v="272.23"/>
    <n v="129.58000000000001"/>
  </r>
  <r>
    <x v="45"/>
    <x v="43"/>
    <x v="1"/>
    <x v="11"/>
    <x v="2"/>
    <x v="2"/>
    <n v="2"/>
    <n v="7.09"/>
    <n v="0"/>
    <n v="14.18"/>
    <n v="10.53"/>
    <n v="3.65"/>
  </r>
  <r>
    <x v="46"/>
    <x v="44"/>
    <x v="0"/>
    <x v="5"/>
    <x v="10"/>
    <x v="0"/>
    <n v="4"/>
    <n v="593.03"/>
    <n v="0.02"/>
    <n v="2324.6799999999998"/>
    <n v="1630.87"/>
    <n v="693.81"/>
  </r>
  <r>
    <x v="47"/>
    <x v="45"/>
    <x v="1"/>
    <x v="10"/>
    <x v="3"/>
    <x v="0"/>
    <n v="7"/>
    <n v="237.88"/>
    <n v="0"/>
    <n v="1665.16"/>
    <n v="1137.8499999999999"/>
    <n v="527.30999999999995"/>
  </r>
  <r>
    <x v="48"/>
    <x v="11"/>
    <x v="0"/>
    <x v="5"/>
    <x v="6"/>
    <x v="3"/>
    <n v="5"/>
    <n v="140.94999999999999"/>
    <n v="0.1"/>
    <n v="634.27"/>
    <n v="422.07"/>
    <n v="212.2"/>
  </r>
  <r>
    <x v="49"/>
    <x v="2"/>
    <x v="1"/>
    <x v="10"/>
    <x v="11"/>
    <x v="0"/>
    <n v="4"/>
    <n v="68.61"/>
    <n v="0.05"/>
    <n v="260.72000000000003"/>
    <n v="150.99"/>
    <n v="109.73"/>
  </r>
  <r>
    <x v="50"/>
    <x v="46"/>
    <x v="0"/>
    <x v="0"/>
    <x v="4"/>
    <x v="1"/>
    <n v="6"/>
    <n v="30.08"/>
    <n v="0"/>
    <n v="180.48"/>
    <n v="130.28"/>
    <n v="50.2"/>
  </r>
  <r>
    <x v="51"/>
    <x v="47"/>
    <x v="1"/>
    <x v="10"/>
    <x v="2"/>
    <x v="2"/>
    <n v="9"/>
    <n v="7.55"/>
    <n v="0.02"/>
    <n v="66.59"/>
    <n v="45.77"/>
    <n v="20.82"/>
  </r>
  <r>
    <x v="52"/>
    <x v="48"/>
    <x v="0"/>
    <x v="0"/>
    <x v="11"/>
    <x v="0"/>
    <n v="2"/>
    <n v="89.78"/>
    <n v="0.15"/>
    <n v="152.63"/>
    <n v="94.22"/>
    <n v="58.41"/>
  </r>
  <r>
    <x v="53"/>
    <x v="49"/>
    <x v="2"/>
    <x v="4"/>
    <x v="6"/>
    <x v="3"/>
    <n v="2"/>
    <n v="136.24"/>
    <n v="0.15"/>
    <n v="231.61"/>
    <n v="174.63"/>
    <n v="56.98"/>
  </r>
  <r>
    <x v="54"/>
    <x v="50"/>
    <x v="0"/>
    <x v="1"/>
    <x v="7"/>
    <x v="2"/>
    <n v="2"/>
    <n v="11.02"/>
    <n v="0.1"/>
    <n v="19.84"/>
    <n v="11.32"/>
    <n v="8.52"/>
  </r>
  <r>
    <x v="55"/>
    <x v="51"/>
    <x v="3"/>
    <x v="9"/>
    <x v="8"/>
    <x v="3"/>
    <n v="4"/>
    <n v="168.65"/>
    <n v="0.2"/>
    <n v="539.67999999999995"/>
    <n v="320.32"/>
    <n v="219.36"/>
  </r>
  <r>
    <x v="56"/>
    <x v="52"/>
    <x v="2"/>
    <x v="8"/>
    <x v="8"/>
    <x v="3"/>
    <n v="7"/>
    <n v="203.2"/>
    <n v="0.02"/>
    <n v="1393.95"/>
    <n v="1070.82"/>
    <n v="323.13"/>
  </r>
  <r>
    <x v="57"/>
    <x v="41"/>
    <x v="3"/>
    <x v="6"/>
    <x v="9"/>
    <x v="2"/>
    <n v="6"/>
    <n v="166.4"/>
    <n v="0"/>
    <n v="998.4"/>
    <n v="784.04"/>
    <n v="214.36"/>
  </r>
  <r>
    <x v="58"/>
    <x v="18"/>
    <x v="0"/>
    <x v="1"/>
    <x v="10"/>
    <x v="0"/>
    <n v="9"/>
    <n v="600.11"/>
    <n v="0.02"/>
    <n v="5292.97"/>
    <n v="3177.76"/>
    <n v="2115.21"/>
  </r>
  <r>
    <x v="59"/>
    <x v="53"/>
    <x v="2"/>
    <x v="3"/>
    <x v="5"/>
    <x v="3"/>
    <n v="2"/>
    <n v="279.44"/>
    <n v="0.02"/>
    <n v="547.70000000000005"/>
    <n v="380.99"/>
    <n v="166.71"/>
  </r>
  <r>
    <x v="60"/>
    <x v="54"/>
    <x v="2"/>
    <x v="3"/>
    <x v="9"/>
    <x v="2"/>
    <n v="9"/>
    <n v="174.76"/>
    <n v="0.2"/>
    <n v="1258.27"/>
    <n v="996.48"/>
    <n v="261.79000000000002"/>
  </r>
  <r>
    <x v="61"/>
    <x v="55"/>
    <x v="0"/>
    <x v="1"/>
    <x v="1"/>
    <x v="1"/>
    <n v="9"/>
    <n v="42.54"/>
    <n v="0.05"/>
    <n v="363.72"/>
    <n v="210.85"/>
    <n v="152.87"/>
  </r>
  <r>
    <x v="62"/>
    <x v="56"/>
    <x v="2"/>
    <x v="8"/>
    <x v="8"/>
    <x v="3"/>
    <n v="2"/>
    <n v="165.31"/>
    <n v="0"/>
    <n v="330.62"/>
    <n v="219.97"/>
    <n v="110.65"/>
  </r>
  <r>
    <x v="63"/>
    <x v="57"/>
    <x v="2"/>
    <x v="4"/>
    <x v="8"/>
    <x v="3"/>
    <n v="5"/>
    <n v="197.17"/>
    <n v="0.15"/>
    <n v="837.97"/>
    <n v="655.63"/>
    <n v="182.34"/>
  </r>
  <r>
    <x v="64"/>
    <x v="58"/>
    <x v="2"/>
    <x v="3"/>
    <x v="1"/>
    <x v="1"/>
    <n v="5"/>
    <n v="38.340000000000003"/>
    <n v="0.15"/>
    <n v="162.94999999999999"/>
    <n v="112.09"/>
    <n v="50.86"/>
  </r>
  <r>
    <x v="65"/>
    <x v="59"/>
    <x v="0"/>
    <x v="0"/>
    <x v="10"/>
    <x v="0"/>
    <n v="7"/>
    <n v="536.37"/>
    <n v="0.05"/>
    <n v="3566.86"/>
    <n v="2175.67"/>
    <n v="1391.19"/>
  </r>
  <r>
    <x v="66"/>
    <x v="25"/>
    <x v="3"/>
    <x v="9"/>
    <x v="11"/>
    <x v="0"/>
    <n v="5"/>
    <n v="70.88"/>
    <n v="0.02"/>
    <n v="347.31"/>
    <n v="222.68"/>
    <n v="124.63"/>
  </r>
  <r>
    <x v="67"/>
    <x v="60"/>
    <x v="1"/>
    <x v="10"/>
    <x v="2"/>
    <x v="2"/>
    <n v="1"/>
    <n v="9.06"/>
    <n v="0"/>
    <n v="9.06"/>
    <n v="5.77"/>
    <n v="3.29"/>
  </r>
  <r>
    <x v="68"/>
    <x v="61"/>
    <x v="2"/>
    <x v="8"/>
    <x v="2"/>
    <x v="2"/>
    <n v="1"/>
    <n v="8.0500000000000007"/>
    <n v="4.9689440993788914E-2"/>
    <n v="7.65"/>
    <n v="5.66"/>
    <n v="1.99"/>
  </r>
  <r>
    <x v="69"/>
    <x v="62"/>
    <x v="2"/>
    <x v="3"/>
    <x v="6"/>
    <x v="3"/>
    <n v="3"/>
    <n v="134.27000000000001"/>
    <n v="0"/>
    <n v="402.81"/>
    <n v="327.24"/>
    <n v="75.569999999999993"/>
  </r>
  <r>
    <x v="70"/>
    <x v="63"/>
    <x v="0"/>
    <x v="0"/>
    <x v="5"/>
    <x v="3"/>
    <n v="4"/>
    <n v="284.68"/>
    <n v="0.2"/>
    <n v="910.98"/>
    <n v="562.97"/>
    <n v="348.01"/>
  </r>
  <r>
    <x v="71"/>
    <x v="64"/>
    <x v="0"/>
    <x v="1"/>
    <x v="5"/>
    <x v="3"/>
    <n v="9"/>
    <n v="249.79"/>
    <n v="0.1"/>
    <n v="2023.3"/>
    <n v="1277.18"/>
    <n v="746.12"/>
  </r>
  <r>
    <x v="72"/>
    <x v="6"/>
    <x v="2"/>
    <x v="4"/>
    <x v="11"/>
    <x v="0"/>
    <n v="3"/>
    <n v="74.84"/>
    <n v="0.1"/>
    <n v="202.07"/>
    <n v="113.15"/>
    <n v="88.92"/>
  </r>
  <r>
    <x v="73"/>
    <x v="65"/>
    <x v="3"/>
    <x v="6"/>
    <x v="6"/>
    <x v="3"/>
    <n v="4"/>
    <n v="144.6"/>
    <n v="0.05"/>
    <n v="549.48"/>
    <n v="376.79"/>
    <n v="172.69"/>
  </r>
  <r>
    <x v="74"/>
    <x v="4"/>
    <x v="0"/>
    <x v="0"/>
    <x v="6"/>
    <x v="3"/>
    <n v="1"/>
    <n v="121.16"/>
    <n v="0.1"/>
    <n v="109.04"/>
    <n v="68.180000000000007"/>
    <n v="40.86"/>
  </r>
  <r>
    <x v="75"/>
    <x v="33"/>
    <x v="1"/>
    <x v="10"/>
    <x v="5"/>
    <x v="3"/>
    <n v="5"/>
    <n v="280.62"/>
    <n v="0.02"/>
    <n v="1375.04"/>
    <n v="845.21"/>
    <n v="529.83000000000004"/>
  </r>
  <r>
    <x v="76"/>
    <x v="66"/>
    <x v="2"/>
    <x v="4"/>
    <x v="6"/>
    <x v="3"/>
    <n v="6"/>
    <n v="125.09"/>
    <n v="0.05"/>
    <n v="713.01"/>
    <n v="486.38"/>
    <n v="226.63"/>
  </r>
  <r>
    <x v="77"/>
    <x v="67"/>
    <x v="3"/>
    <x v="9"/>
    <x v="1"/>
    <x v="1"/>
    <n v="9"/>
    <n v="51.56"/>
    <n v="0.1"/>
    <n v="417.64"/>
    <n v="257"/>
    <n v="160.63999999999999"/>
  </r>
  <r>
    <x v="78"/>
    <x v="68"/>
    <x v="3"/>
    <x v="6"/>
    <x v="0"/>
    <x v="0"/>
    <n v="2"/>
    <n v="893.89"/>
    <n v="0.05"/>
    <n v="1698.39"/>
    <n v="1283.3699999999999"/>
    <n v="415.02"/>
  </r>
  <r>
    <x v="79"/>
    <x v="69"/>
    <x v="3"/>
    <x v="7"/>
    <x v="0"/>
    <x v="0"/>
    <n v="2"/>
    <n v="783.1"/>
    <n v="0.15"/>
    <n v="1331.27"/>
    <n v="993.95"/>
    <n v="337.32"/>
  </r>
  <r>
    <x v="80"/>
    <x v="70"/>
    <x v="3"/>
    <x v="6"/>
    <x v="6"/>
    <x v="3"/>
    <n v="10"/>
    <n v="134.44999999999999"/>
    <n v="0.15"/>
    <n v="1142.83"/>
    <n v="823.66"/>
    <n v="319.17"/>
  </r>
  <r>
    <x v="81"/>
    <x v="71"/>
    <x v="2"/>
    <x v="3"/>
    <x v="8"/>
    <x v="3"/>
    <n v="1"/>
    <n v="187.21"/>
    <n v="0.2"/>
    <n v="149.77000000000001"/>
    <n v="104.04"/>
    <n v="45.73"/>
  </r>
  <r>
    <x v="82"/>
    <x v="72"/>
    <x v="2"/>
    <x v="8"/>
    <x v="5"/>
    <x v="3"/>
    <n v="7"/>
    <n v="219.27"/>
    <n v="0"/>
    <n v="1534.89"/>
    <n v="1190.3599999999999"/>
    <n v="344.53"/>
  </r>
  <r>
    <x v="83"/>
    <x v="73"/>
    <x v="3"/>
    <x v="7"/>
    <x v="1"/>
    <x v="1"/>
    <n v="2"/>
    <n v="42.581249999999997"/>
    <n v="0.2"/>
    <n v="68.13"/>
    <n v="40.9"/>
    <n v="27.23"/>
  </r>
  <r>
    <x v="84"/>
    <x v="74"/>
    <x v="3"/>
    <x v="7"/>
    <x v="1"/>
    <x v="1"/>
    <n v="7"/>
    <n v="38.799999999999997"/>
    <n v="0.05"/>
    <n v="258.02"/>
    <n v="183.08"/>
    <n v="74.94"/>
  </r>
  <r>
    <x v="85"/>
    <x v="75"/>
    <x v="3"/>
    <x v="7"/>
    <x v="2"/>
    <x v="2"/>
    <n v="3"/>
    <n v="8.43"/>
    <n v="0.02"/>
    <n v="24.78"/>
    <n v="13.74"/>
    <n v="11.04"/>
  </r>
  <r>
    <x v="86"/>
    <x v="76"/>
    <x v="1"/>
    <x v="11"/>
    <x v="1"/>
    <x v="1"/>
    <n v="3"/>
    <n v="45.16"/>
    <n v="0.15"/>
    <n v="115.16"/>
    <n v="70.38"/>
    <n v="44.78"/>
  </r>
  <r>
    <x v="87"/>
    <x v="77"/>
    <x v="1"/>
    <x v="2"/>
    <x v="2"/>
    <x v="2"/>
    <n v="1"/>
    <n v="8.35"/>
    <n v="0.05"/>
    <n v="7.93"/>
    <n v="4.7300000000000004"/>
    <n v="3.2"/>
  </r>
  <r>
    <x v="88"/>
    <x v="78"/>
    <x v="1"/>
    <x v="2"/>
    <x v="7"/>
    <x v="2"/>
    <n v="10"/>
    <n v="12.69"/>
    <n v="0.2"/>
    <n v="101.52"/>
    <n v="66.44"/>
    <n v="35.08"/>
  </r>
  <r>
    <x v="89"/>
    <x v="79"/>
    <x v="1"/>
    <x v="2"/>
    <x v="9"/>
    <x v="2"/>
    <n v="4"/>
    <n v="180.96"/>
    <n v="0.15"/>
    <n v="615.26"/>
    <n v="361.24"/>
    <n v="254.02"/>
  </r>
  <r>
    <x v="90"/>
    <x v="80"/>
    <x v="0"/>
    <x v="1"/>
    <x v="8"/>
    <x v="3"/>
    <n v="9"/>
    <n v="171.42"/>
    <n v="0.2"/>
    <n v="1234.22"/>
    <n v="716.63"/>
    <n v="517.59"/>
  </r>
  <r>
    <x v="91"/>
    <x v="81"/>
    <x v="3"/>
    <x v="7"/>
    <x v="10"/>
    <x v="0"/>
    <n v="4"/>
    <n v="620.07000000000005"/>
    <n v="0.2"/>
    <n v="1984.22"/>
    <n v="1561.35"/>
    <n v="422.87"/>
  </r>
  <r>
    <x v="92"/>
    <x v="82"/>
    <x v="2"/>
    <x v="4"/>
    <x v="11"/>
    <x v="0"/>
    <n v="1"/>
    <n v="74.19"/>
    <n v="0"/>
    <n v="74.19"/>
    <n v="54.02"/>
    <n v="20.170000000000002"/>
  </r>
  <r>
    <x v="93"/>
    <x v="83"/>
    <x v="0"/>
    <x v="1"/>
    <x v="9"/>
    <x v="2"/>
    <n v="7"/>
    <n v="175.23"/>
    <n v="0.2"/>
    <n v="981.29"/>
    <n v="686.81"/>
    <n v="294.48"/>
  </r>
  <r>
    <x v="94"/>
    <x v="84"/>
    <x v="1"/>
    <x v="10"/>
    <x v="9"/>
    <x v="2"/>
    <n v="7"/>
    <n v="161.41999999999999"/>
    <n v="0.02"/>
    <n v="1107.3399999999999"/>
    <n v="681.35"/>
    <n v="425.99"/>
  </r>
  <r>
    <x v="95"/>
    <x v="85"/>
    <x v="0"/>
    <x v="0"/>
    <x v="10"/>
    <x v="0"/>
    <n v="7"/>
    <n v="482.86"/>
    <n v="0.02"/>
    <n v="3312.42"/>
    <n v="2624.26"/>
    <n v="688.16"/>
  </r>
  <r>
    <x v="96"/>
    <x v="75"/>
    <x v="1"/>
    <x v="10"/>
    <x v="0"/>
    <x v="0"/>
    <n v="9"/>
    <n v="952.11"/>
    <n v="0.02"/>
    <n v="8397.61"/>
    <n v="6054.15"/>
    <n v="2343.46"/>
  </r>
  <r>
    <x v="97"/>
    <x v="86"/>
    <x v="2"/>
    <x v="8"/>
    <x v="9"/>
    <x v="2"/>
    <n v="9"/>
    <n v="152.27000000000001"/>
    <n v="0.15"/>
    <n v="1164.8699999999999"/>
    <n v="750.51"/>
    <n v="414.36"/>
  </r>
  <r>
    <x v="98"/>
    <x v="87"/>
    <x v="1"/>
    <x v="11"/>
    <x v="7"/>
    <x v="2"/>
    <n v="9"/>
    <n v="12.81"/>
    <n v="0.1"/>
    <n v="103.76"/>
    <n v="82.2"/>
    <n v="21.56"/>
  </r>
  <r>
    <x v="99"/>
    <x v="88"/>
    <x v="2"/>
    <x v="3"/>
    <x v="4"/>
    <x v="1"/>
    <n v="8"/>
    <n v="39.06"/>
    <n v="0.1"/>
    <n v="281.23"/>
    <n v="213.89"/>
    <n v="67.34"/>
  </r>
  <r>
    <x v="100"/>
    <x v="89"/>
    <x v="3"/>
    <x v="6"/>
    <x v="2"/>
    <x v="2"/>
    <n v="8"/>
    <n v="8.34"/>
    <n v="0.2"/>
    <n v="53.38"/>
    <n v="30.57"/>
    <n v="22.81"/>
  </r>
  <r>
    <x v="101"/>
    <x v="90"/>
    <x v="1"/>
    <x v="10"/>
    <x v="10"/>
    <x v="0"/>
    <n v="5"/>
    <n v="494.17"/>
    <n v="0.02"/>
    <n v="2421.4299999999998"/>
    <n v="1919.25"/>
    <n v="502.18"/>
  </r>
  <r>
    <x v="102"/>
    <x v="91"/>
    <x v="3"/>
    <x v="6"/>
    <x v="2"/>
    <x v="2"/>
    <n v="2"/>
    <n v="8.26"/>
    <n v="0.02"/>
    <n v="16.190000000000001"/>
    <n v="8.94"/>
    <n v="7.25"/>
  </r>
  <r>
    <x v="103"/>
    <x v="92"/>
    <x v="1"/>
    <x v="10"/>
    <x v="4"/>
    <x v="1"/>
    <n v="3"/>
    <n v="30.82"/>
    <n v="0.2"/>
    <n v="73.97"/>
    <n v="53.93"/>
    <n v="20.04"/>
  </r>
  <r>
    <x v="104"/>
    <x v="93"/>
    <x v="1"/>
    <x v="2"/>
    <x v="6"/>
    <x v="3"/>
    <n v="6"/>
    <n v="119.21"/>
    <n v="0.15"/>
    <n v="607.97"/>
    <n v="360.78"/>
    <n v="247.19"/>
  </r>
  <r>
    <x v="105"/>
    <x v="94"/>
    <x v="0"/>
    <x v="1"/>
    <x v="3"/>
    <x v="0"/>
    <n v="7"/>
    <n v="223.22"/>
    <n v="0.1"/>
    <n v="1406.29"/>
    <n v="1036.17"/>
    <n v="370.12"/>
  </r>
  <r>
    <x v="106"/>
    <x v="75"/>
    <x v="0"/>
    <x v="0"/>
    <x v="7"/>
    <x v="2"/>
    <n v="7"/>
    <n v="12.55"/>
    <n v="0.1"/>
    <n v="79.069999999999993"/>
    <n v="48.28"/>
    <n v="30.79"/>
  </r>
  <r>
    <x v="107"/>
    <x v="95"/>
    <x v="3"/>
    <x v="9"/>
    <x v="6"/>
    <x v="3"/>
    <n v="7"/>
    <n v="148.91"/>
    <n v="0.15"/>
    <n v="886.01"/>
    <n v="544.05999999999995"/>
    <n v="341.95"/>
  </r>
  <r>
    <x v="108"/>
    <x v="96"/>
    <x v="2"/>
    <x v="3"/>
    <x v="9"/>
    <x v="2"/>
    <n v="4"/>
    <n v="151.62"/>
    <n v="0.05"/>
    <n v="576.16"/>
    <n v="433.01"/>
    <n v="143.15"/>
  </r>
  <r>
    <x v="109"/>
    <x v="45"/>
    <x v="0"/>
    <x v="1"/>
    <x v="6"/>
    <x v="3"/>
    <n v="6"/>
    <n v="146.28"/>
    <n v="0.2"/>
    <n v="702.14"/>
    <n v="547.16999999999996"/>
    <n v="154.97"/>
  </r>
  <r>
    <x v="110"/>
    <x v="97"/>
    <x v="2"/>
    <x v="8"/>
    <x v="9"/>
    <x v="2"/>
    <n v="3"/>
    <n v="167.57"/>
    <n v="0.15"/>
    <n v="427.3"/>
    <n v="300.58"/>
    <n v="126.72"/>
  </r>
  <r>
    <x v="111"/>
    <x v="98"/>
    <x v="1"/>
    <x v="10"/>
    <x v="7"/>
    <x v="2"/>
    <n v="10"/>
    <n v="10.54"/>
    <n v="0.2"/>
    <n v="84.32"/>
    <n v="54.75"/>
    <n v="29.57"/>
  </r>
  <r>
    <x v="112"/>
    <x v="99"/>
    <x v="1"/>
    <x v="10"/>
    <x v="11"/>
    <x v="0"/>
    <n v="8"/>
    <n v="74.36"/>
    <n v="0.02"/>
    <n v="582.98"/>
    <n v="359.04"/>
    <n v="223.94"/>
  </r>
  <r>
    <x v="113"/>
    <x v="100"/>
    <x v="1"/>
    <x v="2"/>
    <x v="5"/>
    <x v="3"/>
    <n v="4"/>
    <n v="285.48"/>
    <n v="0.1"/>
    <n v="1027.73"/>
    <n v="674.33"/>
    <n v="353.4"/>
  </r>
  <r>
    <x v="114"/>
    <x v="101"/>
    <x v="1"/>
    <x v="10"/>
    <x v="8"/>
    <x v="3"/>
    <n v="7"/>
    <n v="201.17"/>
    <n v="0.05"/>
    <n v="1337.78"/>
    <n v="963.75"/>
    <n v="374.03"/>
  </r>
  <r>
    <x v="115"/>
    <x v="102"/>
    <x v="0"/>
    <x v="5"/>
    <x v="4"/>
    <x v="1"/>
    <n v="9"/>
    <n v="38.1"/>
    <n v="0"/>
    <n v="342.9"/>
    <n v="235.13"/>
    <n v="107.77"/>
  </r>
  <r>
    <x v="116"/>
    <x v="103"/>
    <x v="0"/>
    <x v="0"/>
    <x v="1"/>
    <x v="1"/>
    <n v="1"/>
    <n v="46.04"/>
    <n v="0"/>
    <n v="46.04"/>
    <n v="31.44"/>
    <n v="14.6"/>
  </r>
  <r>
    <x v="117"/>
    <x v="33"/>
    <x v="0"/>
    <x v="0"/>
    <x v="7"/>
    <x v="0"/>
    <n v="3"/>
    <n v="10.9"/>
    <n v="0.02"/>
    <n v="32.049999999999997"/>
    <n v="23.88"/>
    <n v="8.17"/>
  </r>
  <r>
    <x v="118"/>
    <x v="104"/>
    <x v="0"/>
    <x v="1"/>
    <x v="7"/>
    <x v="2"/>
    <n v="4"/>
    <n v="11.21"/>
    <n v="0.1"/>
    <n v="40.36"/>
    <n v="22.46"/>
    <n v="17.899999999999999"/>
  </r>
  <r>
    <x v="119"/>
    <x v="105"/>
    <x v="3"/>
    <x v="9"/>
    <x v="11"/>
    <x v="0"/>
    <n v="10"/>
    <n v="83.49"/>
    <n v="0.15"/>
    <n v="709.66"/>
    <n v="424.25"/>
    <n v="285.41000000000003"/>
  </r>
  <r>
    <x v="120"/>
    <x v="106"/>
    <x v="2"/>
    <x v="4"/>
    <x v="8"/>
    <x v="3"/>
    <n v="2"/>
    <n v="203.78"/>
    <n v="0.15"/>
    <n v="346.43"/>
    <n v="279.76"/>
    <n v="66.67"/>
  </r>
  <r>
    <x v="121"/>
    <x v="107"/>
    <x v="1"/>
    <x v="11"/>
    <x v="6"/>
    <x v="3"/>
    <n v="4"/>
    <n v="157.41999999999999"/>
    <n v="0"/>
    <n v="629.67999999999995"/>
    <n v="409.26"/>
    <n v="220.42"/>
  </r>
  <r>
    <x v="122"/>
    <x v="61"/>
    <x v="2"/>
    <x v="8"/>
    <x v="10"/>
    <x v="0"/>
    <n v="5"/>
    <n v="470.05"/>
    <n v="0.2"/>
    <n v="1880.2"/>
    <n v="1505.37"/>
    <n v="374.83"/>
  </r>
  <r>
    <x v="123"/>
    <x v="108"/>
    <x v="0"/>
    <x v="1"/>
    <x v="5"/>
    <x v="3"/>
    <n v="9"/>
    <n v="244.61"/>
    <n v="0.1"/>
    <n v="1981.34"/>
    <n v="1606.86"/>
    <n v="374.48"/>
  </r>
  <r>
    <x v="124"/>
    <x v="109"/>
    <x v="0"/>
    <x v="5"/>
    <x v="2"/>
    <x v="2"/>
    <n v="6"/>
    <n v="9.11"/>
    <n v="0"/>
    <n v="54.66"/>
    <n v="42.65"/>
    <n v="12.01"/>
  </r>
  <r>
    <x v="125"/>
    <x v="110"/>
    <x v="0"/>
    <x v="5"/>
    <x v="6"/>
    <x v="3"/>
    <n v="6"/>
    <n v="131.37"/>
    <n v="0.2"/>
    <n v="630.58000000000004"/>
    <n v="412.38"/>
    <n v="218.2"/>
  </r>
  <r>
    <x v="126"/>
    <x v="36"/>
    <x v="2"/>
    <x v="8"/>
    <x v="6"/>
    <x v="3"/>
    <n v="3"/>
    <n v="154.75"/>
    <n v="0.2"/>
    <n v="371.4"/>
    <n v="236.05"/>
    <n v="135.35"/>
  </r>
  <r>
    <x v="127"/>
    <x v="111"/>
    <x v="3"/>
    <x v="7"/>
    <x v="7"/>
    <x v="2"/>
    <n v="9"/>
    <n v="10.81"/>
    <n v="0.1"/>
    <n v="87.56"/>
    <n v="61.32"/>
    <n v="26.24"/>
  </r>
  <r>
    <x v="128"/>
    <x v="112"/>
    <x v="3"/>
    <x v="7"/>
    <x v="5"/>
    <x v="3"/>
    <n v="4"/>
    <n v="282.70999999999998"/>
    <n v="0"/>
    <n v="1130.8399999999999"/>
    <n v="834.48"/>
    <n v="296.36"/>
  </r>
  <r>
    <x v="129"/>
    <x v="113"/>
    <x v="2"/>
    <x v="8"/>
    <x v="9"/>
    <x v="2"/>
    <n v="10"/>
    <n v="163.36000000000001"/>
    <n v="0.15"/>
    <n v="1388.56"/>
    <n v="800.14"/>
    <n v="588.41999999999996"/>
  </r>
  <r>
    <x v="130"/>
    <x v="11"/>
    <x v="3"/>
    <x v="6"/>
    <x v="0"/>
    <x v="0"/>
    <n v="8"/>
    <n v="879.33"/>
    <n v="0.05"/>
    <n v="6682.91"/>
    <n v="5462.04"/>
    <n v="1220.8699999999999"/>
  </r>
  <r>
    <x v="131"/>
    <x v="114"/>
    <x v="2"/>
    <x v="3"/>
    <x v="5"/>
    <x v="3"/>
    <n v="5"/>
    <n v="223.01"/>
    <n v="0.05"/>
    <n v="1059.3"/>
    <n v="730.86"/>
    <n v="328.44"/>
  </r>
  <r>
    <x v="132"/>
    <x v="23"/>
    <x v="3"/>
    <x v="6"/>
    <x v="2"/>
    <x v="2"/>
    <n v="1"/>
    <n v="8.91"/>
    <n v="0.15"/>
    <n v="7.57"/>
    <n v="5.68"/>
    <n v="1.89"/>
  </r>
  <r>
    <x v="133"/>
    <x v="30"/>
    <x v="2"/>
    <x v="8"/>
    <x v="4"/>
    <x v="1"/>
    <n v="7"/>
    <n v="37.07"/>
    <n v="0.1"/>
    <n v="233.54"/>
    <n v="172.74"/>
    <n v="60.8"/>
  </r>
  <r>
    <x v="134"/>
    <x v="115"/>
    <x v="1"/>
    <x v="10"/>
    <x v="1"/>
    <x v="1"/>
    <n v="8"/>
    <n v="43.1"/>
    <n v="0.1"/>
    <n v="310.32"/>
    <n v="195.28"/>
    <n v="115.04"/>
  </r>
  <r>
    <x v="135"/>
    <x v="116"/>
    <x v="3"/>
    <x v="6"/>
    <x v="3"/>
    <x v="0"/>
    <n v="7"/>
    <n v="240.42"/>
    <n v="0.2"/>
    <n v="1346.35"/>
    <n v="1034.98"/>
    <n v="311.37"/>
  </r>
  <r>
    <x v="136"/>
    <x v="117"/>
    <x v="3"/>
    <x v="7"/>
    <x v="9"/>
    <x v="2"/>
    <n v="9"/>
    <n v="177.62"/>
    <n v="0.15"/>
    <n v="1358.79"/>
    <n v="1082.3800000000001"/>
    <n v="276.41000000000003"/>
  </r>
  <r>
    <x v="137"/>
    <x v="118"/>
    <x v="3"/>
    <x v="7"/>
    <x v="5"/>
    <x v="3"/>
    <n v="8"/>
    <n v="250.85"/>
    <n v="0.05"/>
    <n v="1906.46"/>
    <n v="1306.71"/>
    <n v="599.75"/>
  </r>
  <r>
    <x v="138"/>
    <x v="59"/>
    <x v="2"/>
    <x v="4"/>
    <x v="10"/>
    <x v="0"/>
    <n v="4"/>
    <n v="599.22"/>
    <n v="0.05"/>
    <n v="2277.04"/>
    <n v="1651.97"/>
    <n v="625.07000000000005"/>
  </r>
  <r>
    <x v="139"/>
    <x v="68"/>
    <x v="2"/>
    <x v="3"/>
    <x v="3"/>
    <x v="0"/>
    <n v="4"/>
    <n v="233.33"/>
    <n v="0.2"/>
    <n v="746.66"/>
    <n v="571.09"/>
    <n v="175.57"/>
  </r>
  <r>
    <x v="140"/>
    <x v="119"/>
    <x v="3"/>
    <x v="6"/>
    <x v="10"/>
    <x v="0"/>
    <n v="4"/>
    <n v="614.35"/>
    <n v="0.05"/>
    <n v="2334.5300000000002"/>
    <n v="1497.04"/>
    <n v="837.49"/>
  </r>
  <r>
    <x v="141"/>
    <x v="120"/>
    <x v="2"/>
    <x v="8"/>
    <x v="8"/>
    <x v="3"/>
    <n v="1"/>
    <n v="173.28"/>
    <n v="0.2"/>
    <n v="138.62"/>
    <n v="79.760000000000005"/>
    <n v="58.86"/>
  </r>
  <r>
    <x v="142"/>
    <x v="121"/>
    <x v="3"/>
    <x v="7"/>
    <x v="0"/>
    <x v="0"/>
    <n v="1"/>
    <n v="869.96"/>
    <n v="0.15"/>
    <n v="739.47"/>
    <n v="413.88"/>
    <n v="325.58999999999997"/>
  </r>
  <r>
    <x v="143"/>
    <x v="122"/>
    <x v="2"/>
    <x v="4"/>
    <x v="0"/>
    <x v="1"/>
    <n v="8"/>
    <n v="44.54"/>
    <n v="0"/>
    <n v="356.32"/>
    <n v="248.18"/>
    <n v="108.14"/>
  </r>
  <r>
    <x v="144"/>
    <x v="123"/>
    <x v="3"/>
    <x v="7"/>
    <x v="9"/>
    <x v="2"/>
    <n v="8"/>
    <n v="149.75"/>
    <n v="0.1"/>
    <n v="1078.2"/>
    <n v="765.01"/>
    <n v="313.19"/>
  </r>
  <r>
    <x v="145"/>
    <x v="124"/>
    <x v="0"/>
    <x v="0"/>
    <x v="8"/>
    <x v="3"/>
    <n v="8"/>
    <n v="154.65"/>
    <n v="0"/>
    <n v="1237.2"/>
    <n v="692.94"/>
    <n v="544.26"/>
  </r>
  <r>
    <x v="146"/>
    <x v="125"/>
    <x v="1"/>
    <x v="11"/>
    <x v="10"/>
    <x v="0"/>
    <n v="10"/>
    <n v="603.23"/>
    <n v="0.2"/>
    <n v="4825.84"/>
    <n v="3123.53"/>
    <n v="1702.31"/>
  </r>
  <r>
    <x v="147"/>
    <x v="126"/>
    <x v="2"/>
    <x v="4"/>
    <x v="11"/>
    <x v="0"/>
    <n v="10"/>
    <n v="71.05"/>
    <n v="0.05"/>
    <n v="674.98"/>
    <n v="466.42"/>
    <n v="208.56"/>
  </r>
  <r>
    <x v="148"/>
    <x v="127"/>
    <x v="0"/>
    <x v="1"/>
    <x v="2"/>
    <x v="2"/>
    <n v="7"/>
    <n v="8.65"/>
    <n v="0.15"/>
    <n v="51.47"/>
    <n v="31.31"/>
    <n v="20.16"/>
  </r>
  <r>
    <x v="149"/>
    <x v="128"/>
    <x v="2"/>
    <x v="3"/>
    <x v="2"/>
    <x v="2"/>
    <n v="7"/>
    <n v="8.2899999999999991"/>
    <n v="0.1"/>
    <n v="52.23"/>
    <n v="29.93"/>
    <n v="22.3"/>
  </r>
  <r>
    <x v="150"/>
    <x v="129"/>
    <x v="1"/>
    <x v="10"/>
    <x v="8"/>
    <x v="3"/>
    <n v="10"/>
    <n v="155.79"/>
    <n v="0.15"/>
    <n v="1324.21"/>
    <n v="918.29"/>
    <n v="405.92"/>
  </r>
  <r>
    <x v="151"/>
    <x v="130"/>
    <x v="0"/>
    <x v="1"/>
    <x v="3"/>
    <x v="0"/>
    <n v="4"/>
    <n v="222.68"/>
    <n v="0.05"/>
    <n v="846.18"/>
    <n v="611.03"/>
    <n v="235.15"/>
  </r>
  <r>
    <x v="152"/>
    <x v="131"/>
    <x v="2"/>
    <x v="4"/>
    <x v="3"/>
    <x v="0"/>
    <n v="3"/>
    <n v="234.92"/>
    <n v="0.15"/>
    <n v="599.04999999999995"/>
    <n v="487.32"/>
    <n v="111.73"/>
  </r>
  <r>
    <x v="153"/>
    <x v="132"/>
    <x v="0"/>
    <x v="1"/>
    <x v="6"/>
    <x v="3"/>
    <n v="8"/>
    <n v="140.68"/>
    <n v="0.2"/>
    <n v="900.35"/>
    <n v="573.70000000000005"/>
    <n v="326.64999999999998"/>
  </r>
  <r>
    <x v="154"/>
    <x v="102"/>
    <x v="3"/>
    <x v="9"/>
    <x v="0"/>
    <x v="0"/>
    <n v="4"/>
    <n v="925.27"/>
    <n v="0.05"/>
    <n v="3516.03"/>
    <n v="2190.9299999999998"/>
    <n v="1325.1"/>
  </r>
  <r>
    <x v="155"/>
    <x v="133"/>
    <x v="1"/>
    <x v="11"/>
    <x v="10"/>
    <x v="0"/>
    <n v="4"/>
    <n v="539.92999999999995"/>
    <n v="0.05"/>
    <n v="2051.73"/>
    <n v="1171.9100000000001"/>
    <n v="879.82"/>
  </r>
  <r>
    <x v="156"/>
    <x v="134"/>
    <x v="2"/>
    <x v="4"/>
    <x v="6"/>
    <x v="3"/>
    <n v="2"/>
    <n v="120.06"/>
    <n v="0.15"/>
    <n v="204.1"/>
    <n v="165.3"/>
    <n v="38.799999999999997"/>
  </r>
  <r>
    <x v="157"/>
    <x v="13"/>
    <x v="2"/>
    <x v="4"/>
    <x v="8"/>
    <x v="3"/>
    <n v="3"/>
    <n v="198.14"/>
    <n v="0"/>
    <n v="594.41999999999996"/>
    <n v="438.63"/>
    <n v="155.79"/>
  </r>
  <r>
    <x v="158"/>
    <x v="135"/>
    <x v="3"/>
    <x v="7"/>
    <x v="7"/>
    <x v="2"/>
    <n v="10"/>
    <n v="11.67"/>
    <n v="0.05"/>
    <n v="110.86"/>
    <n v="66.16"/>
    <n v="44.7"/>
  </r>
  <r>
    <x v="159"/>
    <x v="136"/>
    <x v="1"/>
    <x v="2"/>
    <x v="4"/>
    <x v="1"/>
    <n v="5"/>
    <n v="31.39"/>
    <n v="0.2"/>
    <n v="125.56"/>
    <n v="77.540000000000006"/>
    <n v="48.02"/>
  </r>
  <r>
    <x v="160"/>
    <x v="137"/>
    <x v="1"/>
    <x v="10"/>
    <x v="9"/>
    <x v="2"/>
    <n v="2"/>
    <n v="162.36000000000001"/>
    <n v="0.15"/>
    <n v="276.01"/>
    <n v="205.06"/>
    <n v="70.95"/>
  </r>
  <r>
    <x v="161"/>
    <x v="138"/>
    <x v="3"/>
    <x v="6"/>
    <x v="7"/>
    <x v="2"/>
    <n v="5"/>
    <n v="12.58"/>
    <n v="0"/>
    <n v="62.9"/>
    <n v="39.35"/>
    <n v="23.55"/>
  </r>
  <r>
    <x v="162"/>
    <x v="139"/>
    <x v="0"/>
    <x v="0"/>
    <x v="1"/>
    <x v="1"/>
    <n v="5"/>
    <n v="51.14"/>
    <n v="0.15"/>
    <n v="217.34"/>
    <n v="162.84"/>
    <n v="54.5"/>
  </r>
  <r>
    <x v="163"/>
    <x v="140"/>
    <x v="1"/>
    <x v="10"/>
    <x v="2"/>
    <x v="2"/>
    <n v="8"/>
    <n v="8.1300000000000008"/>
    <n v="0.05"/>
    <n v="61.79"/>
    <n v="44.19"/>
    <n v="17.600000000000001"/>
  </r>
  <r>
    <x v="164"/>
    <x v="47"/>
    <x v="1"/>
    <x v="2"/>
    <x v="1"/>
    <x v="1"/>
    <n v="8"/>
    <n v="43.91"/>
    <n v="0"/>
    <n v="351.28"/>
    <n v="216.7"/>
    <n v="134.58000000000001"/>
  </r>
  <r>
    <x v="165"/>
    <x v="141"/>
    <x v="1"/>
    <x v="10"/>
    <x v="5"/>
    <x v="3"/>
    <n v="6"/>
    <n v="239.2"/>
    <n v="0.2"/>
    <n v="1148.1600000000001"/>
    <n v="866.42"/>
    <n v="281.74"/>
  </r>
  <r>
    <x v="166"/>
    <x v="142"/>
    <x v="3"/>
    <x v="9"/>
    <x v="6"/>
    <x v="3"/>
    <n v="8"/>
    <n v="119.6"/>
    <n v="0.05"/>
    <n v="908.96"/>
    <n v="528.41"/>
    <n v="380.55"/>
  </r>
  <r>
    <x v="167"/>
    <x v="125"/>
    <x v="0"/>
    <x v="5"/>
    <x v="9"/>
    <x v="2"/>
    <n v="2"/>
    <n v="138.21"/>
    <n v="0.05"/>
    <n v="262.60000000000002"/>
    <n v="147.32"/>
    <n v="115.28"/>
  </r>
  <r>
    <x v="168"/>
    <x v="143"/>
    <x v="0"/>
    <x v="1"/>
    <x v="6"/>
    <x v="3"/>
    <n v="9"/>
    <n v="154.93"/>
    <n v="0"/>
    <n v="1394.37"/>
    <n v="1031.82"/>
    <n v="362.55"/>
  </r>
  <r>
    <x v="169"/>
    <x v="144"/>
    <x v="1"/>
    <x v="11"/>
    <x v="6"/>
    <x v="3"/>
    <n v="1"/>
    <n v="138.91999999999999"/>
    <n v="0.02"/>
    <n v="136.13999999999999"/>
    <n v="78.47"/>
    <n v="57.67"/>
  </r>
  <r>
    <x v="170"/>
    <x v="145"/>
    <x v="1"/>
    <x v="10"/>
    <x v="1"/>
    <x v="1"/>
    <n v="8"/>
    <n v="44.89"/>
    <n v="0"/>
    <n v="359.12"/>
    <n v="243.42"/>
    <n v="115.7"/>
  </r>
  <r>
    <x v="171"/>
    <x v="146"/>
    <x v="2"/>
    <x v="3"/>
    <x v="8"/>
    <x v="3"/>
    <n v="8"/>
    <n v="162.35"/>
    <n v="0.2"/>
    <n v="1039.04"/>
    <n v="693.19"/>
    <n v="345.85"/>
  </r>
  <r>
    <x v="172"/>
    <x v="147"/>
    <x v="0"/>
    <x v="1"/>
    <x v="1"/>
    <x v="1"/>
    <n v="10"/>
    <n v="43.63"/>
    <n v="0.02"/>
    <n v="427.57"/>
    <n v="306.26"/>
    <n v="121.31"/>
  </r>
  <r>
    <x v="173"/>
    <x v="148"/>
    <x v="3"/>
    <x v="7"/>
    <x v="2"/>
    <x v="2"/>
    <n v="1"/>
    <n v="8.32"/>
    <n v="0.15"/>
    <n v="7.07"/>
    <n v="3.97"/>
    <n v="3.1"/>
  </r>
  <r>
    <x v="174"/>
    <x v="116"/>
    <x v="2"/>
    <x v="8"/>
    <x v="10"/>
    <x v="0"/>
    <n v="8"/>
    <n v="529.30999999999995"/>
    <n v="0"/>
    <n v="4234.4799999999996"/>
    <n v="3044.52"/>
    <n v="1189.96"/>
  </r>
  <r>
    <x v="175"/>
    <x v="27"/>
    <x v="1"/>
    <x v="11"/>
    <x v="4"/>
    <x v="1"/>
    <n v="5"/>
    <n v="35.03"/>
    <n v="0.15"/>
    <n v="148.88"/>
    <n v="116.31"/>
    <n v="32.57"/>
  </r>
  <r>
    <x v="176"/>
    <x v="137"/>
    <x v="1"/>
    <x v="2"/>
    <x v="9"/>
    <x v="2"/>
    <n v="8"/>
    <n v="167.62"/>
    <n v="0.02"/>
    <n v="1314.14"/>
    <n v="780.59"/>
    <n v="533.54999999999995"/>
  </r>
  <r>
    <x v="177"/>
    <x v="62"/>
    <x v="2"/>
    <x v="8"/>
    <x v="6"/>
    <x v="3"/>
    <n v="4"/>
    <n v="121.96"/>
    <n v="0.15"/>
    <n v="414.66"/>
    <n v="299.99"/>
    <n v="114.67"/>
  </r>
  <r>
    <x v="178"/>
    <x v="149"/>
    <x v="0"/>
    <x v="1"/>
    <x v="8"/>
    <x v="3"/>
    <n v="7"/>
    <n v="154.43"/>
    <n v="0.05"/>
    <n v="1026.96"/>
    <n v="727.25"/>
    <n v="299.70999999999998"/>
  </r>
  <r>
    <x v="179"/>
    <x v="146"/>
    <x v="0"/>
    <x v="1"/>
    <x v="8"/>
    <x v="3"/>
    <n v="5"/>
    <n v="203.77"/>
    <n v="0.15"/>
    <n v="866.02"/>
    <n v="610.87"/>
    <n v="255.15"/>
  </r>
  <r>
    <x v="180"/>
    <x v="31"/>
    <x v="1"/>
    <x v="2"/>
    <x v="11"/>
    <x v="0"/>
    <n v="8"/>
    <n v="77.319999999999993"/>
    <n v="0.15"/>
    <n v="525.78"/>
    <n v="380.5"/>
    <n v="145.28"/>
  </r>
  <r>
    <x v="181"/>
    <x v="70"/>
    <x v="3"/>
    <x v="7"/>
    <x v="2"/>
    <x v="2"/>
    <n v="9"/>
    <n v="7.9"/>
    <n v="0.1"/>
    <n v="63.99"/>
    <n v="44.62"/>
    <n v="19.37"/>
  </r>
  <r>
    <x v="182"/>
    <x v="150"/>
    <x v="2"/>
    <x v="3"/>
    <x v="4"/>
    <x v="1"/>
    <n v="4"/>
    <n v="39.64"/>
    <n v="0.15"/>
    <n v="134.78"/>
    <n v="88.18"/>
    <n v="46.6"/>
  </r>
  <r>
    <x v="183"/>
    <x v="151"/>
    <x v="1"/>
    <x v="2"/>
    <x v="0"/>
    <x v="0"/>
    <n v="6"/>
    <n v="967.6"/>
    <n v="0.2"/>
    <n v="4644.4799999999996"/>
    <n v="3689.78"/>
    <n v="954.7"/>
  </r>
  <r>
    <x v="184"/>
    <x v="152"/>
    <x v="1"/>
    <x v="10"/>
    <x v="6"/>
    <x v="3"/>
    <n v="3"/>
    <n v="127.22"/>
    <n v="0.1"/>
    <n v="343.49"/>
    <n v="195.35"/>
    <n v="148.13999999999999"/>
  </r>
  <r>
    <x v="185"/>
    <x v="121"/>
    <x v="3"/>
    <x v="9"/>
    <x v="10"/>
    <x v="0"/>
    <n v="8"/>
    <n v="484.13"/>
    <n v="0"/>
    <n v="3873.04"/>
    <n v="2149.23"/>
    <n v="1723.81"/>
  </r>
  <r>
    <x v="186"/>
    <x v="86"/>
    <x v="0"/>
    <x v="1"/>
    <x v="4"/>
    <x v="1"/>
    <n v="3"/>
    <n v="30.74"/>
    <n v="0.1"/>
    <n v="83"/>
    <n v="60.96"/>
    <n v="22.04"/>
  </r>
  <r>
    <x v="187"/>
    <x v="6"/>
    <x v="0"/>
    <x v="1"/>
    <x v="9"/>
    <x v="2"/>
    <n v="5"/>
    <n v="139.41999999999999"/>
    <n v="0.05"/>
    <n v="662.24"/>
    <n v="421.27"/>
    <n v="240.97"/>
  </r>
  <r>
    <x v="188"/>
    <x v="153"/>
    <x v="1"/>
    <x v="11"/>
    <x v="1"/>
    <x v="1"/>
    <n v="2"/>
    <n v="49.66"/>
    <n v="0.35"/>
    <n v="94.35"/>
    <n v="52.49"/>
    <n v="41.86"/>
  </r>
  <r>
    <x v="189"/>
    <x v="154"/>
    <x v="1"/>
    <x v="10"/>
    <x v="5"/>
    <x v="3"/>
    <n v="8"/>
    <n v="273.58999999999997"/>
    <n v="0.15"/>
    <n v="1860.41"/>
    <n v="1164.8"/>
    <n v="695.61"/>
  </r>
  <r>
    <x v="190"/>
    <x v="128"/>
    <x v="0"/>
    <x v="1"/>
    <x v="3"/>
    <x v="0"/>
    <n v="5"/>
    <n v="194.8"/>
    <n v="0.02"/>
    <n v="954.52"/>
    <n v="704.55"/>
    <n v="249.97"/>
  </r>
  <r>
    <x v="191"/>
    <x v="21"/>
    <x v="1"/>
    <x v="10"/>
    <x v="10"/>
    <x v="0"/>
    <n v="2"/>
    <n v="571.28"/>
    <n v="0.1"/>
    <n v="1028.3"/>
    <n v="809.19"/>
    <n v="219.11"/>
  </r>
  <r>
    <x v="192"/>
    <x v="155"/>
    <x v="3"/>
    <x v="6"/>
    <x v="0"/>
    <x v="0"/>
    <n v="1"/>
    <n v="909.94"/>
    <n v="0.05"/>
    <n v="864.44"/>
    <n v="662.97"/>
    <n v="201.47"/>
  </r>
  <r>
    <x v="193"/>
    <x v="156"/>
    <x v="3"/>
    <x v="6"/>
    <x v="5"/>
    <x v="3"/>
    <n v="7"/>
    <n v="233.65"/>
    <n v="0.02"/>
    <n v="1602.84"/>
    <n v="958.35"/>
    <n v="644.49"/>
  </r>
  <r>
    <x v="194"/>
    <x v="157"/>
    <x v="1"/>
    <x v="10"/>
    <x v="7"/>
    <x v="2"/>
    <n v="3"/>
    <n v="12.9"/>
    <n v="0.02"/>
    <n v="37.93"/>
    <n v="29.12"/>
    <n v="8.81"/>
  </r>
  <r>
    <x v="195"/>
    <x v="158"/>
    <x v="1"/>
    <x v="11"/>
    <x v="7"/>
    <x v="2"/>
    <n v="4"/>
    <n v="13.77"/>
    <n v="0.1"/>
    <n v="49.57"/>
    <n v="32.79"/>
    <n v="16.78"/>
  </r>
  <r>
    <x v="196"/>
    <x v="159"/>
    <x v="2"/>
    <x v="3"/>
    <x v="9"/>
    <x v="2"/>
    <n v="5"/>
    <n v="153.86000000000001"/>
    <n v="0.1"/>
    <n v="692.37"/>
    <n v="525.95000000000005"/>
    <n v="166.42"/>
  </r>
  <r>
    <x v="197"/>
    <x v="64"/>
    <x v="0"/>
    <x v="1"/>
    <x v="9"/>
    <x v="2"/>
    <n v="5"/>
    <n v="152.36000000000001"/>
    <n v="0.2"/>
    <n v="609.44000000000005"/>
    <n v="488.35"/>
    <n v="121.09"/>
  </r>
  <r>
    <x v="198"/>
    <x v="132"/>
    <x v="0"/>
    <x v="5"/>
    <x v="9"/>
    <x v="2"/>
    <n v="6"/>
    <n v="177.2"/>
    <n v="0.15"/>
    <n v="903.72"/>
    <n v="601.72"/>
    <n v="302"/>
  </r>
  <r>
    <x v="199"/>
    <x v="0"/>
    <x v="1"/>
    <x v="2"/>
    <x v="4"/>
    <x v="1"/>
    <n v="5"/>
    <n v="37.630000000000003"/>
    <n v="0.1"/>
    <n v="169.34"/>
    <n v="127.64"/>
    <n v="41.7"/>
  </r>
  <r>
    <x v="200"/>
    <x v="160"/>
    <x v="1"/>
    <x v="2"/>
    <x v="9"/>
    <x v="2"/>
    <n v="2"/>
    <n v="140.94999999999999"/>
    <n v="0.02"/>
    <n v="276.26"/>
    <n v="219.26"/>
    <n v="57"/>
  </r>
  <r>
    <x v="201"/>
    <x v="161"/>
    <x v="3"/>
    <x v="7"/>
    <x v="7"/>
    <x v="2"/>
    <n v="5"/>
    <n v="12.02"/>
    <n v="0.2"/>
    <n v="48.08"/>
    <n v="37.17"/>
    <n v="10.91"/>
  </r>
  <r>
    <x v="202"/>
    <x v="162"/>
    <x v="1"/>
    <x v="11"/>
    <x v="8"/>
    <x v="3"/>
    <n v="1"/>
    <n v="170.28"/>
    <n v="0.15"/>
    <n v="144.74"/>
    <n v="114.6"/>
    <n v="30.14"/>
  </r>
  <r>
    <x v="203"/>
    <x v="163"/>
    <x v="1"/>
    <x v="2"/>
    <x v="8"/>
    <x v="3"/>
    <n v="4"/>
    <n v="174.02"/>
    <n v="0.15"/>
    <n v="591.66999999999996"/>
    <n v="327.14999999999998"/>
    <n v="264.52"/>
  </r>
  <r>
    <x v="204"/>
    <x v="164"/>
    <x v="2"/>
    <x v="8"/>
    <x v="7"/>
    <x v="2"/>
    <n v="5"/>
    <n v="13.46"/>
    <n v="0.2"/>
    <n v="53.84"/>
    <n v="30.94"/>
    <n v="22.9"/>
  </r>
  <r>
    <x v="205"/>
    <x v="31"/>
    <x v="2"/>
    <x v="8"/>
    <x v="1"/>
    <x v="1"/>
    <n v="2"/>
    <n v="42.56"/>
    <n v="0.2"/>
    <n v="68.099999999999994"/>
    <n v="54.92"/>
    <n v="13.18"/>
  </r>
  <r>
    <x v="206"/>
    <x v="165"/>
    <x v="3"/>
    <x v="7"/>
    <x v="9"/>
    <x v="2"/>
    <n v="1"/>
    <n v="181.63"/>
    <n v="0.15"/>
    <n v="154.38999999999999"/>
    <n v="108.82"/>
    <n v="45.57"/>
  </r>
  <r>
    <x v="207"/>
    <x v="38"/>
    <x v="0"/>
    <x v="5"/>
    <x v="8"/>
    <x v="3"/>
    <n v="6"/>
    <n v="187.12"/>
    <n v="0.2"/>
    <n v="898.18"/>
    <n v="602.75"/>
    <n v="295.43"/>
  </r>
  <r>
    <x v="208"/>
    <x v="140"/>
    <x v="2"/>
    <x v="8"/>
    <x v="11"/>
    <x v="0"/>
    <n v="9"/>
    <n v="75.040000000000006"/>
    <n v="0.05"/>
    <n v="641.59"/>
    <n v="409.81"/>
    <n v="231.78"/>
  </r>
  <r>
    <x v="209"/>
    <x v="166"/>
    <x v="3"/>
    <x v="7"/>
    <x v="11"/>
    <x v="0"/>
    <n v="5"/>
    <n v="84.14"/>
    <n v="0.1"/>
    <n v="378.63"/>
    <n v="285.16000000000003"/>
    <n v="93.47"/>
  </r>
  <r>
    <x v="210"/>
    <x v="167"/>
    <x v="0"/>
    <x v="0"/>
    <x v="9"/>
    <x v="2"/>
    <n v="2"/>
    <n v="174"/>
    <n v="0.02"/>
    <n v="341.04"/>
    <n v="260.27999999999997"/>
    <n v="80.760000000000005"/>
  </r>
  <r>
    <x v="211"/>
    <x v="168"/>
    <x v="1"/>
    <x v="2"/>
    <x v="2"/>
    <x v="2"/>
    <n v="6"/>
    <n v="7.02"/>
    <n v="0"/>
    <n v="42.12"/>
    <n v="28.79"/>
    <n v="13.33"/>
  </r>
  <r>
    <x v="212"/>
    <x v="169"/>
    <x v="3"/>
    <x v="7"/>
    <x v="2"/>
    <x v="2"/>
    <n v="2"/>
    <n v="6.94"/>
    <n v="0.1"/>
    <n v="12.49"/>
    <n v="8.7200000000000006"/>
    <n v="3.77"/>
  </r>
  <r>
    <x v="213"/>
    <x v="170"/>
    <x v="3"/>
    <x v="7"/>
    <x v="7"/>
    <x v="2"/>
    <n v="7"/>
    <n v="11.79"/>
    <n v="0.2"/>
    <n v="66.02"/>
    <n v="52.13"/>
    <n v="13.89"/>
  </r>
  <r>
    <x v="214"/>
    <x v="42"/>
    <x v="2"/>
    <x v="8"/>
    <x v="9"/>
    <x v="2"/>
    <n v="1"/>
    <n v="152.84"/>
    <n v="0.15"/>
    <n v="129.91"/>
    <n v="75.56"/>
    <n v="54.35"/>
  </r>
  <r>
    <x v="215"/>
    <x v="171"/>
    <x v="2"/>
    <x v="3"/>
    <x v="1"/>
    <x v="1"/>
    <n v="2"/>
    <n v="40.18"/>
    <n v="0.2"/>
    <n v="64.290000000000006"/>
    <n v="48.58"/>
    <n v="15.71"/>
  </r>
  <r>
    <x v="216"/>
    <x v="172"/>
    <x v="3"/>
    <x v="6"/>
    <x v="1"/>
    <x v="1"/>
    <n v="7"/>
    <n v="46.6"/>
    <n v="0"/>
    <n v="326.2"/>
    <n v="188.32"/>
    <n v="137.88"/>
  </r>
  <r>
    <x v="217"/>
    <x v="10"/>
    <x v="0"/>
    <x v="0"/>
    <x v="8"/>
    <x v="3"/>
    <n v="8"/>
    <n v="157.54"/>
    <n v="0"/>
    <n v="1260.32"/>
    <n v="931.71"/>
    <n v="328.61"/>
  </r>
  <r>
    <x v="218"/>
    <x v="173"/>
    <x v="2"/>
    <x v="8"/>
    <x v="6"/>
    <x v="3"/>
    <n v="8"/>
    <n v="122.06"/>
    <n v="0.05"/>
    <n v="927.66"/>
    <n v="716.06"/>
    <n v="211.6"/>
  </r>
  <r>
    <x v="219"/>
    <x v="75"/>
    <x v="1"/>
    <x v="11"/>
    <x v="7"/>
    <x v="2"/>
    <n v="3"/>
    <n v="12.74"/>
    <n v="0.1"/>
    <n v="34.4"/>
    <n v="19.68"/>
    <n v="14.72"/>
  </r>
  <r>
    <x v="220"/>
    <x v="174"/>
    <x v="1"/>
    <x v="10"/>
    <x v="7"/>
    <x v="2"/>
    <n v="7"/>
    <n v="10.51"/>
    <n v="0.05"/>
    <n v="69.89"/>
    <n v="57.06"/>
    <n v="12.83"/>
  </r>
  <r>
    <x v="221"/>
    <x v="61"/>
    <x v="3"/>
    <x v="6"/>
    <x v="3"/>
    <x v="0"/>
    <n v="8"/>
    <n v="211.7"/>
    <n v="0.1"/>
    <n v="1524.24"/>
    <n v="990.87"/>
    <n v="533.37"/>
  </r>
  <r>
    <x v="222"/>
    <x v="145"/>
    <x v="0"/>
    <x v="1"/>
    <x v="1"/>
    <x v="1"/>
    <n v="6"/>
    <n v="49.22"/>
    <n v="0.15"/>
    <n v="251.02"/>
    <n v="202.26"/>
    <n v="48.76"/>
  </r>
  <r>
    <x v="223"/>
    <x v="175"/>
    <x v="0"/>
    <x v="0"/>
    <x v="6"/>
    <x v="3"/>
    <n v="5"/>
    <n v="160.41"/>
    <n v="0.02"/>
    <n v="786.01"/>
    <n v="592.19000000000005"/>
    <n v="193.82"/>
  </r>
  <r>
    <x v="224"/>
    <x v="176"/>
    <x v="0"/>
    <x v="1"/>
    <x v="1"/>
    <x v="1"/>
    <n v="4"/>
    <n v="43.33"/>
    <n v="0.2"/>
    <n v="138.66"/>
    <n v="79.39"/>
    <n v="59.27"/>
  </r>
  <r>
    <x v="225"/>
    <x v="23"/>
    <x v="0"/>
    <x v="0"/>
    <x v="0"/>
    <x v="0"/>
    <n v="6"/>
    <n v="920.67"/>
    <n v="0.02"/>
    <n v="5413.54"/>
    <n v="3793.64"/>
    <n v="1619.9"/>
  </r>
  <r>
    <x v="226"/>
    <x v="177"/>
    <x v="2"/>
    <x v="8"/>
    <x v="10"/>
    <x v="0"/>
    <n v="9"/>
    <n v="537.5"/>
    <n v="0.02"/>
    <n v="4740.75"/>
    <n v="3767.55"/>
    <n v="973.2"/>
  </r>
  <r>
    <x v="227"/>
    <x v="178"/>
    <x v="2"/>
    <x v="4"/>
    <x v="5"/>
    <x v="3"/>
    <n v="3"/>
    <n v="220.84"/>
    <n v="0.15"/>
    <n v="563.14"/>
    <n v="384.63"/>
    <n v="178.51"/>
  </r>
  <r>
    <x v="228"/>
    <x v="119"/>
    <x v="2"/>
    <x v="4"/>
    <x v="11"/>
    <x v="0"/>
    <n v="9"/>
    <n v="68.27"/>
    <n v="0.05"/>
    <n v="583.71"/>
    <n v="394.9"/>
    <n v="188.81"/>
  </r>
  <r>
    <x v="229"/>
    <x v="179"/>
    <x v="0"/>
    <x v="0"/>
    <x v="11"/>
    <x v="0"/>
    <n v="1"/>
    <n v="69.349999999999994"/>
    <n v="0.05"/>
    <n v="65.88"/>
    <n v="38.35"/>
    <n v="27.53"/>
  </r>
  <r>
    <x v="230"/>
    <x v="134"/>
    <x v="3"/>
    <x v="6"/>
    <x v="0"/>
    <x v="0"/>
    <n v="3"/>
    <n v="752.47"/>
    <n v="0.05"/>
    <n v="2144.54"/>
    <n v="1555.41"/>
    <n v="589.13"/>
  </r>
  <r>
    <x v="231"/>
    <x v="121"/>
    <x v="1"/>
    <x v="10"/>
    <x v="2"/>
    <x v="2"/>
    <n v="2"/>
    <n v="8.59"/>
    <n v="0.2"/>
    <n v="13.74"/>
    <n v="9.7200000000000006"/>
    <n v="4.0199999999999996"/>
  </r>
  <r>
    <x v="232"/>
    <x v="83"/>
    <x v="1"/>
    <x v="10"/>
    <x v="5"/>
    <x v="3"/>
    <n v="9"/>
    <n v="284.66000000000003"/>
    <n v="0.15"/>
    <n v="2177.65"/>
    <n v="1418.12"/>
    <n v="759.53"/>
  </r>
  <r>
    <x v="233"/>
    <x v="34"/>
    <x v="2"/>
    <x v="8"/>
    <x v="7"/>
    <x v="2"/>
    <n v="1"/>
    <n v="11.23"/>
    <n v="0.2"/>
    <n v="8.98"/>
    <n v="7.05"/>
    <n v="1.93"/>
  </r>
  <r>
    <x v="234"/>
    <x v="180"/>
    <x v="3"/>
    <x v="7"/>
    <x v="9"/>
    <x v="2"/>
    <n v="1"/>
    <n v="146.72999999999999"/>
    <n v="0"/>
    <n v="146.72999999999999"/>
    <n v="118.86"/>
    <n v="27.87"/>
  </r>
  <r>
    <x v="235"/>
    <x v="125"/>
    <x v="1"/>
    <x v="11"/>
    <x v="1"/>
    <x v="1"/>
    <n v="2"/>
    <n v="38.409999999999997"/>
    <n v="0.1"/>
    <n v="69.14"/>
    <n v="56.13"/>
    <n v="13.01"/>
  </r>
  <r>
    <x v="236"/>
    <x v="181"/>
    <x v="0"/>
    <x v="0"/>
    <x v="10"/>
    <x v="0"/>
    <n v="6"/>
    <n v="474.62"/>
    <n v="0.15"/>
    <n v="2420.56"/>
    <n v="1913.72"/>
    <n v="506.84"/>
  </r>
  <r>
    <x v="237"/>
    <x v="182"/>
    <x v="2"/>
    <x v="8"/>
    <x v="8"/>
    <x v="3"/>
    <n v="10"/>
    <n v="181.5"/>
    <n v="0.2"/>
    <n v="1452"/>
    <n v="1187.8800000000001"/>
    <n v="264.12"/>
  </r>
  <r>
    <x v="238"/>
    <x v="183"/>
    <x v="3"/>
    <x v="7"/>
    <x v="6"/>
    <x v="3"/>
    <n v="10"/>
    <n v="122.1"/>
    <n v="0.15"/>
    <n v="1037.8499999999999"/>
    <n v="726.02"/>
    <n v="311.83"/>
  </r>
  <r>
    <x v="239"/>
    <x v="176"/>
    <x v="1"/>
    <x v="11"/>
    <x v="10"/>
    <x v="0"/>
    <n v="2"/>
    <n v="627.42999999999995"/>
    <n v="0.2"/>
    <n v="1003.89"/>
    <n v="693.93"/>
    <n v="309.95999999999998"/>
  </r>
  <r>
    <x v="240"/>
    <x v="62"/>
    <x v="2"/>
    <x v="3"/>
    <x v="6"/>
    <x v="3"/>
    <n v="8"/>
    <n v="145.43"/>
    <n v="0.02"/>
    <n v="1140.17"/>
    <n v="841.28"/>
    <n v="298.89"/>
  </r>
  <r>
    <x v="241"/>
    <x v="167"/>
    <x v="1"/>
    <x v="10"/>
    <x v="6"/>
    <x v="3"/>
    <n v="7"/>
    <n v="138.09"/>
    <n v="0.2"/>
    <n v="773.3"/>
    <n v="556.34"/>
    <n v="216.96"/>
  </r>
  <r>
    <x v="242"/>
    <x v="52"/>
    <x v="1"/>
    <x v="10"/>
    <x v="5"/>
    <x v="3"/>
    <n v="5"/>
    <n v="256.32"/>
    <n v="0.05"/>
    <n v="1217.52"/>
    <n v="965.87"/>
    <n v="251.65"/>
  </r>
  <r>
    <x v="243"/>
    <x v="184"/>
    <x v="1"/>
    <x v="10"/>
    <x v="10"/>
    <x v="0"/>
    <n v="2"/>
    <n v="475"/>
    <n v="0"/>
    <n v="950"/>
    <n v="594.57000000000005"/>
    <n v="355.43"/>
  </r>
  <r>
    <x v="244"/>
    <x v="138"/>
    <x v="0"/>
    <x v="1"/>
    <x v="4"/>
    <x v="1"/>
    <n v="6"/>
    <n v="39.729999999999997"/>
    <n v="0.02"/>
    <n v="233.61"/>
    <n v="184.64"/>
    <n v="48.97"/>
  </r>
  <r>
    <x v="245"/>
    <x v="185"/>
    <x v="3"/>
    <x v="7"/>
    <x v="1"/>
    <x v="1"/>
    <n v="2"/>
    <n v="44.4"/>
    <n v="0.1"/>
    <n v="79.92"/>
    <n v="57.34"/>
    <n v="22.58"/>
  </r>
  <r>
    <x v="246"/>
    <x v="76"/>
    <x v="1"/>
    <x v="11"/>
    <x v="4"/>
    <x v="1"/>
    <n v="1"/>
    <n v="32.659999999999997"/>
    <n v="0.05"/>
    <n v="31.03"/>
    <n v="18.64"/>
    <n v="12.39"/>
  </r>
  <r>
    <x v="247"/>
    <x v="107"/>
    <x v="3"/>
    <x v="6"/>
    <x v="10"/>
    <x v="0"/>
    <n v="10"/>
    <n v="544.01"/>
    <n v="0.15"/>
    <n v="4624.09"/>
    <n v="2984.41"/>
    <n v="1639.68"/>
  </r>
  <r>
    <x v="248"/>
    <x v="6"/>
    <x v="1"/>
    <x v="11"/>
    <x v="3"/>
    <x v="0"/>
    <n v="2"/>
    <n v="225.52"/>
    <n v="0.05"/>
    <n v="428.49"/>
    <n v="244.66"/>
    <n v="183.83"/>
  </r>
  <r>
    <x v="249"/>
    <x v="186"/>
    <x v="0"/>
    <x v="5"/>
    <x v="8"/>
    <x v="3"/>
    <n v="10"/>
    <n v="205.62"/>
    <n v="0.02"/>
    <n v="2015.08"/>
    <n v="1644.86"/>
    <n v="370.22"/>
  </r>
  <r>
    <x v="250"/>
    <x v="19"/>
    <x v="0"/>
    <x v="0"/>
    <x v="7"/>
    <x v="2"/>
    <n v="5"/>
    <n v="12.71"/>
    <n v="0"/>
    <n v="63.55"/>
    <n v="44.15"/>
    <n v="19.399999999999999"/>
  </r>
  <r>
    <x v="251"/>
    <x v="137"/>
    <x v="1"/>
    <x v="6"/>
    <x v="5"/>
    <x v="3"/>
    <n v="6"/>
    <n v="235.71"/>
    <n v="0"/>
    <n v="1414.26"/>
    <n v="1088.5899999999999"/>
    <n v="325.67"/>
  </r>
  <r>
    <x v="252"/>
    <x v="159"/>
    <x v="1"/>
    <x v="11"/>
    <x v="10"/>
    <x v="0"/>
    <n v="3"/>
    <n v="580.48"/>
    <n v="0.2"/>
    <n v="1393.15"/>
    <n v="827.4"/>
    <n v="565.75"/>
  </r>
  <r>
    <x v="253"/>
    <x v="187"/>
    <x v="0"/>
    <x v="5"/>
    <x v="4"/>
    <x v="1"/>
    <n v="9"/>
    <n v="39.31"/>
    <n v="0.02"/>
    <n v="346.71"/>
    <n v="267.69"/>
    <n v="79.02"/>
  </r>
  <r>
    <x v="254"/>
    <x v="188"/>
    <x v="1"/>
    <x v="2"/>
    <x v="5"/>
    <x v="3"/>
    <n v="3"/>
    <n v="283.73"/>
    <n v="0.05"/>
    <n v="808.63"/>
    <n v="603.19000000000005"/>
    <n v="205.44"/>
  </r>
  <r>
    <x v="255"/>
    <x v="189"/>
    <x v="0"/>
    <x v="1"/>
    <x v="0"/>
    <x v="0"/>
    <n v="3"/>
    <n v="878.92"/>
    <n v="0.02"/>
    <n v="2584.02"/>
    <n v="1713.01"/>
    <n v="871.01"/>
  </r>
  <r>
    <x v="256"/>
    <x v="163"/>
    <x v="0"/>
    <x v="5"/>
    <x v="8"/>
    <x v="3"/>
    <n v="8"/>
    <n v="203.37"/>
    <n v="0.2"/>
    <n v="1301.57"/>
    <n v="1020.22"/>
    <n v="281.35000000000002"/>
  </r>
  <r>
    <x v="257"/>
    <x v="45"/>
    <x v="1"/>
    <x v="11"/>
    <x v="6"/>
    <x v="3"/>
    <n v="5"/>
    <n v="120.9"/>
    <n v="0.02"/>
    <n v="592.41"/>
    <n v="330.04"/>
    <n v="262.37"/>
  </r>
  <r>
    <x v="258"/>
    <x v="106"/>
    <x v="3"/>
    <x v="9"/>
    <x v="6"/>
    <x v="3"/>
    <n v="2"/>
    <n v="134.81"/>
    <n v="0.05"/>
    <n v="256.14"/>
    <n v="196.93"/>
    <n v="59.21"/>
  </r>
  <r>
    <x v="259"/>
    <x v="190"/>
    <x v="1"/>
    <x v="10"/>
    <x v="2"/>
    <x v="2"/>
    <n v="5"/>
    <n v="9.17"/>
    <n v="0"/>
    <n v="45.85"/>
    <n v="27.08"/>
    <n v="18.77"/>
  </r>
  <r>
    <x v="260"/>
    <x v="191"/>
    <x v="0"/>
    <x v="0"/>
    <x v="0"/>
    <x v="0"/>
    <n v="4"/>
    <n v="874"/>
    <n v="0.05"/>
    <n v="3321.2"/>
    <n v="2168.21"/>
    <n v="1152.99"/>
  </r>
  <r>
    <x v="261"/>
    <x v="192"/>
    <x v="3"/>
    <x v="6"/>
    <x v="8"/>
    <x v="3"/>
    <n v="6"/>
    <n v="205.38"/>
    <n v="0"/>
    <n v="1232.28"/>
    <n v="957.94"/>
    <n v="274.33999999999997"/>
  </r>
  <r>
    <x v="262"/>
    <x v="193"/>
    <x v="1"/>
    <x v="11"/>
    <x v="11"/>
    <x v="0"/>
    <n v="3"/>
    <n v="88.12"/>
    <n v="0.1"/>
    <n v="237.92"/>
    <n v="160.96"/>
    <n v="76.959999999999994"/>
  </r>
  <r>
    <x v="263"/>
    <x v="194"/>
    <x v="2"/>
    <x v="3"/>
    <x v="2"/>
    <x v="2"/>
    <n v="9"/>
    <n v="7.8"/>
    <n v="0.2"/>
    <n v="56.16"/>
    <n v="35.03"/>
    <n v="21.13"/>
  </r>
  <r>
    <x v="264"/>
    <x v="37"/>
    <x v="1"/>
    <x v="10"/>
    <x v="4"/>
    <x v="1"/>
    <n v="1"/>
    <n v="30.34"/>
    <n v="0.1"/>
    <n v="27.31"/>
    <n v="21.4"/>
    <n v="5.91"/>
  </r>
  <r>
    <x v="265"/>
    <x v="8"/>
    <x v="0"/>
    <x v="1"/>
    <x v="5"/>
    <x v="3"/>
    <n v="10"/>
    <n v="273.47000000000003"/>
    <n v="0.1"/>
    <n v="2461.23"/>
    <n v="2018.02"/>
    <n v="443.21"/>
  </r>
  <r>
    <x v="266"/>
    <x v="97"/>
    <x v="1"/>
    <x v="10"/>
    <x v="8"/>
    <x v="3"/>
    <n v="2"/>
    <n v="206.82"/>
    <n v="0.1"/>
    <n v="372.28"/>
    <n v="260.58"/>
    <n v="111.7"/>
  </r>
  <r>
    <x v="267"/>
    <x v="189"/>
    <x v="2"/>
    <x v="3"/>
    <x v="7"/>
    <x v="2"/>
    <n v="8"/>
    <n v="12.97"/>
    <n v="0.2"/>
    <n v="83.01"/>
    <n v="66.83"/>
    <n v="16.18"/>
  </r>
  <r>
    <x v="268"/>
    <x v="195"/>
    <x v="1"/>
    <x v="11"/>
    <x v="10"/>
    <x v="0"/>
    <n v="4"/>
    <n v="607.69000000000005"/>
    <n v="0.1"/>
    <n v="2187.6799999999998"/>
    <n v="1349.33"/>
    <n v="838.35"/>
  </r>
  <r>
    <x v="269"/>
    <x v="125"/>
    <x v="0"/>
    <x v="5"/>
    <x v="6"/>
    <x v="3"/>
    <n v="5"/>
    <n v="137.91999999999999"/>
    <n v="0.2"/>
    <n v="551.67999999999995"/>
    <n v="322.66000000000003"/>
    <n v="229.02"/>
  </r>
  <r>
    <x v="270"/>
    <x v="196"/>
    <x v="3"/>
    <x v="9"/>
    <x v="11"/>
    <x v="0"/>
    <n v="2"/>
    <n v="90.9"/>
    <n v="0.15"/>
    <n v="154.53"/>
    <n v="110.28"/>
    <n v="44.25"/>
  </r>
  <r>
    <x v="271"/>
    <x v="106"/>
    <x v="2"/>
    <x v="8"/>
    <x v="5"/>
    <x v="3"/>
    <n v="6"/>
    <n v="229.65"/>
    <n v="0.2"/>
    <n v="1102.32"/>
    <n v="806.19"/>
    <n v="296.13"/>
  </r>
  <r>
    <x v="272"/>
    <x v="197"/>
    <x v="2"/>
    <x v="4"/>
    <x v="10"/>
    <x v="0"/>
    <n v="3"/>
    <n v="569.49"/>
    <n v="0.05"/>
    <n v="1623.05"/>
    <n v="1049.6300000000001"/>
    <n v="573.41999999999996"/>
  </r>
  <r>
    <x v="273"/>
    <x v="198"/>
    <x v="2"/>
    <x v="8"/>
    <x v="1"/>
    <x v="1"/>
    <n v="2"/>
    <n v="39.78"/>
    <n v="0.02"/>
    <n v="77.97"/>
    <n v="57.02"/>
    <n v="20.95"/>
  </r>
  <r>
    <x v="274"/>
    <x v="199"/>
    <x v="1"/>
    <x v="11"/>
    <x v="7"/>
    <x v="2"/>
    <n v="10"/>
    <n v="12.07"/>
    <n v="0.1"/>
    <n v="108.63"/>
    <n v="82.4"/>
    <n v="26.23"/>
  </r>
  <r>
    <x v="275"/>
    <x v="177"/>
    <x v="3"/>
    <x v="7"/>
    <x v="1"/>
    <x v="1"/>
    <n v="6"/>
    <n v="45.27"/>
    <n v="0.02"/>
    <n v="266.19"/>
    <n v="207.65"/>
    <n v="58.54"/>
  </r>
  <r>
    <x v="276"/>
    <x v="200"/>
    <x v="1"/>
    <x v="3"/>
    <x v="9"/>
    <x v="2"/>
    <n v="5"/>
    <n v="162.49"/>
    <n v="0.05"/>
    <n v="771.83"/>
    <n v="541.4"/>
    <n v="230.43"/>
  </r>
  <r>
    <x v="277"/>
    <x v="201"/>
    <x v="3"/>
    <x v="7"/>
    <x v="2"/>
    <x v="2"/>
    <n v="2"/>
    <n v="8.9"/>
    <n v="0.05"/>
    <n v="16.91"/>
    <n v="11.14"/>
    <n v="5.77"/>
  </r>
  <r>
    <x v="278"/>
    <x v="34"/>
    <x v="0"/>
    <x v="0"/>
    <x v="0"/>
    <x v="0"/>
    <n v="6"/>
    <n v="756.67"/>
    <n v="0.05"/>
    <n v="4313.0200000000004"/>
    <n v="2405.6799999999998"/>
    <n v="1907.34"/>
  </r>
  <r>
    <x v="279"/>
    <x v="41"/>
    <x v="0"/>
    <x v="5"/>
    <x v="7"/>
    <x v="2"/>
    <n v="10"/>
    <n v="12.92"/>
    <n v="0.15"/>
    <n v="109.82"/>
    <n v="78.790000000000006"/>
    <n v="31.03"/>
  </r>
  <r>
    <x v="280"/>
    <x v="202"/>
    <x v="0"/>
    <x v="0"/>
    <x v="9"/>
    <x v="2"/>
    <n v="10"/>
    <n v="169.8"/>
    <n v="0.2"/>
    <n v="1358.4"/>
    <n v="825.23"/>
    <n v="533.16999999999996"/>
  </r>
  <r>
    <x v="281"/>
    <x v="150"/>
    <x v="1"/>
    <x v="2"/>
    <x v="2"/>
    <x v="2"/>
    <n v="3"/>
    <n v="7.13"/>
    <n v="0"/>
    <n v="21.39"/>
    <n v="11.85"/>
    <n v="9.5399999999999991"/>
  </r>
  <r>
    <x v="282"/>
    <x v="203"/>
    <x v="3"/>
    <x v="9"/>
    <x v="4"/>
    <x v="1"/>
    <n v="2"/>
    <n v="33.43"/>
    <n v="0.15"/>
    <n v="56.83"/>
    <n v="40.31"/>
    <n v="16.52"/>
  </r>
  <r>
    <x v="283"/>
    <x v="198"/>
    <x v="0"/>
    <x v="1"/>
    <x v="3"/>
    <x v="0"/>
    <n v="8"/>
    <n v="212.89"/>
    <n v="0.1"/>
    <n v="1532.81"/>
    <n v="1024.0999999999999"/>
    <n v="508.71"/>
  </r>
  <r>
    <x v="284"/>
    <x v="204"/>
    <x v="2"/>
    <x v="3"/>
    <x v="5"/>
    <x v="3"/>
    <n v="6"/>
    <n v="280.31"/>
    <n v="0.05"/>
    <n v="1597.77"/>
    <n v="1029.01"/>
    <n v="568.76"/>
  </r>
  <r>
    <x v="285"/>
    <x v="205"/>
    <x v="3"/>
    <x v="9"/>
    <x v="1"/>
    <x v="1"/>
    <n v="10"/>
    <n v="45.19"/>
    <n v="0"/>
    <n v="451.9"/>
    <n v="344.16"/>
    <n v="107.74"/>
  </r>
  <r>
    <x v="286"/>
    <x v="13"/>
    <x v="3"/>
    <x v="9"/>
    <x v="10"/>
    <x v="0"/>
    <n v="6"/>
    <n v="532.92999999999995"/>
    <n v="0"/>
    <n v="3197.58"/>
    <n v="2295.75"/>
    <n v="901.83"/>
  </r>
  <r>
    <x v="287"/>
    <x v="190"/>
    <x v="1"/>
    <x v="11"/>
    <x v="8"/>
    <x v="3"/>
    <n v="5"/>
    <n v="199.57"/>
    <n v="0.2"/>
    <n v="798.28"/>
    <n v="643.71"/>
    <n v="154.57"/>
  </r>
  <r>
    <x v="288"/>
    <x v="206"/>
    <x v="2"/>
    <x v="8"/>
    <x v="5"/>
    <x v="3"/>
    <n v="2"/>
    <n v="223.53"/>
    <n v="0.15"/>
    <n v="380"/>
    <n v="304.07"/>
    <n v="75.930000000000007"/>
  </r>
  <r>
    <x v="289"/>
    <x v="207"/>
    <x v="3"/>
    <x v="9"/>
    <x v="8"/>
    <x v="3"/>
    <n v="7"/>
    <n v="179.57"/>
    <n v="0.02"/>
    <n v="1231.8499999999999"/>
    <n v="763.41"/>
    <n v="468.44"/>
  </r>
  <r>
    <x v="290"/>
    <x v="36"/>
    <x v="0"/>
    <x v="1"/>
    <x v="8"/>
    <x v="3"/>
    <n v="9"/>
    <n v="177.79"/>
    <n v="0.1"/>
    <n v="1440.1"/>
    <n v="1173.1199999999999"/>
    <n v="266.98"/>
  </r>
  <r>
    <x v="291"/>
    <x v="208"/>
    <x v="2"/>
    <x v="8"/>
    <x v="1"/>
    <x v="1"/>
    <n v="9"/>
    <n v="44.9"/>
    <n v="0"/>
    <n v="404.1"/>
    <n v="258.12"/>
    <n v="145.97999999999999"/>
  </r>
  <r>
    <x v="292"/>
    <x v="209"/>
    <x v="1"/>
    <x v="2"/>
    <x v="2"/>
    <x v="2"/>
    <n v="6"/>
    <n v="8.32"/>
    <n v="0"/>
    <n v="49.92"/>
    <n v="30.69"/>
    <n v="19.23"/>
  </r>
  <r>
    <x v="293"/>
    <x v="210"/>
    <x v="2"/>
    <x v="4"/>
    <x v="3"/>
    <x v="0"/>
    <n v="6"/>
    <n v="192.01"/>
    <n v="0.1"/>
    <n v="1036.8499999999999"/>
    <n v="606.35"/>
    <n v="430.5"/>
  </r>
  <r>
    <x v="294"/>
    <x v="82"/>
    <x v="2"/>
    <x v="4"/>
    <x v="11"/>
    <x v="0"/>
    <n v="2"/>
    <n v="71.069999999999993"/>
    <n v="0.05"/>
    <n v="135.03"/>
    <n v="79.8"/>
    <n v="55.23"/>
  </r>
  <r>
    <x v="295"/>
    <x v="74"/>
    <x v="0"/>
    <x v="0"/>
    <x v="1"/>
    <x v="1"/>
    <n v="6"/>
    <n v="40.119999999999997"/>
    <n v="0.15"/>
    <n v="204.61"/>
    <n v="147.94"/>
    <n v="56.67"/>
  </r>
  <r>
    <x v="296"/>
    <x v="23"/>
    <x v="1"/>
    <x v="11"/>
    <x v="11"/>
    <x v="0"/>
    <n v="3"/>
    <n v="72.37"/>
    <n v="0.02"/>
    <n v="212.77"/>
    <n v="136.88"/>
    <n v="75.89"/>
  </r>
  <r>
    <x v="297"/>
    <x v="211"/>
    <x v="2"/>
    <x v="3"/>
    <x v="4"/>
    <x v="1"/>
    <n v="8"/>
    <n v="39.17"/>
    <n v="0"/>
    <n v="313.36"/>
    <n v="212.45"/>
    <n v="100.91"/>
  </r>
  <r>
    <x v="298"/>
    <x v="63"/>
    <x v="2"/>
    <x v="8"/>
    <x v="9"/>
    <x v="2"/>
    <n v="10"/>
    <n v="168.04"/>
    <n v="0.05"/>
    <n v="1596.38"/>
    <n v="952.28"/>
    <n v="644.1"/>
  </r>
  <r>
    <x v="299"/>
    <x v="212"/>
    <x v="2"/>
    <x v="3"/>
    <x v="2"/>
    <x v="2"/>
    <n v="4"/>
    <n v="7.26"/>
    <n v="0.05"/>
    <n v="27.59"/>
    <n v="15.48"/>
    <n v="12.11"/>
  </r>
  <r>
    <x v="300"/>
    <x v="84"/>
    <x v="3"/>
    <x v="7"/>
    <x v="1"/>
    <x v="1"/>
    <n v="10"/>
    <n v="40.53"/>
    <n v="0.1"/>
    <n v="364.77"/>
    <n v="228.06"/>
    <n v="136.71"/>
  </r>
  <r>
    <x v="301"/>
    <x v="133"/>
    <x v="1"/>
    <x v="10"/>
    <x v="2"/>
    <x v="2"/>
    <n v="9"/>
    <n v="7.22"/>
    <n v="0.1"/>
    <n v="58.48"/>
    <n v="33.56"/>
    <n v="24.92"/>
  </r>
  <r>
    <x v="302"/>
    <x v="33"/>
    <x v="2"/>
    <x v="3"/>
    <x v="8"/>
    <x v="3"/>
    <n v="1"/>
    <n v="159.51"/>
    <n v="0.2"/>
    <n v="127.61"/>
    <n v="86.06"/>
    <n v="41.55"/>
  </r>
  <r>
    <x v="303"/>
    <x v="213"/>
    <x v="0"/>
    <x v="5"/>
    <x v="4"/>
    <x v="1"/>
    <n v="9"/>
    <n v="31.92"/>
    <n v="0"/>
    <n v="287.27999999999997"/>
    <n v="186.26"/>
    <n v="101.02"/>
  </r>
  <r>
    <x v="304"/>
    <x v="99"/>
    <x v="2"/>
    <x v="4"/>
    <x v="8"/>
    <x v="3"/>
    <n v="8"/>
    <n v="180.18"/>
    <n v="0.15"/>
    <n v="1225.22"/>
    <n v="902.26"/>
    <n v="322.95999999999998"/>
  </r>
  <r>
    <x v="305"/>
    <x v="112"/>
    <x v="0"/>
    <x v="0"/>
    <x v="3"/>
    <x v="0"/>
    <n v="8"/>
    <n v="189.59"/>
    <n v="0.05"/>
    <n v="1440.88"/>
    <n v="1103.48"/>
    <n v="337.4"/>
  </r>
  <r>
    <x v="306"/>
    <x v="94"/>
    <x v="0"/>
    <x v="0"/>
    <x v="6"/>
    <x v="3"/>
    <n v="9"/>
    <n v="145.37"/>
    <n v="0.05"/>
    <n v="1242.9100000000001"/>
    <n v="711.04"/>
    <n v="531.87"/>
  </r>
  <r>
    <x v="307"/>
    <x v="71"/>
    <x v="0"/>
    <x v="5"/>
    <x v="5"/>
    <x v="3"/>
    <n v="4"/>
    <n v="278.02"/>
    <n v="0"/>
    <n v="1112.08"/>
    <n v="888.15"/>
    <n v="223.93"/>
  </r>
  <r>
    <x v="308"/>
    <x v="174"/>
    <x v="3"/>
    <x v="7"/>
    <x v="11"/>
    <x v="0"/>
    <n v="3"/>
    <n v="69.47"/>
    <n v="0"/>
    <n v="208.41"/>
    <n v="130.21"/>
    <n v="78.2"/>
  </r>
  <r>
    <x v="309"/>
    <x v="214"/>
    <x v="2"/>
    <x v="8"/>
    <x v="4"/>
    <x v="1"/>
    <n v="8"/>
    <n v="38.22"/>
    <n v="0.1"/>
    <n v="275.18"/>
    <n v="206.94"/>
    <n v="68.239999999999995"/>
  </r>
  <r>
    <x v="310"/>
    <x v="215"/>
    <x v="0"/>
    <x v="0"/>
    <x v="0"/>
    <x v="0"/>
    <n v="5"/>
    <n v="769.55"/>
    <n v="0.02"/>
    <n v="3770.8"/>
    <n v="2287.08"/>
    <n v="1483.72"/>
  </r>
  <r>
    <x v="311"/>
    <x v="183"/>
    <x v="1"/>
    <x v="2"/>
    <x v="10"/>
    <x v="0"/>
    <n v="5"/>
    <n v="528.63"/>
    <n v="0.02"/>
    <n v="2590.29"/>
    <n v="1763.52"/>
    <n v="826.77"/>
  </r>
  <r>
    <x v="312"/>
    <x v="147"/>
    <x v="0"/>
    <x v="1"/>
    <x v="3"/>
    <x v="0"/>
    <n v="7"/>
    <n v="227.8"/>
    <n v="0.2"/>
    <n v="1275.68"/>
    <n v="828.69"/>
    <n v="446.99"/>
  </r>
  <r>
    <x v="313"/>
    <x v="18"/>
    <x v="0"/>
    <x v="1"/>
    <x v="10"/>
    <x v="0"/>
    <n v="8"/>
    <n v="543.82000000000005"/>
    <n v="0.15"/>
    <n v="3697.98"/>
    <n v="2780.2"/>
    <n v="917.78"/>
  </r>
  <r>
    <x v="314"/>
    <x v="216"/>
    <x v="2"/>
    <x v="3"/>
    <x v="4"/>
    <x v="1"/>
    <n v="3"/>
    <n v="30.14"/>
    <n v="0.05"/>
    <n v="85.9"/>
    <n v="53.1"/>
    <n v="32.799999999999997"/>
  </r>
  <r>
    <x v="315"/>
    <x v="72"/>
    <x v="3"/>
    <x v="6"/>
    <x v="3"/>
    <x v="0"/>
    <n v="10"/>
    <n v="234.08"/>
    <n v="0.1"/>
    <n v="2106.7199999999998"/>
    <n v="1667.9"/>
    <n v="438.82"/>
  </r>
  <r>
    <x v="316"/>
    <x v="76"/>
    <x v="0"/>
    <x v="1"/>
    <x v="2"/>
    <x v="2"/>
    <n v="6"/>
    <n v="8.0299999999999994"/>
    <n v="0"/>
    <n v="48.18"/>
    <n v="33.42"/>
    <n v="14.76"/>
  </r>
  <r>
    <x v="317"/>
    <x v="217"/>
    <x v="0"/>
    <x v="1"/>
    <x v="6"/>
    <x v="3"/>
    <n v="8"/>
    <n v="123.5"/>
    <n v="0"/>
    <n v="988"/>
    <n v="662.75"/>
    <n v="325.25"/>
  </r>
  <r>
    <x v="318"/>
    <x v="218"/>
    <x v="3"/>
    <x v="6"/>
    <x v="8"/>
    <x v="3"/>
    <n v="1"/>
    <n v="181.76"/>
    <n v="0.05"/>
    <n v="172.67"/>
    <n v="106.27"/>
    <n v="66.400000000000006"/>
  </r>
  <r>
    <x v="319"/>
    <x v="70"/>
    <x v="2"/>
    <x v="8"/>
    <x v="4"/>
    <x v="1"/>
    <n v="2"/>
    <n v="32.58"/>
    <n v="0.15"/>
    <n v="55.39"/>
    <n v="36.11"/>
    <n v="19.28"/>
  </r>
  <r>
    <x v="320"/>
    <x v="219"/>
    <x v="2"/>
    <x v="3"/>
    <x v="0"/>
    <x v="0"/>
    <n v="6"/>
    <n v="727.62"/>
    <n v="0.15"/>
    <n v="3710.86"/>
    <n v="2363.67"/>
    <n v="1347.19"/>
  </r>
  <r>
    <x v="321"/>
    <x v="220"/>
    <x v="2"/>
    <x v="3"/>
    <x v="1"/>
    <x v="1"/>
    <n v="8"/>
    <n v="41.1"/>
    <n v="0.2"/>
    <n v="263.04000000000002"/>
    <n v="167.93"/>
    <n v="95.11"/>
  </r>
  <r>
    <x v="322"/>
    <x v="221"/>
    <x v="2"/>
    <x v="3"/>
    <x v="11"/>
    <x v="0"/>
    <n v="2"/>
    <n v="70.87"/>
    <n v="0.2"/>
    <n v="113.39"/>
    <n v="89.63"/>
    <n v="23.76"/>
  </r>
  <r>
    <x v="323"/>
    <x v="222"/>
    <x v="3"/>
    <x v="6"/>
    <x v="3"/>
    <x v="0"/>
    <n v="1"/>
    <n v="226.18"/>
    <n v="0.02"/>
    <n v="221.66"/>
    <n v="162.56"/>
    <n v="59.1"/>
  </r>
  <r>
    <x v="324"/>
    <x v="223"/>
    <x v="3"/>
    <x v="7"/>
    <x v="2"/>
    <x v="2"/>
    <n v="7"/>
    <n v="8.69"/>
    <n v="0.15"/>
    <n v="51.71"/>
    <n v="35.4"/>
    <n v="16.309999999999999"/>
  </r>
  <r>
    <x v="325"/>
    <x v="224"/>
    <x v="0"/>
    <x v="5"/>
    <x v="1"/>
    <x v="1"/>
    <n v="4"/>
    <n v="39.42"/>
    <n v="0.05"/>
    <n v="149.80000000000001"/>
    <n v="104.11"/>
    <n v="45.69"/>
  </r>
  <r>
    <x v="326"/>
    <x v="225"/>
    <x v="3"/>
    <x v="7"/>
    <x v="8"/>
    <x v="3"/>
    <n v="2"/>
    <n v="184.69"/>
    <n v="0.05"/>
    <n v="350.91"/>
    <n v="263.63"/>
    <n v="87.28"/>
  </r>
  <r>
    <x v="327"/>
    <x v="20"/>
    <x v="1"/>
    <x v="2"/>
    <x v="6"/>
    <x v="3"/>
    <n v="6"/>
    <n v="137.13"/>
    <n v="0.02"/>
    <n v="806.32"/>
    <n v="471.25"/>
    <n v="335.07"/>
  </r>
  <r>
    <x v="328"/>
    <x v="153"/>
    <x v="1"/>
    <x v="10"/>
    <x v="5"/>
    <x v="3"/>
    <n v="9"/>
    <n v="233.78"/>
    <n v="0.05"/>
    <n v="1998.82"/>
    <n v="1295.3"/>
    <n v="703.52"/>
  </r>
  <r>
    <x v="329"/>
    <x v="118"/>
    <x v="0"/>
    <x v="1"/>
    <x v="6"/>
    <x v="3"/>
    <n v="10"/>
    <n v="146.13"/>
    <n v="0.02"/>
    <n v="1432.07"/>
    <n v="1008.34"/>
    <n v="423.73"/>
  </r>
  <r>
    <x v="330"/>
    <x v="156"/>
    <x v="3"/>
    <x v="9"/>
    <x v="10"/>
    <x v="0"/>
    <n v="2"/>
    <n v="526.26"/>
    <n v="0.05"/>
    <n v="999.89"/>
    <n v="816.27"/>
    <n v="183.62"/>
  </r>
  <r>
    <x v="331"/>
    <x v="226"/>
    <x v="3"/>
    <x v="7"/>
    <x v="9"/>
    <x v="2"/>
    <n v="10"/>
    <n v="165.08"/>
    <n v="0.2"/>
    <n v="1320.64"/>
    <n v="810.94"/>
    <n v="509.7"/>
  </r>
  <r>
    <x v="332"/>
    <x v="227"/>
    <x v="1"/>
    <x v="11"/>
    <x v="5"/>
    <x v="3"/>
    <n v="8"/>
    <n v="220.13"/>
    <n v="0"/>
    <n v="1761.04"/>
    <n v="1041.25"/>
    <n v="719.79"/>
  </r>
  <r>
    <x v="333"/>
    <x v="95"/>
    <x v="1"/>
    <x v="11"/>
    <x v="4"/>
    <x v="3"/>
    <n v="1"/>
    <n v="166.28"/>
    <n v="0"/>
    <n v="166.28"/>
    <n v="98.67"/>
    <n v="67.61"/>
  </r>
  <r>
    <x v="334"/>
    <x v="228"/>
    <x v="1"/>
    <x v="11"/>
    <x v="5"/>
    <x v="3"/>
    <n v="9"/>
    <n v="226.49"/>
    <n v="0.2"/>
    <n v="1630.73"/>
    <n v="1022.43"/>
    <n v="608.29999999999995"/>
  </r>
  <r>
    <x v="335"/>
    <x v="148"/>
    <x v="0"/>
    <x v="5"/>
    <x v="11"/>
    <x v="0"/>
    <n v="10"/>
    <n v="72.16"/>
    <n v="0.2"/>
    <n v="577.28"/>
    <n v="457.28"/>
    <n v="120"/>
  </r>
  <r>
    <x v="336"/>
    <x v="229"/>
    <x v="2"/>
    <x v="3"/>
    <x v="10"/>
    <x v="0"/>
    <n v="4"/>
    <n v="480.74"/>
    <n v="0.2"/>
    <n v="1538.37"/>
    <n v="1063.96"/>
    <n v="474.41"/>
  </r>
  <r>
    <x v="337"/>
    <x v="145"/>
    <x v="1"/>
    <x v="10"/>
    <x v="7"/>
    <x v="2"/>
    <n v="1"/>
    <n v="11.68"/>
    <n v="0.15"/>
    <n v="9.93"/>
    <n v="8.1"/>
    <n v="1.83"/>
  </r>
  <r>
    <x v="338"/>
    <x v="190"/>
    <x v="1"/>
    <x v="10"/>
    <x v="5"/>
    <x v="3"/>
    <n v="6"/>
    <n v="220.9"/>
    <n v="0.1"/>
    <n v="1192.8599999999999"/>
    <n v="784.21"/>
    <n v="408.65"/>
  </r>
  <r>
    <x v="339"/>
    <x v="123"/>
    <x v="2"/>
    <x v="3"/>
    <x v="2"/>
    <x v="2"/>
    <n v="6"/>
    <n v="9.1300000000000008"/>
    <n v="0.1"/>
    <n v="49.3"/>
    <n v="38.64"/>
    <n v="10.66"/>
  </r>
  <r>
    <x v="340"/>
    <x v="230"/>
    <x v="3"/>
    <x v="9"/>
    <x v="3"/>
    <x v="0"/>
    <n v="2"/>
    <n v="240.93"/>
    <n v="0"/>
    <n v="481.86"/>
    <n v="298.58"/>
    <n v="183.28"/>
  </r>
  <r>
    <x v="341"/>
    <x v="231"/>
    <x v="1"/>
    <x v="10"/>
    <x v="2"/>
    <x v="2"/>
    <n v="7"/>
    <n v="7.21"/>
    <n v="0.15"/>
    <n v="42.9"/>
    <n v="31.34"/>
    <n v="11.56"/>
  </r>
  <r>
    <x v="342"/>
    <x v="232"/>
    <x v="3"/>
    <x v="9"/>
    <x v="4"/>
    <x v="1"/>
    <n v="8"/>
    <n v="39.51"/>
    <n v="0.02"/>
    <n v="309.76"/>
    <n v="216.93"/>
    <n v="92.83"/>
  </r>
  <r>
    <x v="343"/>
    <x v="233"/>
    <x v="1"/>
    <x v="10"/>
    <x v="3"/>
    <x v="0"/>
    <n v="2"/>
    <n v="224.73"/>
    <n v="0.02"/>
    <n v="440.47"/>
    <n v="275.56"/>
    <n v="164.91"/>
  </r>
  <r>
    <x v="344"/>
    <x v="34"/>
    <x v="2"/>
    <x v="8"/>
    <x v="4"/>
    <x v="1"/>
    <n v="8"/>
    <n v="37.83"/>
    <n v="0"/>
    <n v="302.64"/>
    <n v="181.74"/>
    <n v="120.9"/>
  </r>
  <r>
    <x v="345"/>
    <x v="234"/>
    <x v="3"/>
    <x v="9"/>
    <x v="4"/>
    <x v="1"/>
    <n v="2"/>
    <n v="33.15"/>
    <n v="0.15"/>
    <n v="56.35"/>
    <n v="37.47"/>
    <n v="18.88"/>
  </r>
  <r>
    <x v="346"/>
    <x v="235"/>
    <x v="3"/>
    <x v="9"/>
    <x v="11"/>
    <x v="0"/>
    <n v="3"/>
    <n v="80.180000000000007"/>
    <n v="0.05"/>
    <n v="228.51"/>
    <n v="140.63999999999999"/>
    <n v="87.87"/>
  </r>
  <r>
    <x v="347"/>
    <x v="103"/>
    <x v="0"/>
    <x v="5"/>
    <x v="3"/>
    <x v="0"/>
    <n v="3"/>
    <n v="194.58"/>
    <n v="0.02"/>
    <n v="572.07000000000005"/>
    <n v="408.95"/>
    <n v="163.12"/>
  </r>
  <r>
    <x v="348"/>
    <x v="98"/>
    <x v="3"/>
    <x v="7"/>
    <x v="2"/>
    <x v="2"/>
    <n v="10"/>
    <n v="7.49"/>
    <n v="0.05"/>
    <n v="71.16"/>
    <n v="50.31"/>
    <n v="20.85"/>
  </r>
  <r>
    <x v="349"/>
    <x v="62"/>
    <x v="2"/>
    <x v="3"/>
    <x v="7"/>
    <x v="2"/>
    <n v="2"/>
    <n v="10.76"/>
    <n v="0"/>
    <n v="21.52"/>
    <n v="14.63"/>
    <n v="6.89"/>
  </r>
  <r>
    <x v="350"/>
    <x v="236"/>
    <x v="1"/>
    <x v="11"/>
    <x v="2"/>
    <x v="2"/>
    <n v="7"/>
    <n v="8.08"/>
    <n v="0.1"/>
    <n v="50.9"/>
    <n v="28.71"/>
    <n v="22.19"/>
  </r>
  <r>
    <x v="351"/>
    <x v="237"/>
    <x v="2"/>
    <x v="3"/>
    <x v="5"/>
    <x v="3"/>
    <n v="2"/>
    <n v="237.75"/>
    <n v="0.1"/>
    <n v="427.95"/>
    <n v="250.9"/>
    <n v="177.05"/>
  </r>
  <r>
    <x v="352"/>
    <x v="22"/>
    <x v="3"/>
    <x v="9"/>
    <x v="11"/>
    <x v="0"/>
    <n v="9"/>
    <n v="69.52"/>
    <n v="0.2"/>
    <n v="500.54"/>
    <n v="409.09"/>
    <n v="91.45"/>
  </r>
  <r>
    <x v="353"/>
    <x v="238"/>
    <x v="2"/>
    <x v="4"/>
    <x v="6"/>
    <x v="3"/>
    <n v="9"/>
    <n v="132.54"/>
    <n v="0"/>
    <n v="1192.8599999999999"/>
    <n v="916.91"/>
    <n v="275.95"/>
  </r>
  <r>
    <x v="354"/>
    <x v="239"/>
    <x v="2"/>
    <x v="3"/>
    <x v="8"/>
    <x v="3"/>
    <n v="3"/>
    <n v="166.75"/>
    <n v="0.02"/>
    <n v="490.25"/>
    <n v="359.85"/>
    <n v="130.4"/>
  </r>
  <r>
    <x v="355"/>
    <x v="240"/>
    <x v="2"/>
    <x v="4"/>
    <x v="5"/>
    <x v="3"/>
    <n v="9"/>
    <n v="269.52"/>
    <n v="0.05"/>
    <n v="2304.4"/>
    <n v="1638.02"/>
    <n v="666.38"/>
  </r>
  <r>
    <x v="356"/>
    <x v="59"/>
    <x v="2"/>
    <x v="4"/>
    <x v="1"/>
    <x v="1"/>
    <n v="9"/>
    <n v="44.62"/>
    <n v="0.05"/>
    <n v="381.5"/>
    <n v="252.25"/>
    <n v="129.25"/>
  </r>
  <r>
    <x v="357"/>
    <x v="26"/>
    <x v="3"/>
    <x v="9"/>
    <x v="7"/>
    <x v="2"/>
    <n v="9"/>
    <n v="11.46"/>
    <n v="0"/>
    <n v="103.14"/>
    <n v="82.61"/>
    <n v="20.53"/>
  </r>
  <r>
    <x v="358"/>
    <x v="241"/>
    <x v="2"/>
    <x v="4"/>
    <x v="7"/>
    <x v="2"/>
    <n v="10"/>
    <n v="13.19"/>
    <n v="0.02"/>
    <n v="129.26"/>
    <n v="104.77"/>
    <n v="24.49"/>
  </r>
  <r>
    <x v="359"/>
    <x v="31"/>
    <x v="3"/>
    <x v="6"/>
    <x v="7"/>
    <x v="2"/>
    <n v="1"/>
    <n v="10.65"/>
    <n v="0"/>
    <n v="10.65"/>
    <n v="7.96"/>
    <n v="2.69"/>
  </r>
  <r>
    <x v="360"/>
    <x v="10"/>
    <x v="3"/>
    <x v="7"/>
    <x v="1"/>
    <x v="1"/>
    <n v="4"/>
    <n v="50.92"/>
    <n v="0.15"/>
    <n v="173.13"/>
    <n v="103.69"/>
    <n v="69.44"/>
  </r>
  <r>
    <x v="361"/>
    <x v="128"/>
    <x v="0"/>
    <x v="1"/>
    <x v="9"/>
    <x v="2"/>
    <n v="9"/>
    <n v="139.19"/>
    <n v="5.000359221208428E-2"/>
    <n v="1190.07"/>
    <n v="892.67"/>
    <n v="297.39999999999998"/>
  </r>
  <r>
    <x v="362"/>
    <x v="77"/>
    <x v="1"/>
    <x v="2"/>
    <x v="3"/>
    <x v="0"/>
    <n v="7"/>
    <n v="224.92"/>
    <n v="0.05"/>
    <n v="1495.72"/>
    <n v="1162.6099999999999"/>
    <n v="333.11"/>
  </r>
  <r>
    <x v="363"/>
    <x v="237"/>
    <x v="0"/>
    <x v="5"/>
    <x v="11"/>
    <x v="0"/>
    <n v="8"/>
    <n v="71.349999999999994"/>
    <n v="0.1"/>
    <n v="513.72"/>
    <n v="392.85"/>
    <n v="120.87"/>
  </r>
  <r>
    <x v="364"/>
    <x v="242"/>
    <x v="2"/>
    <x v="3"/>
    <x v="5"/>
    <x v="3"/>
    <n v="10"/>
    <n v="227.62"/>
    <n v="0.02"/>
    <n v="2230.6799999999998"/>
    <n v="1325.44"/>
    <n v="905.24"/>
  </r>
  <r>
    <x v="365"/>
    <x v="234"/>
    <x v="3"/>
    <x v="9"/>
    <x v="6"/>
    <x v="3"/>
    <n v="3"/>
    <n v="125.9"/>
    <n v="0.05"/>
    <n v="358.82"/>
    <n v="276.27"/>
    <n v="82.55"/>
  </r>
  <r>
    <x v="366"/>
    <x v="19"/>
    <x v="0"/>
    <x v="0"/>
    <x v="5"/>
    <x v="3"/>
    <n v="4"/>
    <n v="262.39"/>
    <n v="0.1"/>
    <n v="944.6"/>
    <n v="652.92999999999995"/>
    <n v="291.67"/>
  </r>
  <r>
    <x v="367"/>
    <x v="146"/>
    <x v="1"/>
    <x v="10"/>
    <x v="3"/>
    <x v="0"/>
    <n v="3"/>
    <n v="210.68"/>
    <n v="0"/>
    <n v="632.04"/>
    <n v="497.32"/>
    <n v="134.72"/>
  </r>
  <r>
    <x v="368"/>
    <x v="235"/>
    <x v="1"/>
    <x v="10"/>
    <x v="7"/>
    <x v="2"/>
    <n v="7"/>
    <n v="11.61"/>
    <n v="0.02"/>
    <n v="79.64"/>
    <n v="61.36"/>
    <n v="18.28"/>
  </r>
  <r>
    <x v="369"/>
    <x v="171"/>
    <x v="3"/>
    <x v="9"/>
    <x v="3"/>
    <x v="0"/>
    <n v="3"/>
    <n v="215.98"/>
    <n v="0.1"/>
    <n v="583.15"/>
    <n v="380.08"/>
    <n v="203.07"/>
  </r>
  <r>
    <x v="370"/>
    <x v="243"/>
    <x v="1"/>
    <x v="10"/>
    <x v="8"/>
    <x v="3"/>
    <n v="8"/>
    <n v="177.98"/>
    <n v="0"/>
    <n v="1423.84"/>
    <n v="898.97"/>
    <n v="524.87"/>
  </r>
  <r>
    <x v="371"/>
    <x v="244"/>
    <x v="1"/>
    <x v="2"/>
    <x v="3"/>
    <x v="0"/>
    <n v="4"/>
    <n v="236.34"/>
    <n v="0.15"/>
    <n v="803.56"/>
    <n v="551.03"/>
    <n v="252.53"/>
  </r>
  <r>
    <x v="372"/>
    <x v="225"/>
    <x v="0"/>
    <x v="1"/>
    <x v="8"/>
    <x v="3"/>
    <n v="8"/>
    <n v="165.54"/>
    <n v="0.15"/>
    <n v="1125.67"/>
    <n v="892.53"/>
    <n v="233.14"/>
  </r>
  <r>
    <x v="373"/>
    <x v="170"/>
    <x v="1"/>
    <x v="10"/>
    <x v="8"/>
    <x v="3"/>
    <n v="9"/>
    <n v="173.73"/>
    <n v="0"/>
    <n v="1563.57"/>
    <n v="1089.43"/>
    <n v="474.14"/>
  </r>
  <r>
    <x v="374"/>
    <x v="245"/>
    <x v="2"/>
    <x v="3"/>
    <x v="8"/>
    <x v="3"/>
    <n v="6"/>
    <n v="201.95"/>
    <n v="0.1"/>
    <n v="1090.53"/>
    <n v="783.59"/>
    <n v="306.94"/>
  </r>
  <r>
    <x v="375"/>
    <x v="10"/>
    <x v="1"/>
    <x v="10"/>
    <x v="0"/>
    <x v="0"/>
    <n v="10"/>
    <n v="752.31"/>
    <n v="0.15"/>
    <n v="6394.63"/>
    <n v="5139.71"/>
    <n v="1254.92"/>
  </r>
  <r>
    <x v="376"/>
    <x v="145"/>
    <x v="3"/>
    <x v="7"/>
    <x v="10"/>
    <x v="0"/>
    <n v="7"/>
    <n v="571.07000000000005"/>
    <n v="0.15"/>
    <n v="3397.87"/>
    <n v="2176.08"/>
    <n v="1221.79"/>
  </r>
  <r>
    <x v="377"/>
    <x v="246"/>
    <x v="3"/>
    <x v="6"/>
    <x v="7"/>
    <x v="2"/>
    <n v="10"/>
    <n v="10.7"/>
    <n v="0"/>
    <n v="107"/>
    <n v="81.790000000000006"/>
    <n v="25.21"/>
  </r>
  <r>
    <x v="378"/>
    <x v="7"/>
    <x v="1"/>
    <x v="2"/>
    <x v="5"/>
    <x v="3"/>
    <n v="6"/>
    <n v="259.01"/>
    <n v="0.15"/>
    <n v="1320.95"/>
    <n v="916.78"/>
    <n v="404.17"/>
  </r>
  <r>
    <x v="379"/>
    <x v="159"/>
    <x v="2"/>
    <x v="8"/>
    <x v="7"/>
    <x v="2"/>
    <n v="9"/>
    <n v="13.42"/>
    <n v="0.1"/>
    <n v="108.7"/>
    <n v="82.93"/>
    <n v="25.77"/>
  </r>
  <r>
    <x v="380"/>
    <x v="165"/>
    <x v="0"/>
    <x v="5"/>
    <x v="0"/>
    <x v="0"/>
    <n v="3"/>
    <n v="761.18"/>
    <n v="0.2"/>
    <n v="1826.83"/>
    <n v="1158.51"/>
    <n v="668.32"/>
  </r>
  <r>
    <x v="381"/>
    <x v="104"/>
    <x v="1"/>
    <x v="10"/>
    <x v="11"/>
    <x v="0"/>
    <n v="10"/>
    <n v="73.959999999999994"/>
    <n v="0.15"/>
    <n v="628.66"/>
    <n v="472.04"/>
    <n v="156.62"/>
  </r>
  <r>
    <x v="382"/>
    <x v="171"/>
    <x v="3"/>
    <x v="9"/>
    <x v="11"/>
    <x v="0"/>
    <n v="7"/>
    <n v="68.8"/>
    <n v="0.15"/>
    <n v="409.36"/>
    <n v="288.14"/>
    <n v="121.22"/>
  </r>
  <r>
    <x v="383"/>
    <x v="247"/>
    <x v="3"/>
    <x v="7"/>
    <x v="2"/>
    <x v="2"/>
    <n v="9"/>
    <n v="8.6300000000000008"/>
    <n v="0.15"/>
    <n v="66.02"/>
    <n v="51.94"/>
    <n v="14.08"/>
  </r>
  <r>
    <x v="384"/>
    <x v="36"/>
    <x v="3"/>
    <x v="7"/>
    <x v="9"/>
    <x v="2"/>
    <n v="1"/>
    <n v="152.41999999999999"/>
    <n v="0.05"/>
    <n v="144.80000000000001"/>
    <n v="111.75"/>
    <n v="33.049999999999997"/>
  </r>
  <r>
    <x v="385"/>
    <x v="170"/>
    <x v="0"/>
    <x v="1"/>
    <x v="6"/>
    <x v="3"/>
    <n v="10"/>
    <n v="123.65"/>
    <n v="0.05"/>
    <n v="1174.67"/>
    <n v="914.53"/>
    <n v="260.14"/>
  </r>
  <r>
    <x v="386"/>
    <x v="15"/>
    <x v="0"/>
    <x v="1"/>
    <x v="7"/>
    <x v="2"/>
    <n v="8"/>
    <n v="10.66"/>
    <n v="0.05"/>
    <n v="81.02"/>
    <n v="53.25"/>
    <n v="27.77"/>
  </r>
  <r>
    <x v="387"/>
    <x v="50"/>
    <x v="2"/>
    <x v="3"/>
    <x v="4"/>
    <x v="1"/>
    <n v="1"/>
    <n v="38.119999999999997"/>
    <n v="0.15"/>
    <n v="32.4"/>
    <n v="19.13"/>
    <n v="13.27"/>
  </r>
  <r>
    <x v="388"/>
    <x v="248"/>
    <x v="1"/>
    <x v="11"/>
    <x v="11"/>
    <x v="0"/>
    <n v="4"/>
    <n v="73.5"/>
    <n v="0"/>
    <n v="294"/>
    <n v="219.03"/>
    <n v="74.97"/>
  </r>
  <r>
    <x v="389"/>
    <x v="172"/>
    <x v="0"/>
    <x v="5"/>
    <x v="3"/>
    <x v="0"/>
    <n v="1"/>
    <n v="234.52"/>
    <n v="0.1"/>
    <n v="211.07"/>
    <n v="152.63"/>
    <n v="58.44"/>
  </r>
  <r>
    <x v="390"/>
    <x v="188"/>
    <x v="2"/>
    <x v="8"/>
    <x v="6"/>
    <x v="3"/>
    <n v="4"/>
    <n v="148.15"/>
    <n v="0.1"/>
    <n v="533.34"/>
    <n v="371.49"/>
    <n v="161.85"/>
  </r>
  <r>
    <x v="391"/>
    <x v="55"/>
    <x v="1"/>
    <x v="10"/>
    <x v="4"/>
    <x v="1"/>
    <n v="1"/>
    <n v="32.39"/>
    <n v="0.2"/>
    <n v="25.91"/>
    <n v="16.670000000000002"/>
    <n v="9.24"/>
  </r>
  <r>
    <x v="392"/>
    <x v="239"/>
    <x v="2"/>
    <x v="3"/>
    <x v="2"/>
    <x v="2"/>
    <n v="6"/>
    <n v="7.24"/>
    <n v="0.2"/>
    <n v="34.75"/>
    <n v="27.64"/>
    <n v="7.11"/>
  </r>
  <r>
    <x v="393"/>
    <x v="249"/>
    <x v="1"/>
    <x v="11"/>
    <x v="5"/>
    <x v="3"/>
    <n v="3"/>
    <n v="256.25"/>
    <n v="0.1"/>
    <n v="691.88"/>
    <n v="455.42"/>
    <n v="236.46"/>
  </r>
  <r>
    <x v="394"/>
    <x v="58"/>
    <x v="3"/>
    <x v="7"/>
    <x v="1"/>
    <x v="1"/>
    <n v="5"/>
    <n v="44.49"/>
    <n v="0.15"/>
    <n v="189.08"/>
    <n v="152.35"/>
    <n v="36.729999999999997"/>
  </r>
  <r>
    <x v="395"/>
    <x v="250"/>
    <x v="2"/>
    <x v="4"/>
    <x v="8"/>
    <x v="3"/>
    <n v="9"/>
    <n v="161.28"/>
    <n v="0.05"/>
    <n v="1378.94"/>
    <n v="976.68"/>
    <n v="402.26"/>
  </r>
  <r>
    <x v="396"/>
    <x v="129"/>
    <x v="3"/>
    <x v="9"/>
    <x v="4"/>
    <x v="1"/>
    <n v="4"/>
    <n v="35.06"/>
    <n v="0.2"/>
    <n v="112.19"/>
    <n v="80.23"/>
    <n v="31.96"/>
  </r>
  <r>
    <x v="397"/>
    <x v="110"/>
    <x v="3"/>
    <x v="9"/>
    <x v="9"/>
    <x v="2"/>
    <n v="6"/>
    <n v="136.87"/>
    <n v="0.15"/>
    <n v="698.04"/>
    <n v="548.29"/>
    <n v="149.75"/>
  </r>
  <r>
    <x v="398"/>
    <x v="90"/>
    <x v="3"/>
    <x v="9"/>
    <x v="10"/>
    <x v="0"/>
    <n v="10"/>
    <n v="621.29999999999995"/>
    <n v="0.2"/>
    <n v="4970.3999999999996"/>
    <n v="3492.13"/>
    <n v="1478.27"/>
  </r>
  <r>
    <x v="399"/>
    <x v="11"/>
    <x v="1"/>
    <x v="10"/>
    <x v="5"/>
    <x v="3"/>
    <n v="3"/>
    <n v="264.75"/>
    <n v="0.05"/>
    <n v="754.54"/>
    <n v="602.92999999999995"/>
    <n v="151.61000000000001"/>
  </r>
  <r>
    <x v="400"/>
    <x v="251"/>
    <x v="0"/>
    <x v="5"/>
    <x v="5"/>
    <x v="3"/>
    <n v="8"/>
    <n v="265.54000000000002"/>
    <n v="0.2"/>
    <n v="1699.46"/>
    <n v="1004.7"/>
    <n v="694.76"/>
  </r>
  <r>
    <x v="401"/>
    <x v="252"/>
    <x v="2"/>
    <x v="8"/>
    <x v="3"/>
    <x v="0"/>
    <n v="9"/>
    <n v="225.04"/>
    <n v="0.05"/>
    <n v="1924.09"/>
    <n v="1373.44"/>
    <n v="550.65"/>
  </r>
  <r>
    <x v="402"/>
    <x v="75"/>
    <x v="3"/>
    <x v="2"/>
    <x v="11"/>
    <x v="0"/>
    <n v="2"/>
    <n v="78.180000000000007"/>
    <n v="0.15"/>
    <n v="132.91"/>
    <n v="99.53"/>
    <n v="33.380000000000003"/>
  </r>
  <r>
    <x v="403"/>
    <x v="253"/>
    <x v="2"/>
    <x v="8"/>
    <x v="3"/>
    <x v="0"/>
    <n v="1"/>
    <n v="248.67"/>
    <n v="0.2"/>
    <n v="198.94"/>
    <n v="159.13"/>
    <n v="39.81"/>
  </r>
  <r>
    <x v="404"/>
    <x v="82"/>
    <x v="2"/>
    <x v="3"/>
    <x v="0"/>
    <x v="0"/>
    <n v="2"/>
    <n v="837.46"/>
    <n v="0.1"/>
    <n v="1507.43"/>
    <n v="875.18"/>
    <n v="632.25"/>
  </r>
  <r>
    <x v="405"/>
    <x v="214"/>
    <x v="0"/>
    <x v="1"/>
    <x v="1"/>
    <x v="1"/>
    <n v="3"/>
    <n v="51.55"/>
    <n v="0"/>
    <n v="154.65"/>
    <n v="120.09"/>
    <n v="34.56"/>
  </r>
  <r>
    <x v="406"/>
    <x v="132"/>
    <x v="1"/>
    <x v="11"/>
    <x v="1"/>
    <x v="1"/>
    <n v="8"/>
    <n v="39.93"/>
    <n v="0.1"/>
    <n v="287.5"/>
    <n v="229.61"/>
    <n v="57.89"/>
  </r>
  <r>
    <x v="407"/>
    <x v="33"/>
    <x v="3"/>
    <x v="6"/>
    <x v="5"/>
    <x v="3"/>
    <n v="5"/>
    <n v="277.74"/>
    <n v="0.2"/>
    <n v="1110.96"/>
    <n v="766.66"/>
    <n v="344.3"/>
  </r>
  <r>
    <x v="408"/>
    <x v="195"/>
    <x v="2"/>
    <x v="3"/>
    <x v="2"/>
    <x v="2"/>
    <n v="1"/>
    <n v="8.2200000000000006"/>
    <n v="0.02"/>
    <n v="8.06"/>
    <n v="5.3"/>
    <n v="2.76"/>
  </r>
  <r>
    <x v="409"/>
    <x v="254"/>
    <x v="0"/>
    <x v="1"/>
    <x v="6"/>
    <x v="3"/>
    <n v="8"/>
    <n v="121.3"/>
    <n v="0.02"/>
    <n v="950.99"/>
    <n v="609.11"/>
    <n v="341.88"/>
  </r>
  <r>
    <x v="410"/>
    <x v="235"/>
    <x v="0"/>
    <x v="1"/>
    <x v="0"/>
    <x v="0"/>
    <n v="5"/>
    <n v="927.23"/>
    <n v="0.15"/>
    <n v="3940.73"/>
    <n v="2172.33"/>
    <n v="1768.4"/>
  </r>
  <r>
    <x v="411"/>
    <x v="255"/>
    <x v="3"/>
    <x v="9"/>
    <x v="8"/>
    <x v="3"/>
    <n v="8"/>
    <n v="171.01"/>
    <n v="0.2"/>
    <n v="1094.46"/>
    <n v="719.61"/>
    <n v="374.85"/>
  </r>
  <r>
    <x v="412"/>
    <x v="256"/>
    <x v="1"/>
    <x v="2"/>
    <x v="11"/>
    <x v="0"/>
    <n v="9"/>
    <n v="80.900000000000006"/>
    <n v="0.1"/>
    <n v="655.29"/>
    <n v="523.16"/>
    <n v="132.13"/>
  </r>
  <r>
    <x v="413"/>
    <x v="250"/>
    <x v="0"/>
    <x v="5"/>
    <x v="5"/>
    <x v="3"/>
    <n v="3"/>
    <n v="238.48"/>
    <n v="0.2"/>
    <n v="572.35"/>
    <n v="368.41"/>
    <n v="203.94"/>
  </r>
  <r>
    <x v="414"/>
    <x v="13"/>
    <x v="3"/>
    <x v="9"/>
    <x v="4"/>
    <x v="1"/>
    <n v="3"/>
    <n v="37.49"/>
    <n v="0"/>
    <n v="112.47"/>
    <n v="75.59"/>
    <n v="36.880000000000003"/>
  </r>
  <r>
    <x v="415"/>
    <x v="101"/>
    <x v="3"/>
    <x v="9"/>
    <x v="7"/>
    <x v="2"/>
    <n v="4"/>
    <n v="11.01"/>
    <n v="0.02"/>
    <n v="43.16"/>
    <n v="29.01"/>
    <n v="14.15"/>
  </r>
  <r>
    <x v="416"/>
    <x v="0"/>
    <x v="1"/>
    <x v="10"/>
    <x v="6"/>
    <x v="3"/>
    <n v="9"/>
    <n v="124.92"/>
    <n v="0.05"/>
    <n v="1068.07"/>
    <n v="638.29999999999995"/>
    <n v="429.77"/>
  </r>
  <r>
    <x v="417"/>
    <x v="125"/>
    <x v="0"/>
    <x v="5"/>
    <x v="11"/>
    <x v="0"/>
    <n v="3"/>
    <n v="79.959999999999994"/>
    <n v="0.1"/>
    <n v="215.89"/>
    <n v="143.16"/>
    <n v="72.73"/>
  </r>
  <r>
    <x v="418"/>
    <x v="127"/>
    <x v="0"/>
    <x v="5"/>
    <x v="8"/>
    <x v="3"/>
    <n v="7"/>
    <n v="202.4"/>
    <n v="0.02"/>
    <n v="1388.46"/>
    <n v="899.51"/>
    <n v="488.95"/>
  </r>
  <r>
    <x v="419"/>
    <x v="146"/>
    <x v="3"/>
    <x v="9"/>
    <x v="8"/>
    <x v="3"/>
    <n v="10"/>
    <n v="184.35"/>
    <n v="0.2"/>
    <n v="1474.8"/>
    <n v="1062.9100000000001"/>
    <n v="411.89"/>
  </r>
  <r>
    <x v="420"/>
    <x v="257"/>
    <x v="3"/>
    <x v="6"/>
    <x v="1"/>
    <x v="1"/>
    <n v="6"/>
    <n v="38.43"/>
    <n v="0.2"/>
    <n v="184.46"/>
    <n v="134.5"/>
    <n v="49.96"/>
  </r>
  <r>
    <x v="421"/>
    <x v="258"/>
    <x v="0"/>
    <x v="5"/>
    <x v="9"/>
    <x v="2"/>
    <n v="5"/>
    <n v="144.55000000000001"/>
    <n v="0.02"/>
    <n v="708.29"/>
    <n v="573.35"/>
    <n v="134.94"/>
  </r>
  <r>
    <x v="422"/>
    <x v="184"/>
    <x v="3"/>
    <x v="7"/>
    <x v="4"/>
    <x v="1"/>
    <n v="2"/>
    <n v="31.31"/>
    <n v="0.2"/>
    <n v="50.1"/>
    <n v="33.159999999999997"/>
    <n v="16.940000000000001"/>
  </r>
  <r>
    <x v="423"/>
    <x v="186"/>
    <x v="2"/>
    <x v="4"/>
    <x v="3"/>
    <x v="0"/>
    <n v="3"/>
    <n v="192.63"/>
    <n v="0.1"/>
    <n v="520.1"/>
    <n v="426.04"/>
    <n v="94.06"/>
  </r>
  <r>
    <x v="424"/>
    <x v="176"/>
    <x v="3"/>
    <x v="9"/>
    <x v="6"/>
    <x v="3"/>
    <n v="9"/>
    <n v="140.09"/>
    <n v="0.1"/>
    <n v="1134.73"/>
    <n v="806.51"/>
    <n v="328.22"/>
  </r>
  <r>
    <x v="425"/>
    <x v="76"/>
    <x v="2"/>
    <x v="8"/>
    <x v="3"/>
    <x v="0"/>
    <n v="10"/>
    <n v="191.43"/>
    <n v="0"/>
    <n v="1914.3"/>
    <n v="1440.49"/>
    <n v="473.81"/>
  </r>
  <r>
    <x v="426"/>
    <x v="88"/>
    <x v="3"/>
    <x v="6"/>
    <x v="10"/>
    <x v="0"/>
    <n v="10"/>
    <n v="502.13"/>
    <n v="0"/>
    <n v="5021.3"/>
    <n v="3979.25"/>
    <n v="1042.05"/>
  </r>
  <r>
    <x v="427"/>
    <x v="183"/>
    <x v="2"/>
    <x v="4"/>
    <x v="7"/>
    <x v="2"/>
    <n v="9"/>
    <n v="10.94"/>
    <n v="0.02"/>
    <n v="96.49"/>
    <n v="58.04"/>
    <n v="38.450000000000003"/>
  </r>
  <r>
    <x v="428"/>
    <x v="171"/>
    <x v="1"/>
    <x v="11"/>
    <x v="10"/>
    <x v="0"/>
    <n v="4"/>
    <n v="473.53"/>
    <n v="0.2"/>
    <n v="1515.3"/>
    <n v="1026.55"/>
    <n v="488.75"/>
  </r>
  <r>
    <x v="429"/>
    <x v="110"/>
    <x v="0"/>
    <x v="5"/>
    <x v="2"/>
    <x v="2"/>
    <n v="8"/>
    <n v="8.16"/>
    <n v="0"/>
    <n v="65.28"/>
    <n v="37.06"/>
    <n v="28.22"/>
  </r>
  <r>
    <x v="430"/>
    <x v="38"/>
    <x v="1"/>
    <x v="11"/>
    <x v="9"/>
    <x v="2"/>
    <n v="10"/>
    <n v="173.23"/>
    <n v="0"/>
    <n v="1732.3"/>
    <n v="1164.78"/>
    <n v="567.52"/>
  </r>
  <r>
    <x v="431"/>
    <x v="202"/>
    <x v="3"/>
    <x v="7"/>
    <x v="4"/>
    <x v="1"/>
    <n v="1"/>
    <n v="35.26"/>
    <n v="0.1"/>
    <n v="31.73"/>
    <n v="21.23"/>
    <n v="10.5"/>
  </r>
  <r>
    <x v="432"/>
    <x v="25"/>
    <x v="2"/>
    <x v="3"/>
    <x v="7"/>
    <x v="2"/>
    <n v="2"/>
    <n v="11.64"/>
    <n v="0"/>
    <n v="23.28"/>
    <n v="16.32"/>
    <n v="6.96"/>
  </r>
  <r>
    <x v="433"/>
    <x v="70"/>
    <x v="0"/>
    <x v="5"/>
    <x v="2"/>
    <x v="2"/>
    <n v="1"/>
    <n v="7.17"/>
    <n v="0"/>
    <n v="7.17"/>
    <n v="4.3"/>
    <n v="2.87"/>
  </r>
  <r>
    <x v="434"/>
    <x v="16"/>
    <x v="3"/>
    <x v="9"/>
    <x v="6"/>
    <x v="3"/>
    <n v="3"/>
    <n v="155.19"/>
    <n v="0.02"/>
    <n v="456.26"/>
    <n v="367.5"/>
    <n v="88.76"/>
  </r>
  <r>
    <x v="435"/>
    <x v="41"/>
    <x v="1"/>
    <x v="2"/>
    <x v="5"/>
    <x v="3"/>
    <n v="7"/>
    <n v="240.5"/>
    <n v="0.1"/>
    <n v="1515.15"/>
    <n v="944.09"/>
    <n v="571.05999999999995"/>
  </r>
  <r>
    <x v="436"/>
    <x v="259"/>
    <x v="0"/>
    <x v="1"/>
    <x v="1"/>
    <x v="1"/>
    <n v="9"/>
    <n v="46.94"/>
    <n v="0.02"/>
    <n v="414.01"/>
    <n v="273.39"/>
    <n v="140.62"/>
  </r>
  <r>
    <x v="437"/>
    <x v="141"/>
    <x v="0"/>
    <x v="1"/>
    <x v="11"/>
    <x v="0"/>
    <n v="9"/>
    <n v="68.61"/>
    <n v="0.1"/>
    <n v="555.74"/>
    <n v="329.09"/>
    <n v="226.65"/>
  </r>
  <r>
    <x v="438"/>
    <x v="260"/>
    <x v="2"/>
    <x v="3"/>
    <x v="0"/>
    <x v="0"/>
    <n v="1"/>
    <n v="905.07"/>
    <n v="0.05"/>
    <n v="859.82"/>
    <n v="625.87"/>
    <n v="233.95"/>
  </r>
  <r>
    <x v="439"/>
    <x v="170"/>
    <x v="1"/>
    <x v="10"/>
    <x v="2"/>
    <x v="2"/>
    <n v="7"/>
    <n v="6.87"/>
    <n v="0.02"/>
    <n v="47.13"/>
    <n v="28.75"/>
    <n v="18.38"/>
  </r>
  <r>
    <x v="440"/>
    <x v="8"/>
    <x v="3"/>
    <x v="9"/>
    <x v="11"/>
    <x v="0"/>
    <n v="5"/>
    <n v="73.55"/>
    <n v="0.02"/>
    <n v="360.39"/>
    <n v="263.58999999999997"/>
    <n v="96.8"/>
  </r>
  <r>
    <x v="441"/>
    <x v="261"/>
    <x v="0"/>
    <x v="0"/>
    <x v="1"/>
    <x v="1"/>
    <n v="7"/>
    <n v="38.520000000000003"/>
    <n v="0.15"/>
    <n v="229.19"/>
    <n v="132.5"/>
    <n v="96.69"/>
  </r>
  <r>
    <x v="442"/>
    <x v="115"/>
    <x v="2"/>
    <x v="4"/>
    <x v="10"/>
    <x v="0"/>
    <n v="2"/>
    <n v="599.49"/>
    <n v="0.15"/>
    <n v="1019.13"/>
    <n v="609.65"/>
    <n v="409.48"/>
  </r>
  <r>
    <x v="443"/>
    <x v="88"/>
    <x v="0"/>
    <x v="5"/>
    <x v="3"/>
    <x v="0"/>
    <n v="1"/>
    <n v="230.08"/>
    <n v="0.1"/>
    <n v="207.07"/>
    <n v="127.21"/>
    <n v="79.86"/>
  </r>
  <r>
    <x v="444"/>
    <x v="151"/>
    <x v="2"/>
    <x v="3"/>
    <x v="0"/>
    <x v="2"/>
    <n v="3"/>
    <n v="747.86"/>
    <n v="0.15"/>
    <n v="1907.04"/>
    <n v="1174.08"/>
    <n v="732.96"/>
  </r>
  <r>
    <x v="445"/>
    <x v="151"/>
    <x v="3"/>
    <x v="7"/>
    <x v="7"/>
    <x v="2"/>
    <n v="10"/>
    <n v="12.8"/>
    <n v="0.2"/>
    <n v="102.4"/>
    <n v="79.98"/>
    <n v="22.42"/>
  </r>
  <r>
    <x v="446"/>
    <x v="262"/>
    <x v="3"/>
    <x v="7"/>
    <x v="11"/>
    <x v="0"/>
    <n v="9"/>
    <n v="87.93"/>
    <n v="0.02"/>
    <n v="775.54"/>
    <n v="509.72"/>
    <n v="265.82"/>
  </r>
  <r>
    <x v="447"/>
    <x v="247"/>
    <x v="3"/>
    <x v="9"/>
    <x v="0"/>
    <x v="0"/>
    <n v="9"/>
    <n v="892.86"/>
    <n v="0.15"/>
    <n v="6830.38"/>
    <n v="4134.74"/>
    <n v="2695.64"/>
  </r>
  <r>
    <x v="448"/>
    <x v="140"/>
    <x v="1"/>
    <x v="2"/>
    <x v="2"/>
    <x v="2"/>
    <n v="8"/>
    <n v="7.5"/>
    <n v="0"/>
    <n v="60"/>
    <n v="47.52"/>
    <n v="12.48"/>
  </r>
  <r>
    <x v="449"/>
    <x v="220"/>
    <x v="1"/>
    <x v="2"/>
    <x v="2"/>
    <x v="2"/>
    <n v="6"/>
    <n v="6.83"/>
    <n v="0.2"/>
    <n v="32.78"/>
    <n v="18.79"/>
    <n v="13.99"/>
  </r>
  <r>
    <x v="450"/>
    <x v="205"/>
    <x v="2"/>
    <x v="8"/>
    <x v="8"/>
    <x v="3"/>
    <n v="7"/>
    <n v="164.23"/>
    <n v="0.02"/>
    <n v="1126.6199999999999"/>
    <n v="627.71"/>
    <n v="498.91"/>
  </r>
  <r>
    <x v="451"/>
    <x v="104"/>
    <x v="2"/>
    <x v="4"/>
    <x v="3"/>
    <x v="0"/>
    <n v="5"/>
    <n v="198.97"/>
    <n v="0.2"/>
    <n v="795.88"/>
    <n v="563.02"/>
    <n v="232.86"/>
  </r>
  <r>
    <x v="452"/>
    <x v="242"/>
    <x v="0"/>
    <x v="1"/>
    <x v="2"/>
    <x v="2"/>
    <n v="7"/>
    <n v="7.81"/>
    <n v="0.1"/>
    <n v="49.2"/>
    <n v="38.92"/>
    <n v="10.28"/>
  </r>
  <r>
    <x v="453"/>
    <x v="157"/>
    <x v="2"/>
    <x v="4"/>
    <x v="6"/>
    <x v="3"/>
    <n v="4"/>
    <n v="153.33000000000001"/>
    <n v="0.05"/>
    <n v="582.65"/>
    <n v="374.23"/>
    <n v="208.42"/>
  </r>
  <r>
    <x v="454"/>
    <x v="73"/>
    <x v="0"/>
    <x v="1"/>
    <x v="9"/>
    <x v="2"/>
    <n v="6"/>
    <n v="148.44999999999999"/>
    <n v="0"/>
    <n v="890.7"/>
    <n v="581.20000000000005"/>
    <n v="309.5"/>
  </r>
  <r>
    <x v="455"/>
    <x v="263"/>
    <x v="0"/>
    <x v="1"/>
    <x v="8"/>
    <x v="3"/>
    <n v="7"/>
    <n v="184.88"/>
    <n v="0.2"/>
    <n v="1035.33"/>
    <n v="644.37"/>
    <n v="390.96"/>
  </r>
  <r>
    <x v="456"/>
    <x v="206"/>
    <x v="0"/>
    <x v="1"/>
    <x v="10"/>
    <x v="0"/>
    <n v="4"/>
    <n v="570.48"/>
    <n v="0.15"/>
    <n v="1939.63"/>
    <n v="1281.21"/>
    <n v="658.42"/>
  </r>
  <r>
    <x v="457"/>
    <x v="209"/>
    <x v="2"/>
    <x v="3"/>
    <x v="9"/>
    <x v="2"/>
    <n v="4"/>
    <n v="162.5"/>
    <n v="0.05"/>
    <n v="617.5"/>
    <n v="412.34"/>
    <n v="205.16"/>
  </r>
  <r>
    <x v="458"/>
    <x v="169"/>
    <x v="2"/>
    <x v="3"/>
    <x v="3"/>
    <x v="0"/>
    <n v="2"/>
    <n v="206.43"/>
    <n v="0.2"/>
    <n v="330.29"/>
    <n v="266.24"/>
    <n v="64.05"/>
  </r>
  <r>
    <x v="459"/>
    <x v="264"/>
    <x v="2"/>
    <x v="3"/>
    <x v="6"/>
    <x v="3"/>
    <n v="4"/>
    <n v="151.07"/>
    <n v="0.15"/>
    <n v="513.64"/>
    <n v="301.93"/>
    <n v="211.71"/>
  </r>
  <r>
    <x v="460"/>
    <x v="133"/>
    <x v="1"/>
    <x v="2"/>
    <x v="9"/>
    <x v="2"/>
    <n v="9"/>
    <n v="177.69"/>
    <n v="0.2"/>
    <n v="1279.3699999999999"/>
    <n v="872.03"/>
    <n v="407.34"/>
  </r>
  <r>
    <x v="461"/>
    <x v="29"/>
    <x v="3"/>
    <x v="7"/>
    <x v="5"/>
    <x v="3"/>
    <n v="9"/>
    <n v="279.58999999999997"/>
    <n v="0.1"/>
    <n v="2264.6799999999998"/>
    <n v="1734.66"/>
    <n v="530.02"/>
  </r>
  <r>
    <x v="462"/>
    <x v="174"/>
    <x v="1"/>
    <x v="2"/>
    <x v="5"/>
    <x v="3"/>
    <n v="4"/>
    <n v="244.39"/>
    <n v="0.05"/>
    <n v="928.68"/>
    <n v="516.41"/>
    <n v="412.27"/>
  </r>
  <r>
    <x v="463"/>
    <x v="265"/>
    <x v="0"/>
    <x v="0"/>
    <x v="7"/>
    <x v="2"/>
    <n v="4"/>
    <n v="11.17"/>
    <n v="0.2"/>
    <n v="35.74"/>
    <n v="24.88"/>
    <n v="10.86"/>
  </r>
  <r>
    <x v="464"/>
    <x v="216"/>
    <x v="3"/>
    <x v="9"/>
    <x v="2"/>
    <x v="2"/>
    <n v="10"/>
    <n v="8.32"/>
    <n v="0.15"/>
    <n v="70.72"/>
    <n v="43.82"/>
    <n v="26.9"/>
  </r>
  <r>
    <x v="465"/>
    <x v="266"/>
    <x v="3"/>
    <x v="6"/>
    <x v="11"/>
    <x v="0"/>
    <n v="4"/>
    <n v="71.34"/>
    <n v="0.05"/>
    <n v="271.08999999999997"/>
    <n v="210.21"/>
    <n v="60.88"/>
  </r>
  <r>
    <x v="466"/>
    <x v="11"/>
    <x v="2"/>
    <x v="8"/>
    <x v="9"/>
    <x v="2"/>
    <n v="9"/>
    <n v="183.25"/>
    <n v="0.2"/>
    <n v="1319.4"/>
    <n v="912.94"/>
    <n v="406.46"/>
  </r>
  <r>
    <x v="467"/>
    <x v="101"/>
    <x v="3"/>
    <x v="6"/>
    <x v="9"/>
    <x v="2"/>
    <n v="8"/>
    <n v="144.24"/>
    <n v="0.1"/>
    <n v="1038.53"/>
    <n v="647.54999999999995"/>
    <n v="390.98"/>
  </r>
  <r>
    <x v="468"/>
    <x v="95"/>
    <x v="2"/>
    <x v="4"/>
    <x v="11"/>
    <x v="0"/>
    <n v="9"/>
    <n v="68.44"/>
    <n v="0.1"/>
    <n v="554.36"/>
    <n v="441.75"/>
    <n v="112.61"/>
  </r>
  <r>
    <x v="469"/>
    <x v="144"/>
    <x v="0"/>
    <x v="1"/>
    <x v="2"/>
    <x v="2"/>
    <n v="1"/>
    <n v="7.08"/>
    <n v="0"/>
    <n v="7.08"/>
    <n v="5"/>
    <n v="2.08"/>
  </r>
  <r>
    <x v="470"/>
    <x v="225"/>
    <x v="0"/>
    <x v="0"/>
    <x v="6"/>
    <x v="3"/>
    <n v="3"/>
    <n v="130.51"/>
    <n v="0.2"/>
    <n v="313.22000000000003"/>
    <n v="219.14"/>
    <n v="94.08"/>
  </r>
  <r>
    <x v="471"/>
    <x v="200"/>
    <x v="2"/>
    <x v="3"/>
    <x v="0"/>
    <x v="0"/>
    <n v="4"/>
    <n v="888.61"/>
    <n v="0.15"/>
    <n v="3021.27"/>
    <n v="2338.5500000000002"/>
    <n v="682.72"/>
  </r>
  <r>
    <x v="472"/>
    <x v="267"/>
    <x v="0"/>
    <x v="1"/>
    <x v="7"/>
    <x v="2"/>
    <n v="10"/>
    <n v="10.94"/>
    <n v="0.1"/>
    <n v="98.46"/>
    <n v="54.45"/>
    <n v="44.01"/>
  </r>
  <r>
    <x v="473"/>
    <x v="114"/>
    <x v="0"/>
    <x v="5"/>
    <x v="0"/>
    <x v="0"/>
    <n v="9"/>
    <n v="757.41"/>
    <n v="0.15"/>
    <n v="5794.19"/>
    <n v="4594.82"/>
    <n v="1199.3699999999999"/>
  </r>
  <r>
    <x v="474"/>
    <x v="268"/>
    <x v="0"/>
    <x v="5"/>
    <x v="2"/>
    <x v="2"/>
    <n v="5"/>
    <n v="8.9"/>
    <n v="0.15"/>
    <n v="37.82"/>
    <n v="26.9"/>
    <n v="10.92"/>
  </r>
  <r>
    <x v="475"/>
    <x v="216"/>
    <x v="1"/>
    <x v="11"/>
    <x v="11"/>
    <x v="0"/>
    <n v="2"/>
    <n v="82.41"/>
    <n v="0"/>
    <n v="164.82"/>
    <n v="120.25"/>
    <n v="44.57"/>
  </r>
  <r>
    <x v="476"/>
    <x v="269"/>
    <x v="2"/>
    <x v="3"/>
    <x v="3"/>
    <x v="0"/>
    <n v="10"/>
    <n v="198.57"/>
    <n v="0.15"/>
    <n v="1687.84"/>
    <n v="1345.02"/>
    <n v="342.82"/>
  </r>
  <r>
    <x v="477"/>
    <x v="12"/>
    <x v="3"/>
    <x v="7"/>
    <x v="6"/>
    <x v="3"/>
    <n v="2"/>
    <n v="136.59"/>
    <n v="0.05"/>
    <n v="259.52"/>
    <n v="169.58"/>
    <n v="89.94"/>
  </r>
  <r>
    <x v="478"/>
    <x v="8"/>
    <x v="2"/>
    <x v="8"/>
    <x v="4"/>
    <x v="1"/>
    <n v="4"/>
    <n v="35.200000000000003"/>
    <n v="0.05"/>
    <n v="133.76"/>
    <n v="75.260000000000005"/>
    <n v="58.5"/>
  </r>
  <r>
    <x v="479"/>
    <x v="131"/>
    <x v="0"/>
    <x v="5"/>
    <x v="10"/>
    <x v="0"/>
    <n v="7"/>
    <n v="494.94"/>
    <n v="0.1"/>
    <n v="3118.12"/>
    <n v="2336.31"/>
    <n v="781.81"/>
  </r>
  <r>
    <x v="480"/>
    <x v="62"/>
    <x v="1"/>
    <x v="10"/>
    <x v="0"/>
    <x v="0"/>
    <n v="1"/>
    <n v="743.61"/>
    <n v="0.2"/>
    <n v="594.89"/>
    <n v="424.07"/>
    <n v="170.82"/>
  </r>
  <r>
    <x v="481"/>
    <x v="99"/>
    <x v="1"/>
    <x v="10"/>
    <x v="6"/>
    <x v="3"/>
    <n v="6"/>
    <n v="129.30000000000001"/>
    <n v="0.15"/>
    <n v="659.43"/>
    <n v="432"/>
    <n v="227.43"/>
  </r>
  <r>
    <x v="482"/>
    <x v="270"/>
    <x v="0"/>
    <x v="1"/>
    <x v="3"/>
    <x v="0"/>
    <n v="4"/>
    <n v="206.05"/>
    <n v="0.2"/>
    <n v="659.36"/>
    <n v="425.97"/>
    <n v="233.39"/>
  </r>
  <r>
    <x v="483"/>
    <x v="83"/>
    <x v="3"/>
    <x v="7"/>
    <x v="0"/>
    <x v="0"/>
    <n v="2"/>
    <n v="905.86"/>
    <n v="0.2"/>
    <n v="1449.38"/>
    <n v="913.43"/>
    <n v="535.95000000000005"/>
  </r>
  <r>
    <x v="484"/>
    <x v="217"/>
    <x v="0"/>
    <x v="0"/>
    <x v="11"/>
    <x v="0"/>
    <n v="6"/>
    <n v="81.59"/>
    <n v="0"/>
    <n v="489.54"/>
    <n v="332.17"/>
    <n v="157.37"/>
  </r>
  <r>
    <x v="485"/>
    <x v="253"/>
    <x v="2"/>
    <x v="3"/>
    <x v="4"/>
    <x v="1"/>
    <n v="7"/>
    <n v="36.72"/>
    <n v="0"/>
    <n v="257.04000000000002"/>
    <n v="206.39"/>
    <n v="50.65"/>
  </r>
  <r>
    <x v="486"/>
    <x v="271"/>
    <x v="2"/>
    <x v="8"/>
    <x v="7"/>
    <x v="2"/>
    <n v="7"/>
    <n v="12.84"/>
    <n v="0.2"/>
    <n v="71.900000000000006"/>
    <n v="43.72"/>
    <n v="28.18"/>
  </r>
  <r>
    <x v="487"/>
    <x v="73"/>
    <x v="1"/>
    <x v="11"/>
    <x v="4"/>
    <x v="1"/>
    <n v="3"/>
    <n v="30.08"/>
    <n v="0.2"/>
    <n v="72.19"/>
    <n v="44.82"/>
    <n v="27.37"/>
  </r>
  <r>
    <x v="488"/>
    <x v="158"/>
    <x v="3"/>
    <x v="6"/>
    <x v="0"/>
    <x v="0"/>
    <n v="2"/>
    <n v="874.23888888888894"/>
    <n v="0.1"/>
    <n v="1573.63"/>
    <n v="887.35"/>
    <n v="686.28"/>
  </r>
  <r>
    <x v="489"/>
    <x v="43"/>
    <x v="3"/>
    <x v="7"/>
    <x v="7"/>
    <x v="2"/>
    <n v="10"/>
    <n v="11.99"/>
    <n v="0.15"/>
    <n v="101.92"/>
    <n v="72.48"/>
    <n v="29.44"/>
  </r>
  <r>
    <x v="490"/>
    <x v="171"/>
    <x v="0"/>
    <x v="5"/>
    <x v="1"/>
    <x v="1"/>
    <n v="5"/>
    <n v="42.76"/>
    <n v="0.1"/>
    <n v="192.42"/>
    <n v="145.88"/>
    <n v="46.54"/>
  </r>
  <r>
    <x v="491"/>
    <x v="272"/>
    <x v="3"/>
    <x v="6"/>
    <x v="2"/>
    <x v="2"/>
    <n v="7"/>
    <n v="7.06"/>
    <n v="0.1"/>
    <n v="44.48"/>
    <n v="25.37"/>
    <n v="19.11"/>
  </r>
  <r>
    <x v="492"/>
    <x v="22"/>
    <x v="1"/>
    <x v="10"/>
    <x v="10"/>
    <x v="0"/>
    <n v="10"/>
    <n v="587.65"/>
    <n v="0.05"/>
    <n v="5582.68"/>
    <n v="3817.34"/>
    <n v="1765.34"/>
  </r>
  <r>
    <x v="493"/>
    <x v="237"/>
    <x v="0"/>
    <x v="1"/>
    <x v="8"/>
    <x v="3"/>
    <n v="3"/>
    <n v="190.17"/>
    <n v="0.1"/>
    <n v="513.46"/>
    <n v="342.68"/>
    <n v="170.78"/>
  </r>
  <r>
    <x v="494"/>
    <x v="273"/>
    <x v="2"/>
    <x v="3"/>
    <x v="4"/>
    <x v="1"/>
    <n v="7"/>
    <n v="32.340000000000003"/>
    <n v="0.05"/>
    <n v="215.06"/>
    <n v="165.85"/>
    <n v="49.21"/>
  </r>
  <r>
    <x v="495"/>
    <x v="255"/>
    <x v="0"/>
    <x v="5"/>
    <x v="0"/>
    <x v="0"/>
    <n v="5"/>
    <n v="926.35"/>
    <n v="0.1"/>
    <n v="4168.57"/>
    <n v="3074.6"/>
    <n v="1093.97"/>
  </r>
  <r>
    <x v="496"/>
    <x v="274"/>
    <x v="0"/>
    <x v="5"/>
    <x v="11"/>
    <x v="0"/>
    <n v="2"/>
    <n v="74.53"/>
    <n v="0.02"/>
    <n v="146.08000000000001"/>
    <n v="103.62"/>
    <n v="42.46"/>
  </r>
  <r>
    <x v="497"/>
    <x v="212"/>
    <x v="1"/>
    <x v="2"/>
    <x v="10"/>
    <x v="0"/>
    <n v="1"/>
    <n v="527.05999999999995"/>
    <n v="0"/>
    <n v="527.05999999999995"/>
    <n v="302.92"/>
    <n v="224.14"/>
  </r>
  <r>
    <x v="498"/>
    <x v="57"/>
    <x v="0"/>
    <x v="5"/>
    <x v="7"/>
    <x v="2"/>
    <n v="10"/>
    <n v="13.5"/>
    <n v="0.05"/>
    <n v="128.25"/>
    <n v="75.28"/>
    <n v="52.97"/>
  </r>
  <r>
    <x v="499"/>
    <x v="268"/>
    <x v="3"/>
    <x v="9"/>
    <x v="6"/>
    <x v="3"/>
    <n v="7"/>
    <n v="158.91"/>
    <n v="0"/>
    <n v="1112.3699999999999"/>
    <n v="745.76"/>
    <n v="366.61"/>
  </r>
  <r>
    <x v="500"/>
    <x v="275"/>
    <x v="2"/>
    <x v="8"/>
    <x v="7"/>
    <x v="2"/>
    <n v="9"/>
    <n v="10.87"/>
    <n v="0.02"/>
    <n v="95.87"/>
    <n v="66.760000000000005"/>
    <n v="29.11"/>
  </r>
  <r>
    <x v="501"/>
    <x v="11"/>
    <x v="2"/>
    <x v="3"/>
    <x v="11"/>
    <x v="0"/>
    <n v="5"/>
    <n v="88.95"/>
    <n v="0.05"/>
    <n v="422.51"/>
    <n v="315.91000000000003"/>
    <n v="106.6"/>
  </r>
  <r>
    <x v="502"/>
    <x v="199"/>
    <x v="2"/>
    <x v="3"/>
    <x v="10"/>
    <x v="0"/>
    <n v="3"/>
    <n v="600.58000000000004"/>
    <n v="0.1"/>
    <n v="1621.57"/>
    <n v="1180.29"/>
    <n v="441.28"/>
  </r>
  <r>
    <x v="503"/>
    <x v="276"/>
    <x v="3"/>
    <x v="7"/>
    <x v="9"/>
    <x v="2"/>
    <n v="2"/>
    <n v="169.23"/>
    <n v="0.05"/>
    <n v="321.54000000000002"/>
    <n v="250.57"/>
    <n v="70.97"/>
  </r>
  <r>
    <x v="504"/>
    <x v="89"/>
    <x v="1"/>
    <x v="2"/>
    <x v="7"/>
    <x v="2"/>
    <n v="10"/>
    <n v="11.1"/>
    <n v="0.02"/>
    <n v="108.78"/>
    <n v="74.2"/>
    <n v="34.58"/>
  </r>
  <r>
    <x v="505"/>
    <x v="255"/>
    <x v="2"/>
    <x v="3"/>
    <x v="8"/>
    <x v="3"/>
    <n v="1"/>
    <n v="164.95"/>
    <n v="0.1"/>
    <n v="148.44999999999999"/>
    <n v="121.23"/>
    <n v="27.22"/>
  </r>
  <r>
    <x v="506"/>
    <x v="81"/>
    <x v="1"/>
    <x v="2"/>
    <x v="5"/>
    <x v="3"/>
    <n v="8"/>
    <n v="283.3"/>
    <n v="0.05"/>
    <n v="2153.08"/>
    <n v="1207.1099999999999"/>
    <n v="945.97"/>
  </r>
  <r>
    <x v="507"/>
    <x v="111"/>
    <x v="2"/>
    <x v="8"/>
    <x v="8"/>
    <x v="3"/>
    <n v="6"/>
    <n v="191.1"/>
    <n v="0.15"/>
    <n v="974.61"/>
    <n v="779.51"/>
    <n v="195.1"/>
  </r>
  <r>
    <x v="508"/>
    <x v="33"/>
    <x v="1"/>
    <x v="2"/>
    <x v="5"/>
    <x v="3"/>
    <n v="3"/>
    <n v="226.04"/>
    <n v="0.1"/>
    <n v="610.30999999999995"/>
    <n v="429.26"/>
    <n v="181.05"/>
  </r>
  <r>
    <x v="509"/>
    <x v="277"/>
    <x v="1"/>
    <x v="2"/>
    <x v="7"/>
    <x v="2"/>
    <n v="4"/>
    <n v="13.5"/>
    <n v="0.05"/>
    <n v="51.3"/>
    <n v="28.69"/>
    <n v="22.61"/>
  </r>
  <r>
    <x v="510"/>
    <x v="278"/>
    <x v="1"/>
    <x v="10"/>
    <x v="5"/>
    <x v="3"/>
    <n v="2"/>
    <n v="264.81"/>
    <n v="0.15"/>
    <n v="450.18"/>
    <n v="283.74"/>
    <n v="166.44"/>
  </r>
  <r>
    <x v="511"/>
    <x v="279"/>
    <x v="2"/>
    <x v="8"/>
    <x v="1"/>
    <x v="1"/>
    <n v="9"/>
    <n v="50.73"/>
    <n v="0"/>
    <n v="456.57"/>
    <n v="370.82"/>
    <n v="85.75"/>
  </r>
  <r>
    <x v="512"/>
    <x v="202"/>
    <x v="2"/>
    <x v="4"/>
    <x v="9"/>
    <x v="2"/>
    <n v="5"/>
    <n v="181.32"/>
    <n v="0.2"/>
    <n v="725.28"/>
    <n v="491.77"/>
    <n v="233.51"/>
  </r>
  <r>
    <x v="513"/>
    <x v="205"/>
    <x v="1"/>
    <x v="2"/>
    <x v="11"/>
    <x v="0"/>
    <n v="5"/>
    <n v="88.69"/>
    <n v="0.02"/>
    <n v="434.58"/>
    <n v="338.12"/>
    <n v="96.46"/>
  </r>
  <r>
    <x v="514"/>
    <x v="31"/>
    <x v="2"/>
    <x v="4"/>
    <x v="4"/>
    <x v="1"/>
    <n v="7"/>
    <n v="33.1"/>
    <n v="0.1"/>
    <n v="208.53"/>
    <n v="161.36000000000001"/>
    <n v="47.17"/>
  </r>
  <r>
    <x v="515"/>
    <x v="212"/>
    <x v="1"/>
    <x v="11"/>
    <x v="7"/>
    <x v="2"/>
    <n v="7"/>
    <n v="10.33"/>
    <n v="0.15"/>
    <n v="61.46"/>
    <n v="43.7"/>
    <n v="17.760000000000002"/>
  </r>
  <r>
    <x v="516"/>
    <x v="153"/>
    <x v="1"/>
    <x v="11"/>
    <x v="2"/>
    <x v="2"/>
    <n v="1"/>
    <n v="7.35"/>
    <n v="0.05"/>
    <n v="6.98"/>
    <n v="4.07"/>
    <n v="2.91"/>
  </r>
  <r>
    <x v="517"/>
    <x v="68"/>
    <x v="0"/>
    <x v="1"/>
    <x v="10"/>
    <x v="0"/>
    <n v="4"/>
    <n v="480.2"/>
    <n v="0.2"/>
    <n v="1536.64"/>
    <n v="1134.04"/>
    <n v="402.6"/>
  </r>
  <r>
    <x v="518"/>
    <x v="12"/>
    <x v="2"/>
    <x v="8"/>
    <x v="1"/>
    <x v="1"/>
    <n v="10"/>
    <n v="42.84"/>
    <n v="0"/>
    <n v="428.4"/>
    <n v="319.45"/>
    <n v="108.95"/>
  </r>
  <r>
    <x v="519"/>
    <x v="41"/>
    <x v="1"/>
    <x v="10"/>
    <x v="5"/>
    <x v="3"/>
    <n v="7"/>
    <n v="217.4"/>
    <n v="0"/>
    <n v="1521.8"/>
    <n v="966.54"/>
    <n v="555.26"/>
  </r>
  <r>
    <x v="520"/>
    <x v="174"/>
    <x v="3"/>
    <x v="9"/>
    <x v="3"/>
    <x v="0"/>
    <n v="9"/>
    <n v="222.61"/>
    <n v="0.2"/>
    <n v="1602.79"/>
    <n v="1223.72"/>
    <n v="379.07"/>
  </r>
  <r>
    <x v="521"/>
    <x v="280"/>
    <x v="2"/>
    <x v="3"/>
    <x v="9"/>
    <x v="2"/>
    <n v="6"/>
    <n v="151.30000000000001"/>
    <n v="0.1"/>
    <n v="817.02"/>
    <n v="587.42999999999995"/>
    <n v="229.59"/>
  </r>
  <r>
    <x v="522"/>
    <x v="190"/>
    <x v="2"/>
    <x v="4"/>
    <x v="5"/>
    <x v="3"/>
    <n v="1"/>
    <n v="278.95"/>
    <n v="0.1"/>
    <n v="251.06"/>
    <n v="179.83"/>
    <n v="71.23"/>
  </r>
  <r>
    <x v="523"/>
    <x v="226"/>
    <x v="1"/>
    <x v="10"/>
    <x v="10"/>
    <x v="0"/>
    <n v="2"/>
    <n v="505.94"/>
    <n v="0.2"/>
    <n v="809.5"/>
    <n v="450.56"/>
    <n v="358.94"/>
  </r>
  <r>
    <x v="524"/>
    <x v="141"/>
    <x v="3"/>
    <x v="9"/>
    <x v="5"/>
    <x v="3"/>
    <n v="8"/>
    <n v="277.76"/>
    <n v="0.02"/>
    <n v="2177.64"/>
    <n v="1210.21"/>
    <n v="967.43"/>
  </r>
  <r>
    <x v="525"/>
    <x v="281"/>
    <x v="3"/>
    <x v="9"/>
    <x v="5"/>
    <x v="2"/>
    <n v="2"/>
    <n v="177.99"/>
    <n v="0.1"/>
    <n v="320.38"/>
    <n v="221.96"/>
    <n v="98.42"/>
  </r>
  <r>
    <x v="526"/>
    <x v="75"/>
    <x v="1"/>
    <x v="10"/>
    <x v="5"/>
    <x v="3"/>
    <n v="2"/>
    <n v="282.93"/>
    <n v="0.05"/>
    <n v="537.57000000000005"/>
    <n v="411.6"/>
    <n v="125.97"/>
  </r>
  <r>
    <x v="527"/>
    <x v="240"/>
    <x v="0"/>
    <x v="0"/>
    <x v="0"/>
    <x v="0"/>
    <n v="6"/>
    <n v="976.97"/>
    <n v="0.2"/>
    <n v="4689.46"/>
    <n v="3023.26"/>
    <n v="1666.2"/>
  </r>
  <r>
    <x v="528"/>
    <x v="168"/>
    <x v="2"/>
    <x v="4"/>
    <x v="4"/>
    <x v="1"/>
    <n v="4"/>
    <n v="37.81"/>
    <n v="0.15"/>
    <n v="128.55000000000001"/>
    <n v="84.65"/>
    <n v="43.9"/>
  </r>
  <r>
    <x v="529"/>
    <x v="62"/>
    <x v="2"/>
    <x v="3"/>
    <x v="5"/>
    <x v="3"/>
    <n v="9"/>
    <n v="248.49"/>
    <n v="0.1"/>
    <n v="2012.77"/>
    <n v="1448.04"/>
    <n v="564.73"/>
  </r>
  <r>
    <x v="530"/>
    <x v="92"/>
    <x v="1"/>
    <x v="11"/>
    <x v="1"/>
    <x v="1"/>
    <n v="3"/>
    <n v="50.04"/>
    <n v="0.02"/>
    <n v="147.12"/>
    <n v="120.01"/>
    <n v="27.11"/>
  </r>
  <r>
    <x v="531"/>
    <x v="282"/>
    <x v="1"/>
    <x v="11"/>
    <x v="6"/>
    <x v="3"/>
    <n v="1"/>
    <n v="151.27000000000001"/>
    <n v="0.2"/>
    <n v="121.02"/>
    <n v="80.209999999999994"/>
    <n v="40.81"/>
  </r>
  <r>
    <x v="532"/>
    <x v="160"/>
    <x v="1"/>
    <x v="10"/>
    <x v="7"/>
    <x v="2"/>
    <n v="7"/>
    <n v="11.72"/>
    <n v="0.1"/>
    <n v="73.84"/>
    <n v="55.32"/>
    <n v="18.52"/>
  </r>
  <r>
    <x v="533"/>
    <x v="194"/>
    <x v="2"/>
    <x v="4"/>
    <x v="3"/>
    <x v="0"/>
    <n v="5"/>
    <n v="202.76"/>
    <n v="0.2"/>
    <n v="811.04"/>
    <n v="470.26"/>
    <n v="340.78"/>
  </r>
  <r>
    <x v="534"/>
    <x v="283"/>
    <x v="0"/>
    <x v="5"/>
    <x v="2"/>
    <x v="2"/>
    <n v="3"/>
    <n v="7.65"/>
    <n v="0.05"/>
    <n v="21.8"/>
    <n v="13.68"/>
    <n v="8.1199999999999992"/>
  </r>
  <r>
    <x v="535"/>
    <x v="284"/>
    <x v="1"/>
    <x v="2"/>
    <x v="10"/>
    <x v="0"/>
    <n v="5"/>
    <n v="516.39"/>
    <n v="0.2"/>
    <n v="2065.56"/>
    <n v="1266.3399999999999"/>
    <n v="799.22"/>
  </r>
  <r>
    <x v="536"/>
    <x v="270"/>
    <x v="3"/>
    <x v="7"/>
    <x v="7"/>
    <x v="2"/>
    <n v="7"/>
    <n v="10.35"/>
    <n v="0.15"/>
    <n v="61.58"/>
    <n v="34.17"/>
    <n v="27.41"/>
  </r>
  <r>
    <x v="537"/>
    <x v="253"/>
    <x v="0"/>
    <x v="1"/>
    <x v="5"/>
    <x v="3"/>
    <n v="6"/>
    <n v="286.58"/>
    <n v="0.1"/>
    <n v="1547.53"/>
    <n v="1029.8800000000001"/>
    <n v="517.65"/>
  </r>
  <r>
    <x v="538"/>
    <x v="198"/>
    <x v="3"/>
    <x v="9"/>
    <x v="7"/>
    <x v="2"/>
    <n v="10"/>
    <n v="11.58"/>
    <n v="0"/>
    <n v="115.8"/>
    <n v="84.94"/>
    <n v="30.86"/>
  </r>
  <r>
    <x v="539"/>
    <x v="285"/>
    <x v="3"/>
    <x v="6"/>
    <x v="10"/>
    <x v="0"/>
    <n v="4"/>
    <n v="503.51"/>
    <n v="0.05"/>
    <n v="1913.34"/>
    <n v="1543.09"/>
    <n v="370.25"/>
  </r>
  <r>
    <x v="540"/>
    <x v="238"/>
    <x v="3"/>
    <x v="7"/>
    <x v="4"/>
    <x v="1"/>
    <n v="3"/>
    <n v="38.01"/>
    <n v="0.15"/>
    <n v="96.93"/>
    <n v="55.65"/>
    <n v="41.28"/>
  </r>
  <r>
    <x v="541"/>
    <x v="188"/>
    <x v="2"/>
    <x v="4"/>
    <x v="7"/>
    <x v="2"/>
    <n v="7"/>
    <n v="11.7"/>
    <n v="0.1"/>
    <n v="73.709999999999994"/>
    <n v="58.04"/>
    <n v="15.67"/>
  </r>
  <r>
    <x v="542"/>
    <x v="114"/>
    <x v="2"/>
    <x v="3"/>
    <x v="2"/>
    <x v="2"/>
    <n v="3"/>
    <n v="9.07"/>
    <n v="0.1"/>
    <n v="24.49"/>
    <n v="16.559999999999999"/>
    <n v="7.93"/>
  </r>
  <r>
    <x v="543"/>
    <x v="1"/>
    <x v="2"/>
    <x v="4"/>
    <x v="5"/>
    <x v="3"/>
    <n v="8"/>
    <n v="258.51"/>
    <n v="0.15"/>
    <n v="1757.87"/>
    <n v="1046.1099999999999"/>
    <n v="711.76"/>
  </r>
  <r>
    <x v="544"/>
    <x v="175"/>
    <x v="0"/>
    <x v="5"/>
    <x v="9"/>
    <x v="2"/>
    <n v="3"/>
    <n v="183.58"/>
    <n v="0.02"/>
    <n v="539.73"/>
    <n v="330.61"/>
    <n v="209.12"/>
  </r>
  <r>
    <x v="545"/>
    <x v="19"/>
    <x v="1"/>
    <x v="11"/>
    <x v="6"/>
    <x v="3"/>
    <n v="8"/>
    <n v="158.59"/>
    <n v="0.1"/>
    <n v="1141.8499999999999"/>
    <n v="828.3"/>
    <n v="313.55"/>
  </r>
  <r>
    <x v="546"/>
    <x v="181"/>
    <x v="1"/>
    <x v="10"/>
    <x v="11"/>
    <x v="0"/>
    <n v="2"/>
    <n v="82.59"/>
    <n v="0.15"/>
    <n v="140.4"/>
    <n v="96.65"/>
    <n v="43.75"/>
  </r>
  <r>
    <x v="547"/>
    <x v="164"/>
    <x v="3"/>
    <x v="9"/>
    <x v="0"/>
    <x v="0"/>
    <n v="5"/>
    <n v="781.32"/>
    <n v="0.02"/>
    <n v="3828.47"/>
    <n v="2288.13"/>
    <n v="1540.34"/>
  </r>
  <r>
    <x v="548"/>
    <x v="251"/>
    <x v="2"/>
    <x v="3"/>
    <x v="9"/>
    <x v="2"/>
    <n v="10"/>
    <n v="146.58000000000001"/>
    <n v="0.2"/>
    <n v="1172.6400000000001"/>
    <n v="703.98"/>
    <n v="468.66"/>
  </r>
  <r>
    <x v="549"/>
    <x v="246"/>
    <x v="0"/>
    <x v="1"/>
    <x v="7"/>
    <x v="2"/>
    <n v="2"/>
    <n v="13.01"/>
    <n v="0.05"/>
    <n v="24.72"/>
    <n v="15.93"/>
    <n v="8.7899999999999991"/>
  </r>
  <r>
    <x v="550"/>
    <x v="286"/>
    <x v="0"/>
    <x v="0"/>
    <x v="4"/>
    <x v="1"/>
    <n v="8"/>
    <n v="30.36"/>
    <n v="0.15"/>
    <n v="206.45"/>
    <n v="167.57"/>
    <n v="38.880000000000003"/>
  </r>
  <r>
    <x v="551"/>
    <x v="118"/>
    <x v="0"/>
    <x v="0"/>
    <x v="4"/>
    <x v="1"/>
    <n v="4"/>
    <n v="39.03"/>
    <n v="0.05"/>
    <n v="148.31"/>
    <n v="118.72"/>
    <n v="29.59"/>
  </r>
  <r>
    <x v="552"/>
    <x v="113"/>
    <x v="3"/>
    <x v="6"/>
    <x v="5"/>
    <x v="3"/>
    <n v="2"/>
    <n v="287.12"/>
    <n v="0.1"/>
    <n v="516.82000000000005"/>
    <n v="308.52"/>
    <n v="208.3"/>
  </r>
  <r>
    <x v="553"/>
    <x v="262"/>
    <x v="2"/>
    <x v="3"/>
    <x v="4"/>
    <x v="1"/>
    <n v="10"/>
    <n v="33.909999999999997"/>
    <n v="0.2"/>
    <n v="271.27999999999997"/>
    <n v="204.74"/>
    <n v="66.540000000000006"/>
  </r>
  <r>
    <x v="554"/>
    <x v="240"/>
    <x v="1"/>
    <x v="10"/>
    <x v="11"/>
    <x v="0"/>
    <n v="10"/>
    <n v="84.7"/>
    <n v="0.02"/>
    <n v="830.06"/>
    <n v="491.02"/>
    <n v="339.04"/>
  </r>
  <r>
    <x v="555"/>
    <x v="287"/>
    <x v="0"/>
    <x v="5"/>
    <x v="7"/>
    <x v="2"/>
    <n v="6"/>
    <n v="13.14"/>
    <n v="0.15"/>
    <n v="67.010000000000005"/>
    <n v="40.92"/>
    <n v="26.09"/>
  </r>
  <r>
    <x v="556"/>
    <x v="23"/>
    <x v="2"/>
    <x v="8"/>
    <x v="5"/>
    <x v="3"/>
    <n v="5"/>
    <n v="229.29"/>
    <n v="0.05"/>
    <n v="1089.1300000000001"/>
    <n v="756.93"/>
    <n v="332.2"/>
  </r>
  <r>
    <x v="557"/>
    <x v="146"/>
    <x v="0"/>
    <x v="5"/>
    <x v="11"/>
    <x v="0"/>
    <n v="7"/>
    <n v="82.23"/>
    <n v="0"/>
    <n v="575.61"/>
    <n v="406.74"/>
    <n v="168.87"/>
  </r>
  <r>
    <x v="558"/>
    <x v="85"/>
    <x v="2"/>
    <x v="4"/>
    <x v="4"/>
    <x v="1"/>
    <n v="3"/>
    <n v="30.71"/>
    <n v="0.02"/>
    <n v="90.29"/>
    <n v="71.05"/>
    <n v="19.239999999999998"/>
  </r>
  <r>
    <x v="559"/>
    <x v="288"/>
    <x v="3"/>
    <x v="6"/>
    <x v="3"/>
    <x v="0"/>
    <n v="7"/>
    <n v="204.53"/>
    <n v="0.1"/>
    <n v="1288.54"/>
    <n v="753.76"/>
    <n v="534.78"/>
  </r>
  <r>
    <x v="560"/>
    <x v="283"/>
    <x v="3"/>
    <x v="7"/>
    <x v="1"/>
    <x v="1"/>
    <n v="7"/>
    <n v="50.25"/>
    <n v="0.1"/>
    <n v="316.57"/>
    <n v="255.8"/>
    <n v="60.77"/>
  </r>
  <r>
    <x v="561"/>
    <x v="43"/>
    <x v="0"/>
    <x v="5"/>
    <x v="6"/>
    <x v="3"/>
    <n v="9"/>
    <n v="155.21"/>
    <n v="0.2"/>
    <n v="1117.51"/>
    <n v="858.88"/>
    <n v="258.63"/>
  </r>
  <r>
    <x v="562"/>
    <x v="155"/>
    <x v="3"/>
    <x v="9"/>
    <x v="9"/>
    <x v="2"/>
    <n v="8"/>
    <n v="167.45"/>
    <n v="0.05"/>
    <n v="1272.6199999999999"/>
    <n v="889.22"/>
    <n v="383.4"/>
  </r>
  <r>
    <x v="563"/>
    <x v="25"/>
    <x v="0"/>
    <x v="1"/>
    <x v="4"/>
    <x v="1"/>
    <n v="8"/>
    <n v="30.66"/>
    <n v="0.2"/>
    <n v="196.22"/>
    <n v="129.56"/>
    <n v="66.66"/>
  </r>
  <r>
    <x v="564"/>
    <x v="122"/>
    <x v="3"/>
    <x v="6"/>
    <x v="10"/>
    <x v="0"/>
    <n v="9"/>
    <n v="528.99"/>
    <n v="0.1"/>
    <n v="4284.82"/>
    <n v="2657.16"/>
    <n v="1627.66"/>
  </r>
  <r>
    <x v="565"/>
    <x v="289"/>
    <x v="2"/>
    <x v="3"/>
    <x v="9"/>
    <x v="2"/>
    <n v="5"/>
    <n v="170.72"/>
    <n v="0.05"/>
    <n v="810.92"/>
    <n v="554.58000000000004"/>
    <n v="256.33999999999997"/>
  </r>
  <r>
    <x v="566"/>
    <x v="101"/>
    <x v="2"/>
    <x v="8"/>
    <x v="7"/>
    <x v="2"/>
    <n v="8"/>
    <n v="10.49"/>
    <n v="0.05"/>
    <n v="79.72"/>
    <n v="48.59"/>
    <n v="31.13"/>
  </r>
  <r>
    <x v="567"/>
    <x v="225"/>
    <x v="0"/>
    <x v="0"/>
    <x v="10"/>
    <x v="0"/>
    <n v="8"/>
    <n v="580.24"/>
    <n v="0"/>
    <n v="4641.92"/>
    <n v="2648.47"/>
    <n v="1993.45"/>
  </r>
  <r>
    <x v="568"/>
    <x v="132"/>
    <x v="1"/>
    <x v="10"/>
    <x v="9"/>
    <x v="2"/>
    <n v="1"/>
    <n v="176.86"/>
    <n v="0.1"/>
    <n v="159.16999999999999"/>
    <n v="108.82"/>
    <n v="50.35"/>
  </r>
  <r>
    <x v="569"/>
    <x v="15"/>
    <x v="2"/>
    <x v="3"/>
    <x v="1"/>
    <x v="1"/>
    <n v="5"/>
    <n v="44.74"/>
    <n v="0.02"/>
    <n v="219.23"/>
    <n v="155.63999999999999"/>
    <n v="63.59"/>
  </r>
  <r>
    <x v="570"/>
    <x v="116"/>
    <x v="3"/>
    <x v="9"/>
    <x v="8"/>
    <x v="3"/>
    <n v="2"/>
    <n v="197.53"/>
    <n v="0.05"/>
    <n v="375.31"/>
    <n v="241.67"/>
    <n v="133.63999999999999"/>
  </r>
  <r>
    <x v="571"/>
    <x v="230"/>
    <x v="2"/>
    <x v="3"/>
    <x v="0"/>
    <x v="0"/>
    <n v="7"/>
    <n v="895.39"/>
    <n v="0.2"/>
    <n v="5014.18"/>
    <n v="3523.7"/>
    <n v="1490.48"/>
  </r>
  <r>
    <x v="572"/>
    <x v="172"/>
    <x v="2"/>
    <x v="4"/>
    <x v="6"/>
    <x v="3"/>
    <n v="2"/>
    <n v="130.22"/>
    <n v="0.2"/>
    <n v="208.35"/>
    <n v="164.02"/>
    <n v="44.33"/>
  </r>
  <r>
    <x v="573"/>
    <x v="72"/>
    <x v="2"/>
    <x v="8"/>
    <x v="9"/>
    <x v="2"/>
    <n v="2"/>
    <n v="174.28"/>
    <n v="0.02"/>
    <n v="341.59"/>
    <n v="248.6"/>
    <n v="92.99"/>
  </r>
  <r>
    <x v="574"/>
    <x v="82"/>
    <x v="1"/>
    <x v="2"/>
    <x v="0"/>
    <x v="0"/>
    <n v="1"/>
    <n v="939.4"/>
    <n v="0.2"/>
    <n v="751.52"/>
    <n v="589.32000000000005"/>
    <n v="162.19999999999999"/>
  </r>
  <r>
    <x v="575"/>
    <x v="108"/>
    <x v="1"/>
    <x v="10"/>
    <x v="4"/>
    <x v="1"/>
    <n v="3"/>
    <n v="37.19"/>
    <n v="0.1"/>
    <n v="100.41"/>
    <n v="77.92"/>
    <n v="22.49"/>
  </r>
  <r>
    <x v="576"/>
    <x v="139"/>
    <x v="1"/>
    <x v="2"/>
    <x v="10"/>
    <x v="0"/>
    <n v="2"/>
    <n v="582.58000000000004"/>
    <n v="0"/>
    <n v="1165.1600000000001"/>
    <n v="854.81"/>
    <n v="310.35000000000002"/>
  </r>
  <r>
    <x v="577"/>
    <x v="186"/>
    <x v="3"/>
    <x v="9"/>
    <x v="11"/>
    <x v="0"/>
    <n v="7"/>
    <n v="82.85"/>
    <n v="0.02"/>
    <n v="568.35"/>
    <n v="428.1"/>
    <n v="140.25"/>
  </r>
  <r>
    <x v="578"/>
    <x v="168"/>
    <x v="2"/>
    <x v="4"/>
    <x v="10"/>
    <x v="0"/>
    <n v="9"/>
    <n v="493.67"/>
    <n v="0.15"/>
    <n v="3776.58"/>
    <n v="2975.32"/>
    <n v="801.26"/>
  </r>
  <r>
    <x v="579"/>
    <x v="130"/>
    <x v="2"/>
    <x v="4"/>
    <x v="9"/>
    <x v="2"/>
    <n v="6"/>
    <n v="177.85"/>
    <n v="0.2"/>
    <n v="853.68"/>
    <n v="476.27"/>
    <n v="377.41"/>
  </r>
  <r>
    <x v="580"/>
    <x v="9"/>
    <x v="2"/>
    <x v="3"/>
    <x v="6"/>
    <x v="3"/>
    <n v="10"/>
    <n v="153.68"/>
    <n v="0.2"/>
    <n v="1229.44"/>
    <n v="718.97"/>
    <n v="510.47"/>
  </r>
  <r>
    <x v="581"/>
    <x v="290"/>
    <x v="0"/>
    <x v="1"/>
    <x v="10"/>
    <x v="0"/>
    <n v="3"/>
    <n v="522.79"/>
    <n v="0"/>
    <n v="1568.37"/>
    <n v="1177.45"/>
    <n v="390.92"/>
  </r>
  <r>
    <x v="582"/>
    <x v="291"/>
    <x v="3"/>
    <x v="6"/>
    <x v="6"/>
    <x v="3"/>
    <n v="6"/>
    <n v="125.75"/>
    <n v="0.02"/>
    <n v="739.41"/>
    <n v="569.98"/>
    <n v="169.43"/>
  </r>
  <r>
    <x v="583"/>
    <x v="119"/>
    <x v="0"/>
    <x v="1"/>
    <x v="3"/>
    <x v="0"/>
    <n v="9"/>
    <n v="241.92"/>
    <n v="0.15"/>
    <n v="1850.69"/>
    <n v="1271.45"/>
    <n v="579.24"/>
  </r>
  <r>
    <x v="584"/>
    <x v="292"/>
    <x v="3"/>
    <x v="7"/>
    <x v="4"/>
    <x v="1"/>
    <n v="1"/>
    <n v="29.82"/>
    <n v="0.2"/>
    <n v="23.86"/>
    <n v="14.97"/>
    <n v="8.89"/>
  </r>
  <r>
    <x v="585"/>
    <x v="287"/>
    <x v="2"/>
    <x v="8"/>
    <x v="4"/>
    <x v="1"/>
    <n v="7"/>
    <n v="36.229999999999997"/>
    <n v="0.05"/>
    <n v="240.93"/>
    <n v="196.34"/>
    <n v="44.59"/>
  </r>
  <r>
    <x v="586"/>
    <x v="126"/>
    <x v="2"/>
    <x v="4"/>
    <x v="9"/>
    <x v="2"/>
    <n v="7"/>
    <n v="166.33"/>
    <n v="0"/>
    <n v="1164.31"/>
    <n v="722.04"/>
    <n v="442.27"/>
  </r>
  <r>
    <x v="587"/>
    <x v="293"/>
    <x v="0"/>
    <x v="5"/>
    <x v="2"/>
    <x v="2"/>
    <n v="1"/>
    <n v="8.32"/>
    <n v="0.05"/>
    <n v="7.9"/>
    <n v="5.5"/>
    <n v="2.4"/>
  </r>
  <r>
    <x v="588"/>
    <x v="38"/>
    <x v="1"/>
    <x v="11"/>
    <x v="7"/>
    <x v="2"/>
    <n v="7"/>
    <n v="13.01"/>
    <n v="0.05"/>
    <n v="86.52"/>
    <n v="50.09"/>
    <n v="36.43"/>
  </r>
  <r>
    <x v="589"/>
    <x v="294"/>
    <x v="2"/>
    <x v="8"/>
    <x v="9"/>
    <x v="2"/>
    <n v="2"/>
    <n v="172.53"/>
    <n v="0"/>
    <n v="345.06"/>
    <n v="240.21"/>
    <n v="104.85"/>
  </r>
  <r>
    <x v="590"/>
    <x v="200"/>
    <x v="0"/>
    <x v="0"/>
    <x v="8"/>
    <x v="3"/>
    <n v="4"/>
    <n v="205"/>
    <n v="0"/>
    <n v="820"/>
    <n v="526.69000000000005"/>
    <n v="293.31"/>
  </r>
  <r>
    <x v="591"/>
    <x v="236"/>
    <x v="3"/>
    <x v="7"/>
    <x v="1"/>
    <x v="1"/>
    <n v="9"/>
    <n v="46.79"/>
    <n v="0.1"/>
    <n v="379"/>
    <n v="303.82"/>
    <n v="75.180000000000007"/>
  </r>
  <r>
    <x v="592"/>
    <x v="4"/>
    <x v="1"/>
    <x v="11"/>
    <x v="10"/>
    <x v="0"/>
    <n v="9"/>
    <n v="484.41"/>
    <n v="0.15"/>
    <n v="3705.74"/>
    <n v="2975.9"/>
    <n v="729.84"/>
  </r>
  <r>
    <x v="593"/>
    <x v="27"/>
    <x v="3"/>
    <x v="9"/>
    <x v="10"/>
    <x v="0"/>
    <n v="5"/>
    <n v="581"/>
    <n v="0"/>
    <n v="2905"/>
    <n v="1650.96"/>
    <n v="1254.04"/>
  </r>
  <r>
    <x v="594"/>
    <x v="295"/>
    <x v="2"/>
    <x v="8"/>
    <x v="2"/>
    <x v="2"/>
    <n v="6"/>
    <n v="7.52"/>
    <n v="0.1"/>
    <n v="40.61"/>
    <n v="30.1"/>
    <n v="10.51"/>
  </r>
  <r>
    <x v="595"/>
    <x v="273"/>
    <x v="0"/>
    <x v="0"/>
    <x v="8"/>
    <x v="3"/>
    <n v="7"/>
    <n v="156.63999999999999"/>
    <n v="0.2"/>
    <n v="877.18"/>
    <n v="620.33000000000004"/>
    <n v="256.85000000000002"/>
  </r>
  <r>
    <x v="596"/>
    <x v="46"/>
    <x v="2"/>
    <x v="3"/>
    <x v="10"/>
    <x v="0"/>
    <n v="7"/>
    <n v="524.57000000000005"/>
    <n v="0"/>
    <n v="3671.99"/>
    <n v="2635.19"/>
    <n v="1036.8"/>
  </r>
  <r>
    <x v="597"/>
    <x v="55"/>
    <x v="0"/>
    <x v="0"/>
    <x v="8"/>
    <x v="3"/>
    <n v="3"/>
    <n v="155.47"/>
    <n v="0"/>
    <n v="466.41"/>
    <n v="366.28"/>
    <n v="100.13"/>
  </r>
  <r>
    <x v="598"/>
    <x v="36"/>
    <x v="2"/>
    <x v="3"/>
    <x v="4"/>
    <x v="1"/>
    <n v="1"/>
    <n v="39.97"/>
    <n v="0.02"/>
    <n v="39.17"/>
    <n v="31.79"/>
    <n v="7.38"/>
  </r>
  <r>
    <x v="599"/>
    <x v="296"/>
    <x v="3"/>
    <x v="9"/>
    <x v="11"/>
    <x v="0"/>
    <n v="6"/>
    <n v="85.99"/>
    <n v="0.02"/>
    <n v="505.62"/>
    <n v="295.85000000000002"/>
    <n v="209.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656101-657F-40F2-BC9E-601F57193118}" name="PivotTable1"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Month">
  <location ref="A2:D15" firstHeaderRow="0" firstDataRow="1" firstDataCol="1"/>
  <pivotFields count="14">
    <pivotField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axis="axisRow" numFmtId="14" showAll="0">
      <items count="298">
        <item x="72"/>
        <item x="25"/>
        <item x="215"/>
        <item x="5"/>
        <item x="257"/>
        <item x="268"/>
        <item x="169"/>
        <item x="216"/>
        <item x="35"/>
        <item x="162"/>
        <item x="66"/>
        <item x="98"/>
        <item x="187"/>
        <item x="16"/>
        <item x="229"/>
        <item x="222"/>
        <item x="165"/>
        <item x="10"/>
        <item x="225"/>
        <item x="163"/>
        <item x="126"/>
        <item x="201"/>
        <item x="46"/>
        <item x="185"/>
        <item x="258"/>
        <item x="93"/>
        <item x="182"/>
        <item x="200"/>
        <item x="37"/>
        <item x="237"/>
        <item x="43"/>
        <item x="158"/>
        <item x="131"/>
        <item x="99"/>
        <item x="30"/>
        <item x="195"/>
        <item x="21"/>
        <item x="116"/>
        <item x="39"/>
        <item x="7"/>
        <item x="174"/>
        <item x="203"/>
        <item x="56"/>
        <item x="255"/>
        <item x="42"/>
        <item x="179"/>
        <item x="261"/>
        <item x="106"/>
        <item x="108"/>
        <item x="147"/>
        <item x="136"/>
        <item x="121"/>
        <item x="260"/>
        <item x="38"/>
        <item x="285"/>
        <item x="149"/>
        <item x="192"/>
        <item x="1"/>
        <item x="207"/>
        <item x="159"/>
        <item x="197"/>
        <item x="269"/>
        <item x="27"/>
        <item x="6"/>
        <item x="132"/>
        <item x="148"/>
        <item x="142"/>
        <item x="271"/>
        <item x="135"/>
        <item x="227"/>
        <item x="80"/>
        <item x="248"/>
        <item x="198"/>
        <item x="140"/>
        <item x="254"/>
        <item x="65"/>
        <item x="238"/>
        <item x="124"/>
        <item x="231"/>
        <item x="263"/>
        <item x="250"/>
        <item x="84"/>
        <item x="284"/>
        <item x="160"/>
        <item x="33"/>
        <item x="295"/>
        <item x="287"/>
        <item x="78"/>
        <item x="178"/>
        <item x="290"/>
        <item x="164"/>
        <item x="196"/>
        <item x="103"/>
        <item x="82"/>
        <item x="272"/>
        <item x="139"/>
        <item x="92"/>
        <item x="151"/>
        <item x="173"/>
        <item x="262"/>
        <item x="115"/>
        <item x="264"/>
        <item x="14"/>
        <item x="89"/>
        <item x="127"/>
        <item x="59"/>
        <item x="224"/>
        <item x="105"/>
        <item x="100"/>
        <item x="232"/>
        <item x="53"/>
        <item x="146"/>
        <item x="274"/>
        <item x="137"/>
        <item x="90"/>
        <item x="119"/>
        <item x="67"/>
        <item x="278"/>
        <item x="133"/>
        <item x="54"/>
        <item x="233"/>
        <item x="251"/>
        <item x="235"/>
        <item x="277"/>
        <item x="156"/>
        <item x="226"/>
        <item x="129"/>
        <item x="247"/>
        <item x="77"/>
        <item x="117"/>
        <item x="29"/>
        <item x="210"/>
        <item x="107"/>
        <item x="52"/>
        <item x="223"/>
        <item x="87"/>
        <item x="234"/>
        <item x="150"/>
        <item x="143"/>
        <item x="189"/>
        <item x="171"/>
        <item x="208"/>
        <item x="73"/>
        <item x="219"/>
        <item x="91"/>
        <item x="101"/>
        <item x="167"/>
        <item x="24"/>
        <item x="58"/>
        <item x="70"/>
        <item x="296"/>
        <item x="141"/>
        <item x="95"/>
        <item x="12"/>
        <item x="175"/>
        <item x="120"/>
        <item x="145"/>
        <item x="63"/>
        <item x="286"/>
        <item x="186"/>
        <item x="109"/>
        <item x="213"/>
        <item x="267"/>
        <item x="259"/>
        <item x="11"/>
        <item x="291"/>
        <item x="71"/>
        <item x="218"/>
        <item x="244"/>
        <item x="191"/>
        <item x="236"/>
        <item x="20"/>
        <item x="125"/>
        <item x="97"/>
        <item x="205"/>
        <item x="40"/>
        <item x="265"/>
        <item x="94"/>
        <item x="266"/>
        <item x="188"/>
        <item x="276"/>
        <item x="2"/>
        <item x="118"/>
        <item x="289"/>
        <item x="245"/>
        <item x="138"/>
        <item x="112"/>
        <item x="60"/>
        <item x="181"/>
        <item x="88"/>
        <item x="212"/>
        <item x="113"/>
        <item x="34"/>
        <item x="176"/>
        <item x="86"/>
        <item x="18"/>
        <item x="8"/>
        <item x="202"/>
        <item x="242"/>
        <item x="79"/>
        <item x="243"/>
        <item x="102"/>
        <item x="214"/>
        <item x="104"/>
        <item x="83"/>
        <item x="252"/>
        <item x="281"/>
        <item x="45"/>
        <item x="114"/>
        <item x="110"/>
        <item x="199"/>
        <item x="193"/>
        <item x="293"/>
        <item x="166"/>
        <item x="3"/>
        <item x="74"/>
        <item x="48"/>
        <item x="239"/>
        <item x="180"/>
        <item x="204"/>
        <item x="256"/>
        <item x="249"/>
        <item x="270"/>
        <item x="157"/>
        <item x="154"/>
        <item x="68"/>
        <item x="44"/>
        <item x="144"/>
        <item x="217"/>
        <item x="96"/>
        <item x="183"/>
        <item x="246"/>
        <item x="62"/>
        <item x="57"/>
        <item x="280"/>
        <item x="275"/>
        <item x="19"/>
        <item x="177"/>
        <item x="17"/>
        <item x="161"/>
        <item x="123"/>
        <item x="283"/>
        <item x="50"/>
        <item x="69"/>
        <item x="51"/>
        <item x="47"/>
        <item x="253"/>
        <item x="134"/>
        <item x="279"/>
        <item x="23"/>
        <item x="28"/>
        <item x="206"/>
        <item x="32"/>
        <item x="292"/>
        <item x="130"/>
        <item x="55"/>
        <item x="128"/>
        <item x="81"/>
        <item x="211"/>
        <item x="26"/>
        <item x="9"/>
        <item x="221"/>
        <item x="273"/>
        <item x="228"/>
        <item x="0"/>
        <item x="241"/>
        <item x="220"/>
        <item x="41"/>
        <item x="13"/>
        <item x="230"/>
        <item x="111"/>
        <item x="85"/>
        <item x="282"/>
        <item x="31"/>
        <item x="76"/>
        <item x="64"/>
        <item x="209"/>
        <item x="170"/>
        <item x="49"/>
        <item x="168"/>
        <item x="190"/>
        <item x="22"/>
        <item x="294"/>
        <item x="184"/>
        <item x="15"/>
        <item x="61"/>
        <item x="153"/>
        <item x="155"/>
        <item x="75"/>
        <item x="122"/>
        <item x="172"/>
        <item x="4"/>
        <item x="194"/>
        <item x="152"/>
        <item x="36"/>
        <item x="240"/>
        <item x="288"/>
        <item t="default"/>
      </items>
    </pivotField>
    <pivotField showAll="0">
      <items count="5">
        <item x="3"/>
        <item x="0"/>
        <item x="2"/>
        <item x="1"/>
        <item t="default"/>
      </items>
    </pivotField>
    <pivotField showAll="0"/>
    <pivotField showAll="0">
      <items count="13">
        <item x="1"/>
        <item x="6"/>
        <item x="5"/>
        <item x="11"/>
        <item x="4"/>
        <item x="0"/>
        <item x="3"/>
        <item x="2"/>
        <item x="8"/>
        <item x="7"/>
        <item x="9"/>
        <item x="10"/>
        <item t="default"/>
      </items>
    </pivotField>
    <pivotField showAll="0">
      <items count="5">
        <item x="1"/>
        <item x="0"/>
        <item x="3"/>
        <item x="2"/>
        <item t="default"/>
      </items>
    </pivotField>
    <pivotField dataField="1" showAll="0"/>
    <pivotField numFmtId="4" showAll="0"/>
    <pivotField numFmtId="165" showAll="0"/>
    <pivotField dataField="1" numFmtId="4" showAll="0"/>
    <pivotField numFmtId="4" showAll="0"/>
    <pivotField dataField="1" numFmtId="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3"/>
    <field x="12"/>
    <field x="1"/>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Revenue " fld="9" baseField="0" baseItem="0" numFmtId="4"/>
    <dataField name="Profit " fld="11" baseField="13" baseItem="1" numFmtId="4"/>
    <dataField name="Quantity " fld="6" baseField="13" baseItem="1"/>
  </dataFields>
  <chartFormats count="3">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76AF35-7D1E-4AF1-9384-42BAE1856A51}"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A28:D41" firstHeaderRow="0" firstDataRow="1" firstDataCol="1"/>
  <pivotFields count="14">
    <pivotField showAll="0"/>
    <pivotField numFmtId="14" showAll="0">
      <items count="298">
        <item x="72"/>
        <item x="25"/>
        <item x="215"/>
        <item x="5"/>
        <item x="257"/>
        <item x="268"/>
        <item x="169"/>
        <item x="216"/>
        <item x="35"/>
        <item x="162"/>
        <item x="66"/>
        <item x="98"/>
        <item x="187"/>
        <item x="16"/>
        <item x="229"/>
        <item x="222"/>
        <item x="165"/>
        <item x="10"/>
        <item x="225"/>
        <item x="163"/>
        <item x="126"/>
        <item x="201"/>
        <item x="46"/>
        <item x="185"/>
        <item x="258"/>
        <item x="93"/>
        <item x="182"/>
        <item x="200"/>
        <item x="37"/>
        <item x="237"/>
        <item x="43"/>
        <item x="158"/>
        <item x="131"/>
        <item x="99"/>
        <item x="30"/>
        <item x="195"/>
        <item x="21"/>
        <item x="116"/>
        <item x="39"/>
        <item x="7"/>
        <item x="174"/>
        <item x="203"/>
        <item x="56"/>
        <item x="255"/>
        <item x="42"/>
        <item x="179"/>
        <item x="261"/>
        <item x="106"/>
        <item x="108"/>
        <item x="147"/>
        <item x="136"/>
        <item x="121"/>
        <item x="260"/>
        <item x="38"/>
        <item x="285"/>
        <item x="149"/>
        <item x="192"/>
        <item x="1"/>
        <item x="207"/>
        <item x="159"/>
        <item x="197"/>
        <item x="269"/>
        <item x="27"/>
        <item x="6"/>
        <item x="132"/>
        <item x="148"/>
        <item x="142"/>
        <item x="271"/>
        <item x="135"/>
        <item x="227"/>
        <item x="80"/>
        <item x="248"/>
        <item x="198"/>
        <item x="140"/>
        <item x="254"/>
        <item x="65"/>
        <item x="238"/>
        <item x="124"/>
        <item x="231"/>
        <item x="263"/>
        <item x="250"/>
        <item x="84"/>
        <item x="284"/>
        <item x="160"/>
        <item x="33"/>
        <item x="295"/>
        <item x="287"/>
        <item x="78"/>
        <item x="178"/>
        <item x="290"/>
        <item x="164"/>
        <item x="196"/>
        <item x="103"/>
        <item x="82"/>
        <item x="272"/>
        <item x="139"/>
        <item x="92"/>
        <item x="151"/>
        <item x="173"/>
        <item x="262"/>
        <item x="115"/>
        <item x="264"/>
        <item x="14"/>
        <item x="89"/>
        <item x="127"/>
        <item x="59"/>
        <item x="224"/>
        <item x="105"/>
        <item x="100"/>
        <item x="232"/>
        <item x="53"/>
        <item x="146"/>
        <item x="274"/>
        <item x="137"/>
        <item x="90"/>
        <item x="119"/>
        <item x="67"/>
        <item x="278"/>
        <item x="133"/>
        <item x="54"/>
        <item x="233"/>
        <item x="251"/>
        <item x="235"/>
        <item x="277"/>
        <item x="156"/>
        <item x="226"/>
        <item x="129"/>
        <item x="247"/>
        <item x="77"/>
        <item x="117"/>
        <item x="29"/>
        <item x="210"/>
        <item x="107"/>
        <item x="52"/>
        <item x="223"/>
        <item x="87"/>
        <item x="234"/>
        <item x="150"/>
        <item x="143"/>
        <item x="189"/>
        <item x="171"/>
        <item x="208"/>
        <item x="73"/>
        <item x="219"/>
        <item x="91"/>
        <item x="101"/>
        <item x="167"/>
        <item x="24"/>
        <item x="58"/>
        <item x="70"/>
        <item x="296"/>
        <item x="141"/>
        <item x="95"/>
        <item x="12"/>
        <item x="175"/>
        <item x="120"/>
        <item x="145"/>
        <item x="63"/>
        <item x="286"/>
        <item x="186"/>
        <item x="109"/>
        <item x="213"/>
        <item x="267"/>
        <item x="259"/>
        <item x="11"/>
        <item x="291"/>
        <item x="71"/>
        <item x="218"/>
        <item x="244"/>
        <item x="191"/>
        <item x="236"/>
        <item x="20"/>
        <item x="125"/>
        <item x="97"/>
        <item x="205"/>
        <item x="40"/>
        <item x="265"/>
        <item x="94"/>
        <item x="266"/>
        <item x="188"/>
        <item x="276"/>
        <item x="2"/>
        <item x="118"/>
        <item x="289"/>
        <item x="245"/>
        <item x="138"/>
        <item x="112"/>
        <item x="60"/>
        <item x="181"/>
        <item x="88"/>
        <item x="212"/>
        <item x="113"/>
        <item x="34"/>
        <item x="176"/>
        <item x="86"/>
        <item x="18"/>
        <item x="8"/>
        <item x="202"/>
        <item x="242"/>
        <item x="79"/>
        <item x="243"/>
        <item x="102"/>
        <item x="214"/>
        <item x="104"/>
        <item x="83"/>
        <item x="252"/>
        <item x="281"/>
        <item x="45"/>
        <item x="114"/>
        <item x="110"/>
        <item x="199"/>
        <item x="193"/>
        <item x="293"/>
        <item x="166"/>
        <item x="3"/>
        <item x="74"/>
        <item x="48"/>
        <item x="239"/>
        <item x="180"/>
        <item x="204"/>
        <item x="256"/>
        <item x="249"/>
        <item x="270"/>
        <item x="157"/>
        <item x="154"/>
        <item x="68"/>
        <item x="44"/>
        <item x="144"/>
        <item x="217"/>
        <item x="96"/>
        <item x="183"/>
        <item x="246"/>
        <item x="62"/>
        <item x="57"/>
        <item x="280"/>
        <item x="275"/>
        <item x="19"/>
        <item x="177"/>
        <item x="17"/>
        <item x="161"/>
        <item x="123"/>
        <item x="283"/>
        <item x="50"/>
        <item x="69"/>
        <item x="51"/>
        <item x="47"/>
        <item x="253"/>
        <item x="134"/>
        <item x="279"/>
        <item x="23"/>
        <item x="28"/>
        <item x="206"/>
        <item x="32"/>
        <item x="292"/>
        <item x="130"/>
        <item x="55"/>
        <item x="128"/>
        <item x="81"/>
        <item x="211"/>
        <item x="26"/>
        <item x="9"/>
        <item x="221"/>
        <item x="273"/>
        <item x="228"/>
        <item x="0"/>
        <item x="241"/>
        <item x="220"/>
        <item x="41"/>
        <item x="13"/>
        <item x="230"/>
        <item x="111"/>
        <item x="85"/>
        <item x="282"/>
        <item x="31"/>
        <item x="76"/>
        <item x="64"/>
        <item x="209"/>
        <item x="170"/>
        <item x="49"/>
        <item x="168"/>
        <item x="190"/>
        <item x="22"/>
        <item x="294"/>
        <item x="184"/>
        <item x="15"/>
        <item x="61"/>
        <item x="153"/>
        <item x="155"/>
        <item x="75"/>
        <item x="122"/>
        <item x="172"/>
        <item x="4"/>
        <item x="194"/>
        <item x="152"/>
        <item x="36"/>
        <item x="240"/>
        <item x="288"/>
        <item t="default"/>
      </items>
    </pivotField>
    <pivotField showAll="0">
      <items count="5">
        <item x="3"/>
        <item x="0"/>
        <item x="2"/>
        <item x="1"/>
        <item t="default"/>
      </items>
    </pivotField>
    <pivotField axis="axisRow" showAll="0">
      <items count="13">
        <item x="11"/>
        <item x="8"/>
        <item x="7"/>
        <item x="3"/>
        <item x="0"/>
        <item x="4"/>
        <item x="5"/>
        <item x="6"/>
        <item x="1"/>
        <item x="10"/>
        <item x="9"/>
        <item x="2"/>
        <item t="default"/>
      </items>
    </pivotField>
    <pivotField showAll="0">
      <items count="13">
        <item x="1"/>
        <item x="6"/>
        <item x="5"/>
        <item x="11"/>
        <item x="4"/>
        <item x="0"/>
        <item x="3"/>
        <item x="2"/>
        <item x="8"/>
        <item x="7"/>
        <item x="9"/>
        <item x="10"/>
        <item t="default"/>
      </items>
    </pivotField>
    <pivotField showAll="0">
      <items count="5">
        <item x="1"/>
        <item x="0"/>
        <item x="3"/>
        <item x="2"/>
        <item t="default"/>
      </items>
    </pivotField>
    <pivotField dataField="1" showAll="0"/>
    <pivotField numFmtId="4" showAll="0"/>
    <pivotField numFmtId="165" showAll="0"/>
    <pivotField dataField="1" numFmtId="4" showAll="0"/>
    <pivotField dataField="1" numFmtId="4" showAll="0"/>
    <pivotField numFmtId="4"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Revenue " fld="9" baseField="3" baseItem="0" numFmtId="4"/>
    <dataField name="Cost " fld="10" baseField="3" baseItem="0" numFmtId="4"/>
    <dataField name="Quantity " fld="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49843D-ABC0-4D5D-A69D-B728EF3F4611}"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G19:J24" firstHeaderRow="0" firstDataRow="1" firstDataCol="1"/>
  <pivotFields count="14">
    <pivotField showAll="0"/>
    <pivotField numFmtId="14" showAll="0">
      <items count="298">
        <item x="72"/>
        <item x="25"/>
        <item x="215"/>
        <item x="5"/>
        <item x="257"/>
        <item x="268"/>
        <item x="169"/>
        <item x="216"/>
        <item x="35"/>
        <item x="162"/>
        <item x="66"/>
        <item x="98"/>
        <item x="187"/>
        <item x="16"/>
        <item x="229"/>
        <item x="222"/>
        <item x="165"/>
        <item x="10"/>
        <item x="225"/>
        <item x="163"/>
        <item x="126"/>
        <item x="201"/>
        <item x="46"/>
        <item x="185"/>
        <item x="258"/>
        <item x="93"/>
        <item x="182"/>
        <item x="200"/>
        <item x="37"/>
        <item x="237"/>
        <item x="43"/>
        <item x="158"/>
        <item x="131"/>
        <item x="99"/>
        <item x="30"/>
        <item x="195"/>
        <item x="21"/>
        <item x="116"/>
        <item x="39"/>
        <item x="7"/>
        <item x="174"/>
        <item x="203"/>
        <item x="56"/>
        <item x="255"/>
        <item x="42"/>
        <item x="179"/>
        <item x="261"/>
        <item x="106"/>
        <item x="108"/>
        <item x="147"/>
        <item x="136"/>
        <item x="121"/>
        <item x="260"/>
        <item x="38"/>
        <item x="285"/>
        <item x="149"/>
        <item x="192"/>
        <item x="1"/>
        <item x="207"/>
        <item x="159"/>
        <item x="197"/>
        <item x="269"/>
        <item x="27"/>
        <item x="6"/>
        <item x="132"/>
        <item x="148"/>
        <item x="142"/>
        <item x="271"/>
        <item x="135"/>
        <item x="227"/>
        <item x="80"/>
        <item x="248"/>
        <item x="198"/>
        <item x="140"/>
        <item x="254"/>
        <item x="65"/>
        <item x="238"/>
        <item x="124"/>
        <item x="231"/>
        <item x="263"/>
        <item x="250"/>
        <item x="84"/>
        <item x="284"/>
        <item x="160"/>
        <item x="33"/>
        <item x="295"/>
        <item x="287"/>
        <item x="78"/>
        <item x="178"/>
        <item x="290"/>
        <item x="164"/>
        <item x="196"/>
        <item x="103"/>
        <item x="82"/>
        <item x="272"/>
        <item x="139"/>
        <item x="92"/>
        <item x="151"/>
        <item x="173"/>
        <item x="262"/>
        <item x="115"/>
        <item x="264"/>
        <item x="14"/>
        <item x="89"/>
        <item x="127"/>
        <item x="59"/>
        <item x="224"/>
        <item x="105"/>
        <item x="100"/>
        <item x="232"/>
        <item x="53"/>
        <item x="146"/>
        <item x="274"/>
        <item x="137"/>
        <item x="90"/>
        <item x="119"/>
        <item x="67"/>
        <item x="278"/>
        <item x="133"/>
        <item x="54"/>
        <item x="233"/>
        <item x="251"/>
        <item x="235"/>
        <item x="277"/>
        <item x="156"/>
        <item x="226"/>
        <item x="129"/>
        <item x="247"/>
        <item x="77"/>
        <item x="117"/>
        <item x="29"/>
        <item x="210"/>
        <item x="107"/>
        <item x="52"/>
        <item x="223"/>
        <item x="87"/>
        <item x="234"/>
        <item x="150"/>
        <item x="143"/>
        <item x="189"/>
        <item x="171"/>
        <item x="208"/>
        <item x="73"/>
        <item x="219"/>
        <item x="91"/>
        <item x="101"/>
        <item x="167"/>
        <item x="24"/>
        <item x="58"/>
        <item x="70"/>
        <item x="296"/>
        <item x="141"/>
        <item x="95"/>
        <item x="12"/>
        <item x="175"/>
        <item x="120"/>
        <item x="145"/>
        <item x="63"/>
        <item x="286"/>
        <item x="186"/>
        <item x="109"/>
        <item x="213"/>
        <item x="267"/>
        <item x="259"/>
        <item x="11"/>
        <item x="291"/>
        <item x="71"/>
        <item x="218"/>
        <item x="244"/>
        <item x="191"/>
        <item x="236"/>
        <item x="20"/>
        <item x="125"/>
        <item x="97"/>
        <item x="205"/>
        <item x="40"/>
        <item x="265"/>
        <item x="94"/>
        <item x="266"/>
        <item x="188"/>
        <item x="276"/>
        <item x="2"/>
        <item x="118"/>
        <item x="289"/>
        <item x="245"/>
        <item x="138"/>
        <item x="112"/>
        <item x="60"/>
        <item x="181"/>
        <item x="88"/>
        <item x="212"/>
        <item x="113"/>
        <item x="34"/>
        <item x="176"/>
        <item x="86"/>
        <item x="18"/>
        <item x="8"/>
        <item x="202"/>
        <item x="242"/>
        <item x="79"/>
        <item x="243"/>
        <item x="102"/>
        <item x="214"/>
        <item x="104"/>
        <item x="83"/>
        <item x="252"/>
        <item x="281"/>
        <item x="45"/>
        <item x="114"/>
        <item x="110"/>
        <item x="199"/>
        <item x="193"/>
        <item x="293"/>
        <item x="166"/>
        <item x="3"/>
        <item x="74"/>
        <item x="48"/>
        <item x="239"/>
        <item x="180"/>
        <item x="204"/>
        <item x="256"/>
        <item x="249"/>
        <item x="270"/>
        <item x="157"/>
        <item x="154"/>
        <item x="68"/>
        <item x="44"/>
        <item x="144"/>
        <item x="217"/>
        <item x="96"/>
        <item x="183"/>
        <item x="246"/>
        <item x="62"/>
        <item x="57"/>
        <item x="280"/>
        <item x="275"/>
        <item x="19"/>
        <item x="177"/>
        <item x="17"/>
        <item x="161"/>
        <item x="123"/>
        <item x="283"/>
        <item x="50"/>
        <item x="69"/>
        <item x="51"/>
        <item x="47"/>
        <item x="253"/>
        <item x="134"/>
        <item x="279"/>
        <item x="23"/>
        <item x="28"/>
        <item x="206"/>
        <item x="32"/>
        <item x="292"/>
        <item x="130"/>
        <item x="55"/>
        <item x="128"/>
        <item x="81"/>
        <item x="211"/>
        <item x="26"/>
        <item x="9"/>
        <item x="221"/>
        <item x="273"/>
        <item x="228"/>
        <item x="0"/>
        <item x="241"/>
        <item x="220"/>
        <item x="41"/>
        <item x="13"/>
        <item x="230"/>
        <item x="111"/>
        <item x="85"/>
        <item x="282"/>
        <item x="31"/>
        <item x="76"/>
        <item x="64"/>
        <item x="209"/>
        <item x="170"/>
        <item x="49"/>
        <item x="168"/>
        <item x="190"/>
        <item x="22"/>
        <item x="294"/>
        <item x="184"/>
        <item x="15"/>
        <item x="61"/>
        <item x="153"/>
        <item x="155"/>
        <item x="75"/>
        <item x="122"/>
        <item x="172"/>
        <item x="4"/>
        <item x="194"/>
        <item x="152"/>
        <item x="36"/>
        <item x="240"/>
        <item x="288"/>
        <item t="default"/>
      </items>
    </pivotField>
    <pivotField axis="axisRow" showAll="0">
      <items count="5">
        <item x="3"/>
        <item x="0"/>
        <item x="2"/>
        <item x="1"/>
        <item t="default"/>
      </items>
    </pivotField>
    <pivotField showAll="0">
      <items count="13">
        <item x="11"/>
        <item x="8"/>
        <item x="7"/>
        <item x="3"/>
        <item x="0"/>
        <item x="4"/>
        <item x="5"/>
        <item x="6"/>
        <item x="1"/>
        <item x="10"/>
        <item x="9"/>
        <item x="2"/>
        <item t="default"/>
      </items>
    </pivotField>
    <pivotField showAll="0">
      <items count="13">
        <item x="1"/>
        <item x="6"/>
        <item x="5"/>
        <item x="11"/>
        <item x="4"/>
        <item x="0"/>
        <item x="3"/>
        <item x="2"/>
        <item x="8"/>
        <item x="7"/>
        <item x="9"/>
        <item x="10"/>
        <item t="default"/>
      </items>
    </pivotField>
    <pivotField showAll="0">
      <items count="5">
        <item x="1"/>
        <item x="0"/>
        <item x="3"/>
        <item x="2"/>
        <item t="default"/>
      </items>
    </pivotField>
    <pivotField dataField="1" showAll="0"/>
    <pivotField numFmtId="4" showAll="0"/>
    <pivotField numFmtId="165" showAll="0"/>
    <pivotField dataField="1" numFmtId="4" showAll="0"/>
    <pivotField numFmtId="4" showAll="0"/>
    <pivotField dataField="1" numFmtId="4"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Fields count="1">
    <field x="-2"/>
  </colFields>
  <colItems count="3">
    <i>
      <x/>
    </i>
    <i i="1">
      <x v="1"/>
    </i>
    <i i="2">
      <x v="2"/>
    </i>
  </colItems>
  <dataFields count="3">
    <dataField name=" Revenue" fld="9" baseField="2" baseItem="0" numFmtId="4"/>
    <dataField name=" Profit" fld="11" baseField="2" baseItem="0" numFmtId="4"/>
    <dataField name=" Quantity" fld="6" baseField="2" baseItem="0"/>
  </dataFields>
  <chartFormats count="15">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2" count="1" selected="0">
            <x v="0"/>
          </reference>
        </references>
      </pivotArea>
    </chartFormat>
    <chartFormat chart="7" format="20">
      <pivotArea type="data" outline="0" fieldPosition="0">
        <references count="2">
          <reference field="4294967294" count="1" selected="0">
            <x v="0"/>
          </reference>
          <reference field="2" count="1" selected="0">
            <x v="1"/>
          </reference>
        </references>
      </pivotArea>
    </chartFormat>
    <chartFormat chart="7" format="21">
      <pivotArea type="data" outline="0" fieldPosition="0">
        <references count="2">
          <reference field="4294967294" count="1" selected="0">
            <x v="0"/>
          </reference>
          <reference field="2" count="1" selected="0">
            <x v="2"/>
          </reference>
        </references>
      </pivotArea>
    </chartFormat>
    <chartFormat chart="7" format="22">
      <pivotArea type="data" outline="0" fieldPosition="0">
        <references count="2">
          <reference field="4294967294" count="1" selected="0">
            <x v="0"/>
          </reference>
          <reference field="2" count="1" selected="0">
            <x v="3"/>
          </reference>
        </references>
      </pivotArea>
    </chartFormat>
    <chartFormat chart="7" format="23" series="1">
      <pivotArea type="data" outline="0" fieldPosition="0">
        <references count="1">
          <reference field="4294967294" count="1" selected="0">
            <x v="1"/>
          </reference>
        </references>
      </pivotArea>
    </chartFormat>
    <chartFormat chart="7" format="24">
      <pivotArea type="data" outline="0" fieldPosition="0">
        <references count="2">
          <reference field="4294967294" count="1" selected="0">
            <x v="1"/>
          </reference>
          <reference field="2" count="1" selected="0">
            <x v="0"/>
          </reference>
        </references>
      </pivotArea>
    </chartFormat>
    <chartFormat chart="7" format="25">
      <pivotArea type="data" outline="0" fieldPosition="0">
        <references count="2">
          <reference field="4294967294" count="1" selected="0">
            <x v="1"/>
          </reference>
          <reference field="2" count="1" selected="0">
            <x v="1"/>
          </reference>
        </references>
      </pivotArea>
    </chartFormat>
    <chartFormat chart="7" format="26">
      <pivotArea type="data" outline="0" fieldPosition="0">
        <references count="2">
          <reference field="4294967294" count="1" selected="0">
            <x v="1"/>
          </reference>
          <reference field="2" count="1" selected="0">
            <x v="2"/>
          </reference>
        </references>
      </pivotArea>
    </chartFormat>
    <chartFormat chart="7" format="27">
      <pivotArea type="data" outline="0" fieldPosition="0">
        <references count="2">
          <reference field="4294967294" count="1" selected="0">
            <x v="1"/>
          </reference>
          <reference field="2" count="1" selected="0">
            <x v="3"/>
          </reference>
        </references>
      </pivotArea>
    </chartFormat>
    <chartFormat chart="7" format="28" series="1">
      <pivotArea type="data" outline="0" fieldPosition="0">
        <references count="1">
          <reference field="4294967294" count="1" selected="0">
            <x v="2"/>
          </reference>
        </references>
      </pivotArea>
    </chartFormat>
    <chartFormat chart="7" format="29">
      <pivotArea type="data" outline="0" fieldPosition="0">
        <references count="2">
          <reference field="4294967294" count="1" selected="0">
            <x v="2"/>
          </reference>
          <reference field="2" count="1" selected="0">
            <x v="0"/>
          </reference>
        </references>
      </pivotArea>
    </chartFormat>
    <chartFormat chart="7" format="30">
      <pivotArea type="data" outline="0" fieldPosition="0">
        <references count="2">
          <reference field="4294967294" count="1" selected="0">
            <x v="2"/>
          </reference>
          <reference field="2" count="1" selected="0">
            <x v="1"/>
          </reference>
        </references>
      </pivotArea>
    </chartFormat>
    <chartFormat chart="7" format="31">
      <pivotArea type="data" outline="0" fieldPosition="0">
        <references count="2">
          <reference field="4294967294" count="1" selected="0">
            <x v="2"/>
          </reference>
          <reference field="2" count="1" selected="0">
            <x v="2"/>
          </reference>
        </references>
      </pivotArea>
    </chartFormat>
    <chartFormat chart="7" format="32">
      <pivotArea type="data" outline="0" fieldPosition="0">
        <references count="2">
          <reference field="4294967294" count="1" selected="0">
            <x v="2"/>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CFECBA-FF11-40EB-A297-83D0082C2FB8}"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19:D24" firstHeaderRow="0" firstDataRow="1" firstDataCol="1"/>
  <pivotFields count="14">
    <pivotField showAll="0"/>
    <pivotField numFmtId="14" showAll="0">
      <items count="298">
        <item x="72"/>
        <item x="25"/>
        <item x="215"/>
        <item x="5"/>
        <item x="257"/>
        <item x="268"/>
        <item x="169"/>
        <item x="216"/>
        <item x="35"/>
        <item x="162"/>
        <item x="66"/>
        <item x="98"/>
        <item x="187"/>
        <item x="16"/>
        <item x="229"/>
        <item x="222"/>
        <item x="165"/>
        <item x="10"/>
        <item x="225"/>
        <item x="163"/>
        <item x="126"/>
        <item x="201"/>
        <item x="46"/>
        <item x="185"/>
        <item x="258"/>
        <item x="93"/>
        <item x="182"/>
        <item x="200"/>
        <item x="37"/>
        <item x="237"/>
        <item x="43"/>
        <item x="158"/>
        <item x="131"/>
        <item x="99"/>
        <item x="30"/>
        <item x="195"/>
        <item x="21"/>
        <item x="116"/>
        <item x="39"/>
        <item x="7"/>
        <item x="174"/>
        <item x="203"/>
        <item x="56"/>
        <item x="255"/>
        <item x="42"/>
        <item x="179"/>
        <item x="261"/>
        <item x="106"/>
        <item x="108"/>
        <item x="147"/>
        <item x="136"/>
        <item x="121"/>
        <item x="260"/>
        <item x="38"/>
        <item x="285"/>
        <item x="149"/>
        <item x="192"/>
        <item x="1"/>
        <item x="207"/>
        <item x="159"/>
        <item x="197"/>
        <item x="269"/>
        <item x="27"/>
        <item x="6"/>
        <item x="132"/>
        <item x="148"/>
        <item x="142"/>
        <item x="271"/>
        <item x="135"/>
        <item x="227"/>
        <item x="80"/>
        <item x="248"/>
        <item x="198"/>
        <item x="140"/>
        <item x="254"/>
        <item x="65"/>
        <item x="238"/>
        <item x="124"/>
        <item x="231"/>
        <item x="263"/>
        <item x="250"/>
        <item x="84"/>
        <item x="284"/>
        <item x="160"/>
        <item x="33"/>
        <item x="295"/>
        <item x="287"/>
        <item x="78"/>
        <item x="178"/>
        <item x="290"/>
        <item x="164"/>
        <item x="196"/>
        <item x="103"/>
        <item x="82"/>
        <item x="272"/>
        <item x="139"/>
        <item x="92"/>
        <item x="151"/>
        <item x="173"/>
        <item x="262"/>
        <item x="115"/>
        <item x="264"/>
        <item x="14"/>
        <item x="89"/>
        <item x="127"/>
        <item x="59"/>
        <item x="224"/>
        <item x="105"/>
        <item x="100"/>
        <item x="232"/>
        <item x="53"/>
        <item x="146"/>
        <item x="274"/>
        <item x="137"/>
        <item x="90"/>
        <item x="119"/>
        <item x="67"/>
        <item x="278"/>
        <item x="133"/>
        <item x="54"/>
        <item x="233"/>
        <item x="251"/>
        <item x="235"/>
        <item x="277"/>
        <item x="156"/>
        <item x="226"/>
        <item x="129"/>
        <item x="247"/>
        <item x="77"/>
        <item x="117"/>
        <item x="29"/>
        <item x="210"/>
        <item x="107"/>
        <item x="52"/>
        <item x="223"/>
        <item x="87"/>
        <item x="234"/>
        <item x="150"/>
        <item x="143"/>
        <item x="189"/>
        <item x="171"/>
        <item x="208"/>
        <item x="73"/>
        <item x="219"/>
        <item x="91"/>
        <item x="101"/>
        <item x="167"/>
        <item x="24"/>
        <item x="58"/>
        <item x="70"/>
        <item x="296"/>
        <item x="141"/>
        <item x="95"/>
        <item x="12"/>
        <item x="175"/>
        <item x="120"/>
        <item x="145"/>
        <item x="63"/>
        <item x="286"/>
        <item x="186"/>
        <item x="109"/>
        <item x="213"/>
        <item x="267"/>
        <item x="259"/>
        <item x="11"/>
        <item x="291"/>
        <item x="71"/>
        <item x="218"/>
        <item x="244"/>
        <item x="191"/>
        <item x="236"/>
        <item x="20"/>
        <item x="125"/>
        <item x="97"/>
        <item x="205"/>
        <item x="40"/>
        <item x="265"/>
        <item x="94"/>
        <item x="266"/>
        <item x="188"/>
        <item x="276"/>
        <item x="2"/>
        <item x="118"/>
        <item x="289"/>
        <item x="245"/>
        <item x="138"/>
        <item x="112"/>
        <item x="60"/>
        <item x="181"/>
        <item x="88"/>
        <item x="212"/>
        <item x="113"/>
        <item x="34"/>
        <item x="176"/>
        <item x="86"/>
        <item x="18"/>
        <item x="8"/>
        <item x="202"/>
        <item x="242"/>
        <item x="79"/>
        <item x="243"/>
        <item x="102"/>
        <item x="214"/>
        <item x="104"/>
        <item x="83"/>
        <item x="252"/>
        <item x="281"/>
        <item x="45"/>
        <item x="114"/>
        <item x="110"/>
        <item x="199"/>
        <item x="193"/>
        <item x="293"/>
        <item x="166"/>
        <item x="3"/>
        <item x="74"/>
        <item x="48"/>
        <item x="239"/>
        <item x="180"/>
        <item x="204"/>
        <item x="256"/>
        <item x="249"/>
        <item x="270"/>
        <item x="157"/>
        <item x="154"/>
        <item x="68"/>
        <item x="44"/>
        <item x="144"/>
        <item x="217"/>
        <item x="96"/>
        <item x="183"/>
        <item x="246"/>
        <item x="62"/>
        <item x="57"/>
        <item x="280"/>
        <item x="275"/>
        <item x="19"/>
        <item x="177"/>
        <item x="17"/>
        <item x="161"/>
        <item x="123"/>
        <item x="283"/>
        <item x="50"/>
        <item x="69"/>
        <item x="51"/>
        <item x="47"/>
        <item x="253"/>
        <item x="134"/>
        <item x="279"/>
        <item x="23"/>
        <item x="28"/>
        <item x="206"/>
        <item x="32"/>
        <item x="292"/>
        <item x="130"/>
        <item x="55"/>
        <item x="128"/>
        <item x="81"/>
        <item x="211"/>
        <item x="26"/>
        <item x="9"/>
        <item x="221"/>
        <item x="273"/>
        <item x="228"/>
        <item x="0"/>
        <item x="241"/>
        <item x="220"/>
        <item x="41"/>
        <item x="13"/>
        <item x="230"/>
        <item x="111"/>
        <item x="85"/>
        <item x="282"/>
        <item x="31"/>
        <item x="76"/>
        <item x="64"/>
        <item x="209"/>
        <item x="170"/>
        <item x="49"/>
        <item x="168"/>
        <item x="190"/>
        <item x="22"/>
        <item x="294"/>
        <item x="184"/>
        <item x="15"/>
        <item x="61"/>
        <item x="153"/>
        <item x="155"/>
        <item x="75"/>
        <item x="122"/>
        <item x="172"/>
        <item x="4"/>
        <item x="194"/>
        <item x="152"/>
        <item x="36"/>
        <item x="240"/>
        <item x="288"/>
        <item t="default"/>
      </items>
    </pivotField>
    <pivotField showAll="0">
      <items count="5">
        <item x="3"/>
        <item x="0"/>
        <item x="2"/>
        <item x="1"/>
        <item t="default"/>
      </items>
    </pivotField>
    <pivotField showAll="0"/>
    <pivotField showAll="0">
      <items count="13">
        <item x="1"/>
        <item x="6"/>
        <item x="5"/>
        <item x="11"/>
        <item x="4"/>
        <item x="0"/>
        <item x="3"/>
        <item x="2"/>
        <item x="8"/>
        <item x="7"/>
        <item x="9"/>
        <item x="10"/>
        <item t="default"/>
      </items>
    </pivotField>
    <pivotField axis="axisRow" showAll="0">
      <items count="5">
        <item x="1"/>
        <item x="0"/>
        <item x="3"/>
        <item x="2"/>
        <item t="default"/>
      </items>
    </pivotField>
    <pivotField dataField="1" showAll="0"/>
    <pivotField numFmtId="4" showAll="0"/>
    <pivotField numFmtId="165" showAll="0"/>
    <pivotField dataField="1" numFmtId="4" showAll="0"/>
    <pivotField numFmtId="4" showAll="0"/>
    <pivotField dataField="1" numFmtId="4"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Fields count="1">
    <field x="-2"/>
  </colFields>
  <colItems count="3">
    <i>
      <x/>
    </i>
    <i i="1">
      <x v="1"/>
    </i>
    <i i="2">
      <x v="2"/>
    </i>
  </colItems>
  <dataFields count="3">
    <dataField name="Revenue " fld="9" baseField="5" baseItem="0" numFmtId="4"/>
    <dataField name="Profit " fld="11" baseField="5" baseItem="0" numFmtId="4"/>
    <dataField name="Quantity " fld="6" baseField="5" baseItem="0"/>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53A9F8-D0F3-4D05-8EA7-FE1B328DF0A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G2:J15" firstHeaderRow="0" firstDataRow="1" firstDataCol="1"/>
  <pivotFields count="14">
    <pivotField showAll="0"/>
    <pivotField numFmtId="14" showAll="0">
      <items count="298">
        <item x="72"/>
        <item x="25"/>
        <item x="215"/>
        <item x="5"/>
        <item x="257"/>
        <item x="268"/>
        <item x="169"/>
        <item x="216"/>
        <item x="35"/>
        <item x="162"/>
        <item x="66"/>
        <item x="98"/>
        <item x="187"/>
        <item x="16"/>
        <item x="229"/>
        <item x="222"/>
        <item x="165"/>
        <item x="10"/>
        <item x="225"/>
        <item x="163"/>
        <item x="126"/>
        <item x="201"/>
        <item x="46"/>
        <item x="185"/>
        <item x="258"/>
        <item x="93"/>
        <item x="182"/>
        <item x="200"/>
        <item x="37"/>
        <item x="237"/>
        <item x="43"/>
        <item x="158"/>
        <item x="131"/>
        <item x="99"/>
        <item x="30"/>
        <item x="195"/>
        <item x="21"/>
        <item x="116"/>
        <item x="39"/>
        <item x="7"/>
        <item x="174"/>
        <item x="203"/>
        <item x="56"/>
        <item x="255"/>
        <item x="42"/>
        <item x="179"/>
        <item x="261"/>
        <item x="106"/>
        <item x="108"/>
        <item x="147"/>
        <item x="136"/>
        <item x="121"/>
        <item x="260"/>
        <item x="38"/>
        <item x="285"/>
        <item x="149"/>
        <item x="192"/>
        <item x="1"/>
        <item x="207"/>
        <item x="159"/>
        <item x="197"/>
        <item x="269"/>
        <item x="27"/>
        <item x="6"/>
        <item x="132"/>
        <item x="148"/>
        <item x="142"/>
        <item x="271"/>
        <item x="135"/>
        <item x="227"/>
        <item x="80"/>
        <item x="248"/>
        <item x="198"/>
        <item x="140"/>
        <item x="254"/>
        <item x="65"/>
        <item x="238"/>
        <item x="124"/>
        <item x="231"/>
        <item x="263"/>
        <item x="250"/>
        <item x="84"/>
        <item x="284"/>
        <item x="160"/>
        <item x="33"/>
        <item x="295"/>
        <item x="287"/>
        <item x="78"/>
        <item x="178"/>
        <item x="290"/>
        <item x="164"/>
        <item x="196"/>
        <item x="103"/>
        <item x="82"/>
        <item x="272"/>
        <item x="139"/>
        <item x="92"/>
        <item x="151"/>
        <item x="173"/>
        <item x="262"/>
        <item x="115"/>
        <item x="264"/>
        <item x="14"/>
        <item x="89"/>
        <item x="127"/>
        <item x="59"/>
        <item x="224"/>
        <item x="105"/>
        <item x="100"/>
        <item x="232"/>
        <item x="53"/>
        <item x="146"/>
        <item x="274"/>
        <item x="137"/>
        <item x="90"/>
        <item x="119"/>
        <item x="67"/>
        <item x="278"/>
        <item x="133"/>
        <item x="54"/>
        <item x="233"/>
        <item x="251"/>
        <item x="235"/>
        <item x="277"/>
        <item x="156"/>
        <item x="226"/>
        <item x="129"/>
        <item x="247"/>
        <item x="77"/>
        <item x="117"/>
        <item x="29"/>
        <item x="210"/>
        <item x="107"/>
        <item x="52"/>
        <item x="223"/>
        <item x="87"/>
        <item x="234"/>
        <item x="150"/>
        <item x="143"/>
        <item x="189"/>
        <item x="171"/>
        <item x="208"/>
        <item x="73"/>
        <item x="219"/>
        <item x="91"/>
        <item x="101"/>
        <item x="167"/>
        <item x="24"/>
        <item x="58"/>
        <item x="70"/>
        <item x="296"/>
        <item x="141"/>
        <item x="95"/>
        <item x="12"/>
        <item x="175"/>
        <item x="120"/>
        <item x="145"/>
        <item x="63"/>
        <item x="286"/>
        <item x="186"/>
        <item x="109"/>
        <item x="213"/>
        <item x="267"/>
        <item x="259"/>
        <item x="11"/>
        <item x="291"/>
        <item x="71"/>
        <item x="218"/>
        <item x="244"/>
        <item x="191"/>
        <item x="236"/>
        <item x="20"/>
        <item x="125"/>
        <item x="97"/>
        <item x="205"/>
        <item x="40"/>
        <item x="265"/>
        <item x="94"/>
        <item x="266"/>
        <item x="188"/>
        <item x="276"/>
        <item x="2"/>
        <item x="118"/>
        <item x="289"/>
        <item x="245"/>
        <item x="138"/>
        <item x="112"/>
        <item x="60"/>
        <item x="181"/>
        <item x="88"/>
        <item x="212"/>
        <item x="113"/>
        <item x="34"/>
        <item x="176"/>
        <item x="86"/>
        <item x="18"/>
        <item x="8"/>
        <item x="202"/>
        <item x="242"/>
        <item x="79"/>
        <item x="243"/>
        <item x="102"/>
        <item x="214"/>
        <item x="104"/>
        <item x="83"/>
        <item x="252"/>
        <item x="281"/>
        <item x="45"/>
        <item x="114"/>
        <item x="110"/>
        <item x="199"/>
        <item x="193"/>
        <item x="293"/>
        <item x="166"/>
        <item x="3"/>
        <item x="74"/>
        <item x="48"/>
        <item x="239"/>
        <item x="180"/>
        <item x="204"/>
        <item x="256"/>
        <item x="249"/>
        <item x="270"/>
        <item x="157"/>
        <item x="154"/>
        <item x="68"/>
        <item x="44"/>
        <item x="144"/>
        <item x="217"/>
        <item x="96"/>
        <item x="183"/>
        <item x="246"/>
        <item x="62"/>
        <item x="57"/>
        <item x="280"/>
        <item x="275"/>
        <item x="19"/>
        <item x="177"/>
        <item x="17"/>
        <item x="161"/>
        <item x="123"/>
        <item x="283"/>
        <item x="50"/>
        <item x="69"/>
        <item x="51"/>
        <item x="47"/>
        <item x="253"/>
        <item x="134"/>
        <item x="279"/>
        <item x="23"/>
        <item x="28"/>
        <item x="206"/>
        <item x="32"/>
        <item x="292"/>
        <item x="130"/>
        <item x="55"/>
        <item x="128"/>
        <item x="81"/>
        <item x="211"/>
        <item x="26"/>
        <item x="9"/>
        <item x="221"/>
        <item x="273"/>
        <item x="228"/>
        <item x="0"/>
        <item x="241"/>
        <item x="220"/>
        <item x="41"/>
        <item x="13"/>
        <item x="230"/>
        <item x="111"/>
        <item x="85"/>
        <item x="282"/>
        <item x="31"/>
        <item x="76"/>
        <item x="64"/>
        <item x="209"/>
        <item x="170"/>
        <item x="49"/>
        <item x="168"/>
        <item x="190"/>
        <item x="22"/>
        <item x="294"/>
        <item x="184"/>
        <item x="15"/>
        <item x="61"/>
        <item x="153"/>
        <item x="155"/>
        <item x="75"/>
        <item x="122"/>
        <item x="172"/>
        <item x="4"/>
        <item x="194"/>
        <item x="152"/>
        <item x="36"/>
        <item x="240"/>
        <item x="288"/>
        <item t="default"/>
      </items>
    </pivotField>
    <pivotField showAll="0">
      <items count="5">
        <item x="3"/>
        <item x="0"/>
        <item x="2"/>
        <item x="1"/>
        <item t="default"/>
      </items>
    </pivotField>
    <pivotField showAll="0"/>
    <pivotField axis="axisRow" showAll="0">
      <items count="13">
        <item x="1"/>
        <item x="6"/>
        <item x="5"/>
        <item x="11"/>
        <item x="4"/>
        <item x="0"/>
        <item x="3"/>
        <item x="2"/>
        <item x="8"/>
        <item x="7"/>
        <item x="9"/>
        <item x="10"/>
        <item t="default"/>
      </items>
    </pivotField>
    <pivotField showAll="0">
      <items count="5">
        <item x="1"/>
        <item x="0"/>
        <item x="3"/>
        <item x="2"/>
        <item t="default"/>
      </items>
    </pivotField>
    <pivotField dataField="1" showAll="0"/>
    <pivotField numFmtId="4" showAll="0"/>
    <pivotField numFmtId="165" showAll="0"/>
    <pivotField dataField="1" numFmtId="4" showAll="0"/>
    <pivotField numFmtId="4" showAll="0"/>
    <pivotField dataField="1" numFmtId="4"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Revenue " fld="9" baseField="4" baseItem="0" numFmtId="4"/>
    <dataField name="Profit " fld="11" baseField="4" baseItem="0" numFmtId="4"/>
    <dataField name="Quantity " fld="6" baseField="4" baseItem="0"/>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24938E-FDE4-434F-94A0-447758533B88}" sourceName="Region">
  <pivotTables>
    <pivotTable tabId="3" name="PivotTable1"/>
    <pivotTable tabId="3" name="PivotTable2"/>
    <pivotTable tabId="3" name="PivotTable3"/>
    <pivotTable tabId="3" name="PivotTable4"/>
    <pivotTable tabId="3" name="PivotTable5"/>
  </pivotTables>
  <data>
    <tabular pivotCacheId="528272704">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E140816-0F6F-4D53-995A-3BF4530BDFAC}" sourceName="Product">
  <pivotTables>
    <pivotTable tabId="3" name="PivotTable1"/>
    <pivotTable tabId="3" name="PivotTable2"/>
    <pivotTable tabId="3" name="PivotTable3"/>
    <pivotTable tabId="3" name="PivotTable4"/>
    <pivotTable tabId="3" name="PivotTable5"/>
  </pivotTables>
  <data>
    <tabular pivotCacheId="528272704">
      <items count="12">
        <i x="1" s="1"/>
        <i x="6" s="1"/>
        <i x="5" s="1"/>
        <i x="11" s="1"/>
        <i x="4" s="1"/>
        <i x="0" s="1"/>
        <i x="3" s="1"/>
        <i x="2" s="1"/>
        <i x="8" s="1"/>
        <i x="7" s="1"/>
        <i x="9"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6498B4-BD86-4AAF-9752-8D1A18865AAA}" sourceName="Category">
  <pivotTables>
    <pivotTable tabId="3" name="PivotTable1"/>
    <pivotTable tabId="3" name="PivotTable2"/>
    <pivotTable tabId="3" name="PivotTable3"/>
    <pivotTable tabId="3" name="PivotTable4"/>
    <pivotTable tabId="3" name="PivotTable5"/>
  </pivotTables>
  <data>
    <tabular pivotCacheId="528272704">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6EA966B-6AD6-444B-B64B-CF6CAF4B66AB}" sourceName="Months (Order_Date)">
  <pivotTables>
    <pivotTable tabId="3" name="PivotTable1"/>
    <pivotTable tabId="3" name="PivotTable2"/>
    <pivotTable tabId="3" name="PivotTable3"/>
    <pivotTable tabId="3" name="PivotTable4"/>
    <pivotTable tabId="3" name="PivotTable5"/>
  </pivotTables>
  <data>
    <tabular pivotCacheId="52827270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0981621-25FC-49FF-B6E9-06FF304FED97}" cache="Slicer_Region" caption="Region" startItem="1" rowHeight="241300"/>
  <slicer name="Product 1" xr10:uid="{F60DE516-17F0-402D-B938-E1584437A6F4}" cache="Slicer_Product" caption="Product" startItem="9" rowHeight="241300"/>
  <slicer name="Category 1" xr10:uid="{68718823-6C83-41B2-870C-F65D0F2A8813}" cache="Slicer_Category" caption="Category" rowHeight="241300"/>
  <slicer name="Months (Order_Date) 1" xr10:uid="{1E842CCC-4958-457F-9EEB-CA72D541B40A}" cache="Slicer_Months__Order_Date" caption="Months (Order_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D22FC5-B35A-40E5-AD85-C57BCD41BF3D}" name="RawSales" displayName="RawSales" ref="A1:L604">
  <autoFilter ref="A1:L604" xr:uid="{46D22FC5-B35A-40E5-AD85-C57BCD41BF3D}"/>
  <tableColumns count="12">
    <tableColumn id="1" xr3:uid="{43A9A154-AA71-4E68-8378-D1C5F87869EE}" name="Order_ID"/>
    <tableColumn id="2" xr3:uid="{AA7CCBB0-8244-425A-8FC6-CF43FA0CAA5A}" name="Order_Date"/>
    <tableColumn id="3" xr3:uid="{CF2765B6-D931-434E-83D6-BA3A3DAC7984}" name="Region"/>
    <tableColumn id="4" xr3:uid="{634ADCDF-3DAD-4C0A-BBD3-17B4C1315E81}" name="City"/>
    <tableColumn id="5" xr3:uid="{072584AE-7AB3-4006-B3FC-D0F228356688}" name="Product"/>
    <tableColumn id="6" xr3:uid="{23E1CC6C-F3CA-4A3E-90C3-08828F2C49ED}" name="Category"/>
    <tableColumn id="7" xr3:uid="{448E8F36-06E3-469E-9817-190661CF644A}" name="Quantity"/>
    <tableColumn id="8" xr3:uid="{B1A27D0C-6468-4237-A37E-A5A4BEC5E1D9}" name="Unit_Price"/>
    <tableColumn id="9" xr3:uid="{E3379633-18D6-4211-B410-907D09DF7172}" name="Discount"/>
    <tableColumn id="10" xr3:uid="{75B32513-A6FD-48BF-B82B-F44EE6303E45}" name="Revenue"/>
    <tableColumn id="11" xr3:uid="{08FAD036-5849-4FE4-B1D9-6CF795E62A28}" name="Cost"/>
    <tableColumn id="12" xr3:uid="{1678591A-19C9-4957-BCA6-9BB6A8F905F6}"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B547D3-00D2-40ED-98BF-6836894F7A68}" name="RawSales3" displayName="RawSales3" ref="A1:L601">
  <autoFilter ref="A1:L601" xr:uid="{24B547D3-00D2-40ED-98BF-6836894F7A68}"/>
  <tableColumns count="12">
    <tableColumn id="1" xr3:uid="{F82ED92F-18B9-4301-94AD-AFA0A1A1AEEB}" name="Order_ID"/>
    <tableColumn id="2" xr3:uid="{E2B70670-AEAB-4317-BDAC-5D49F728A45D}" name="Order_Date" dataDxfId="2"/>
    <tableColumn id="3" xr3:uid="{E81B6868-5316-46B5-840E-0AF8749819E1}" name="Region">
      <calculatedColumnFormula>IF(RawData!C2="","Unknown",PROPER(TRIM(CLEAN(SUBSTITUTE(RawData!C2,CHAR(160)," ")))))</calculatedColumnFormula>
    </tableColumn>
    <tableColumn id="4" xr3:uid="{3B3420D9-66EB-4ED5-9426-FD94E2202BB9}" name="City">
      <calculatedColumnFormula>IF(RawData!D2="","Unknown",PROPER(TRIM(CLEAN(SUBSTITUTE(RawData!D2,CHAR(160)," ")))))</calculatedColumnFormula>
    </tableColumn>
    <tableColumn id="5" xr3:uid="{06D86A58-F9A6-45C0-9ABB-1F12A6F0D4FB}" name="Product">
      <calculatedColumnFormula>IF(RawData!E2="","Unknown",PROPER(TRIM(CLEAN(SUBSTITUTE(RawData!E2,CHAR(160)," ")))))</calculatedColumnFormula>
    </tableColumn>
    <tableColumn id="6" xr3:uid="{D33BE1BA-6E07-439E-A3A1-177DC3B28DEB}" name="Category">
      <calculatedColumnFormula>IF(RawData!F2="","Unknown",PROPER(TRIM(CLEAN(SUBSTITUTE(RawData!F2,CHAR(160)," ")))))</calculatedColumnFormula>
    </tableColumn>
    <tableColumn id="7" xr3:uid="{CA12916E-CB98-4CEC-829F-18995D84BDF6}" name="Quantity" dataDxfId="1">
      <calculatedColumnFormula>_xlfn.LET(
_xlpm.q,RawData!G2,
_xlpm.u,RawData!H2,
_xlpm.d,RawData!I2,
_xlpm.r,RawData!J2,
IF(AND(ISNUMBER(_xlpm.q),_xlpm.q&gt;0),_xlpm.q,
   IF(AND(ISNUMBER(_xlpm.r),ISNUMBER(_xlpm.u),_xlpm.u&gt;0,ISNUMBER(_xlpm.d),_xlpm.d&gt;=0,_xlpm.d&lt;1),
      ROUND(_xlpm.r/(_xlpm.u*(1-_xlpm.d)),0),
      ""
   )
)
)</calculatedColumnFormula>
    </tableColumn>
    <tableColumn id="8" xr3:uid="{90CC8DB7-B160-4F2A-A24E-F0635E184E69}" name="Unit_Price" dataDxfId="0">
      <calculatedColumnFormula>_xlfn.LET(
_xlpm.q,RawData!G2,
_xlpm.u,RawData!H2,
_xlpm.d,RawData!I2,
_xlpm.r,RawData!J2,
IF(AND(ISNUMBER(_xlpm.u),_xlpm.u&gt;0),_xlpm.u,
   IF(AND(ISNUMBER(_xlpm.q),_xlpm.q&gt;0,ISNUMBER(_xlpm.r),ISNUMBER(_xlpm.d),_xlpm.d&gt;=0,_xlpm.d&lt;1),
      _xlpm.r/(_xlpm.q*(1-_xlpm.d)),
      ""
   )
)
)</calculatedColumnFormula>
    </tableColumn>
    <tableColumn id="9" xr3:uid="{F1CD972F-AF4B-492F-A502-64D42249A3B0}" name="Discount">
      <calculatedColumnFormula>_xlfn.LET(
_xlpm.q,RawData!G2,
_xlpm.u,RawData!H2,
_xlpm.d,RawData!I2,
_xlpm.r,RawData!J2,
IF(AND(ISNUMBER(_xlpm.d),_xlpm.d&gt;=0,_xlpm.d&lt;1),_xlpm.d,
   IF(AND(ISNUMBER(_xlpm.q),_xlpm.q&gt;0,ISNUMBER(_xlpm.u),_xlpm.u&gt;0,ISNUMBER(_xlpm.r),_xlpm.r&gt;=0),
      1-(_xlpm.r/(_xlpm.q*_xlpm.u)),
      ""
   )
)
)</calculatedColumnFormula>
    </tableColumn>
    <tableColumn id="10" xr3:uid="{083DCCA2-70AC-4179-9BFE-1DCD995B69A9}" name="Revenue">
      <calculatedColumnFormula>_xlfn.LET(
_xlpm.q,RawData!G2,
_xlpm.u,RawData!H2,
_xlpm.d,RawData!I2,
_xlpm.r,RawData!J2,
IF(AND(ISNUMBER(_xlpm.r),_xlpm.r&gt;=0),_xlpm.r,
   IF(AND(ISNUMBER(_xlpm.q),_xlpm.q&gt;0,ISNUMBER(_xlpm.u),_xlpm.u&gt;0,ISNUMBER(_xlpm.d),_xlpm.d&gt;=0,_xlpm.d&lt;1),
      _xlpm.q*_xlpm.u*(1-_xlpm.d),
      ""
   )
)
)</calculatedColumnFormula>
    </tableColumn>
    <tableColumn id="11" xr3:uid="{DE8A95F8-CB0E-48EA-B870-300D5AAFD77F}" name="Cost">
      <calculatedColumnFormula>_xlfn.LET(
_xlpm.c,RawData!K2,
_xlpm.r,RawData!J2,
_xlpm.p,RawData!L2,
IF(AND(ISNUMBER(_xlpm.c),_xlpm.c&gt;=0),_xlpm.c,
   IF(AND(ISNUMBER(_xlpm.r),ISNUMBER(_xlpm.p)),
      _xlpm.r-_xlpm.p,
      ""
   )
)
)</calculatedColumnFormula>
    </tableColumn>
    <tableColumn id="12" xr3:uid="{769C6460-385A-4171-96E0-E20E473AC8E7}" name="Profit">
      <calculatedColumnFormula>_xlfn.LET(
_xlpm.p,RawData!L2,
_xlpm.r,RawData!J2,
_xlpm.c,RawData!K2,
IF(ISNUMBER(_xlpm.p),_xlpm.p,
IF(AND(ISNUMBER(_xlpm.r),ISNUMBER(_xlpm.c)),
_xlpm.r-_xlpm.c,
""
)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5080E-31F8-4618-AD67-6EA19E4F38AA}">
  <dimension ref="A1:L604"/>
  <sheetViews>
    <sheetView tabSelected="1" workbookViewId="0">
      <selection activeCell="N2" sqref="N2"/>
    </sheetView>
  </sheetViews>
  <sheetFormatPr defaultRowHeight="14.5" x14ac:dyDescent="0.35"/>
  <cols>
    <col min="1" max="1" width="10" customWidth="1"/>
    <col min="2" max="2" width="21" customWidth="1"/>
    <col min="3" max="3" width="10" customWidth="1"/>
    <col min="4" max="4" width="13" customWidth="1"/>
    <col min="5" max="5" width="14" customWidth="1"/>
    <col min="6" max="6" width="17" customWidth="1"/>
    <col min="7" max="7" width="10" customWidth="1"/>
    <col min="8" max="8" width="12" customWidth="1"/>
    <col min="9" max="12" width="10" customWidth="1"/>
  </cols>
  <sheetData>
    <row r="1" spans="1:12" x14ac:dyDescent="0.35">
      <c r="A1" s="1" t="s">
        <v>644</v>
      </c>
      <c r="B1" s="2" t="s">
        <v>645</v>
      </c>
      <c r="C1" s="2" t="s">
        <v>646</v>
      </c>
      <c r="D1" s="2" t="s">
        <v>647</v>
      </c>
      <c r="E1" s="2" t="s">
        <v>648</v>
      </c>
      <c r="F1" s="2" t="s">
        <v>649</v>
      </c>
      <c r="G1" s="2" t="s">
        <v>650</v>
      </c>
      <c r="H1" s="2" t="s">
        <v>651</v>
      </c>
      <c r="I1" s="2" t="s">
        <v>652</v>
      </c>
      <c r="J1" s="2" t="s">
        <v>653</v>
      </c>
      <c r="K1" s="2" t="s">
        <v>654</v>
      </c>
      <c r="L1" s="2" t="s">
        <v>655</v>
      </c>
    </row>
    <row r="2" spans="1:12" x14ac:dyDescent="0.35">
      <c r="A2" t="s">
        <v>0</v>
      </c>
      <c r="B2" s="3">
        <v>45985</v>
      </c>
      <c r="C2" t="s">
        <v>1</v>
      </c>
      <c r="D2" t="s">
        <v>2</v>
      </c>
      <c r="E2" t="s">
        <v>3</v>
      </c>
      <c r="F2" t="s">
        <v>4</v>
      </c>
      <c r="G2">
        <v>5</v>
      </c>
      <c r="H2" s="4">
        <v>818.01</v>
      </c>
      <c r="I2" s="5">
        <v>0.02</v>
      </c>
      <c r="J2" s="4">
        <v>4008.25</v>
      </c>
      <c r="K2" s="4">
        <v>3233.43</v>
      </c>
      <c r="L2" s="4">
        <v>774.82</v>
      </c>
    </row>
    <row r="3" spans="1:12" x14ac:dyDescent="0.35">
      <c r="A3" t="s">
        <v>5</v>
      </c>
      <c r="B3" s="3">
        <v>45729</v>
      </c>
      <c r="C3" t="s">
        <v>1</v>
      </c>
      <c r="D3" t="s">
        <v>6</v>
      </c>
      <c r="E3" t="s">
        <v>7</v>
      </c>
      <c r="F3" t="s">
        <v>8</v>
      </c>
      <c r="G3">
        <v>9</v>
      </c>
      <c r="H3" s="4">
        <v>48.13</v>
      </c>
      <c r="I3" s="5">
        <v>0</v>
      </c>
      <c r="J3" s="4">
        <v>433.17</v>
      </c>
      <c r="K3" s="4">
        <v>308.26</v>
      </c>
      <c r="L3" s="4">
        <v>124.91</v>
      </c>
    </row>
    <row r="4" spans="1:12" x14ac:dyDescent="0.35">
      <c r="A4" t="s">
        <v>9</v>
      </c>
      <c r="B4" s="3">
        <v>45874</v>
      </c>
      <c r="C4" t="s">
        <v>1</v>
      </c>
      <c r="D4" t="s">
        <v>2</v>
      </c>
      <c r="E4" t="s">
        <v>3</v>
      </c>
      <c r="F4" t="s">
        <v>4</v>
      </c>
      <c r="G4">
        <v>2</v>
      </c>
      <c r="H4" s="4">
        <v>762.28</v>
      </c>
      <c r="I4" s="5">
        <v>0.02</v>
      </c>
      <c r="J4" s="4">
        <v>1494.07</v>
      </c>
      <c r="K4" s="4">
        <v>884.67</v>
      </c>
      <c r="L4" s="4">
        <v>609.4</v>
      </c>
    </row>
    <row r="5" spans="1:12" x14ac:dyDescent="0.35">
      <c r="A5" t="s">
        <v>10</v>
      </c>
      <c r="B5" s="3">
        <v>45916</v>
      </c>
      <c r="C5" t="s">
        <v>1</v>
      </c>
      <c r="D5" t="s">
        <v>6</v>
      </c>
      <c r="E5" t="s">
        <v>11</v>
      </c>
      <c r="F5" t="s">
        <v>12</v>
      </c>
      <c r="G5">
        <v>4</v>
      </c>
      <c r="H5" s="4">
        <v>6.94</v>
      </c>
      <c r="I5" s="5">
        <v>0.2</v>
      </c>
      <c r="J5" s="4">
        <v>22.21</v>
      </c>
      <c r="K5" s="4">
        <v>17.41</v>
      </c>
      <c r="L5" s="4">
        <v>4.8</v>
      </c>
    </row>
    <row r="6" spans="1:12" x14ac:dyDescent="0.35">
      <c r="A6" t="s">
        <v>13</v>
      </c>
      <c r="B6" s="3">
        <v>46017</v>
      </c>
      <c r="C6" t="s">
        <v>14</v>
      </c>
      <c r="D6" t="s">
        <v>15</v>
      </c>
      <c r="E6" t="s">
        <v>16</v>
      </c>
      <c r="F6" t="s">
        <v>4</v>
      </c>
      <c r="G6">
        <v>8</v>
      </c>
      <c r="H6" s="4">
        <v>226.67</v>
      </c>
      <c r="I6" s="5">
        <v>0.15</v>
      </c>
      <c r="J6" s="4">
        <v>1541.36</v>
      </c>
      <c r="K6" s="4">
        <v>1142.42</v>
      </c>
      <c r="L6" s="4">
        <v>398.94</v>
      </c>
    </row>
    <row r="7" spans="1:12" x14ac:dyDescent="0.35">
      <c r="A7" t="s">
        <v>17</v>
      </c>
      <c r="B7" s="3">
        <v>45661</v>
      </c>
      <c r="C7" t="s">
        <v>18</v>
      </c>
      <c r="D7" t="s">
        <v>19</v>
      </c>
      <c r="E7" t="s">
        <v>20</v>
      </c>
      <c r="F7" t="s">
        <v>8</v>
      </c>
      <c r="G7">
        <v>7</v>
      </c>
      <c r="H7" s="4">
        <v>29.97</v>
      </c>
      <c r="I7" s="5">
        <v>0.05</v>
      </c>
      <c r="J7" s="4">
        <v>199.3</v>
      </c>
      <c r="K7" s="4">
        <v>161.81</v>
      </c>
      <c r="L7" s="4">
        <v>37.49</v>
      </c>
    </row>
    <row r="8" spans="1:12" x14ac:dyDescent="0.35">
      <c r="A8" t="s">
        <v>21</v>
      </c>
      <c r="B8" s="3">
        <v>45737</v>
      </c>
      <c r="C8" t="s">
        <v>18</v>
      </c>
      <c r="D8" t="s">
        <v>19</v>
      </c>
      <c r="E8" t="s">
        <v>22</v>
      </c>
      <c r="F8" t="s">
        <v>23</v>
      </c>
      <c r="G8">
        <v>2</v>
      </c>
      <c r="H8" s="4">
        <v>274.93</v>
      </c>
      <c r="I8" s="5">
        <v>0</v>
      </c>
      <c r="J8" s="4">
        <v>549.86</v>
      </c>
      <c r="K8" s="4">
        <v>333.95</v>
      </c>
      <c r="L8" s="4">
        <v>215.91</v>
      </c>
    </row>
    <row r="9" spans="1:12" x14ac:dyDescent="0.35">
      <c r="A9" t="s">
        <v>24</v>
      </c>
      <c r="B9" s="3">
        <v>45707</v>
      </c>
      <c r="C9" t="s">
        <v>25</v>
      </c>
      <c r="D9" t="s">
        <v>26</v>
      </c>
      <c r="E9" t="s">
        <v>22</v>
      </c>
      <c r="F9" t="s">
        <v>23</v>
      </c>
      <c r="G9">
        <v>10</v>
      </c>
      <c r="H9" s="4">
        <v>226.14</v>
      </c>
      <c r="I9" s="5">
        <v>0.05</v>
      </c>
      <c r="J9" s="4">
        <v>2148.33</v>
      </c>
      <c r="K9" s="4">
        <v>1287.97</v>
      </c>
      <c r="L9" s="4">
        <v>860.36</v>
      </c>
    </row>
    <row r="10" spans="1:12" x14ac:dyDescent="0.35">
      <c r="A10" t="s">
        <v>27</v>
      </c>
      <c r="B10" s="3">
        <v>45893</v>
      </c>
      <c r="C10" t="s">
        <v>1</v>
      </c>
      <c r="D10" t="s">
        <v>28</v>
      </c>
      <c r="E10" t="s">
        <v>29</v>
      </c>
      <c r="F10" t="s">
        <v>23</v>
      </c>
      <c r="G10">
        <v>2</v>
      </c>
      <c r="H10" s="4">
        <v>131.78</v>
      </c>
      <c r="I10" s="5">
        <v>0.15</v>
      </c>
      <c r="J10" s="4">
        <v>224.03</v>
      </c>
      <c r="K10" s="4">
        <v>154.96</v>
      </c>
      <c r="L10" s="4">
        <v>69.069999999999993</v>
      </c>
    </row>
    <row r="11" spans="1:12" x14ac:dyDescent="0.35">
      <c r="A11" t="s">
        <v>30</v>
      </c>
      <c r="B11" s="3">
        <v>45979</v>
      </c>
      <c r="C11" t="s">
        <v>25</v>
      </c>
      <c r="D11" t="s">
        <v>31</v>
      </c>
      <c r="E11" t="s">
        <v>32</v>
      </c>
      <c r="F11" t="s">
        <v>12</v>
      </c>
      <c r="G11">
        <v>4</v>
      </c>
      <c r="H11" s="4">
        <v>11.76</v>
      </c>
      <c r="I11" s="5">
        <v>0.2</v>
      </c>
      <c r="J11" s="4">
        <v>37.630000000000003</v>
      </c>
      <c r="K11" s="4">
        <v>23.66</v>
      </c>
      <c r="L11" s="4">
        <v>13.97</v>
      </c>
    </row>
    <row r="12" spans="1:12" x14ac:dyDescent="0.35">
      <c r="A12" t="s">
        <v>33</v>
      </c>
      <c r="B12" s="3">
        <v>45681</v>
      </c>
      <c r="C12" t="s">
        <v>18</v>
      </c>
      <c r="D12" t="s">
        <v>34</v>
      </c>
      <c r="E12" t="s">
        <v>35</v>
      </c>
      <c r="F12" t="s">
        <v>23</v>
      </c>
      <c r="G12">
        <v>2</v>
      </c>
      <c r="H12" s="4">
        <v>186.04</v>
      </c>
      <c r="I12" s="5">
        <v>0.02</v>
      </c>
      <c r="J12" s="4">
        <v>364.64</v>
      </c>
      <c r="K12" s="4">
        <v>214.29</v>
      </c>
      <c r="L12" s="4">
        <v>150.35</v>
      </c>
    </row>
    <row r="13" spans="1:12" x14ac:dyDescent="0.35">
      <c r="A13" t="s">
        <v>36</v>
      </c>
      <c r="B13" s="3">
        <v>45852</v>
      </c>
      <c r="C13" t="s">
        <v>25</v>
      </c>
      <c r="D13" t="s">
        <v>37</v>
      </c>
      <c r="E13" t="s">
        <v>38</v>
      </c>
      <c r="F13" t="s">
        <v>12</v>
      </c>
      <c r="G13">
        <v>6</v>
      </c>
      <c r="H13" s="4">
        <v>150.02000000000001</v>
      </c>
      <c r="I13" s="5">
        <v>0.02</v>
      </c>
      <c r="J13" s="4">
        <v>882.12</v>
      </c>
      <c r="K13" s="4">
        <v>572.41999999999996</v>
      </c>
      <c r="L13" s="4">
        <v>309.7</v>
      </c>
    </row>
    <row r="14" spans="1:12" x14ac:dyDescent="0.35">
      <c r="A14" t="s">
        <v>39</v>
      </c>
      <c r="B14" s="3">
        <v>45839</v>
      </c>
      <c r="C14" t="s">
        <v>18</v>
      </c>
      <c r="D14" t="s">
        <v>40</v>
      </c>
      <c r="E14" t="s">
        <v>7</v>
      </c>
      <c r="F14" t="s">
        <v>8</v>
      </c>
      <c r="G14">
        <v>5</v>
      </c>
      <c r="H14" s="4">
        <v>44.41</v>
      </c>
      <c r="I14" s="5">
        <v>0.2</v>
      </c>
      <c r="J14" s="4">
        <v>177.64</v>
      </c>
      <c r="K14" s="4">
        <v>135.36000000000001</v>
      </c>
      <c r="L14" s="4">
        <v>42.28</v>
      </c>
    </row>
    <row r="15" spans="1:12" x14ac:dyDescent="0.35">
      <c r="A15" t="s">
        <v>41</v>
      </c>
      <c r="B15" s="3">
        <v>45989</v>
      </c>
      <c r="C15" t="s">
        <v>1</v>
      </c>
      <c r="D15" t="s">
        <v>6</v>
      </c>
      <c r="E15" t="s">
        <v>32</v>
      </c>
      <c r="F15" t="s">
        <v>12</v>
      </c>
      <c r="G15">
        <v>3</v>
      </c>
      <c r="H15" s="4">
        <v>10.92</v>
      </c>
      <c r="I15" s="5">
        <v>0.15</v>
      </c>
      <c r="J15" s="4">
        <v>27.85</v>
      </c>
      <c r="K15" s="4">
        <v>19.18</v>
      </c>
      <c r="L15" s="4">
        <v>8.67</v>
      </c>
    </row>
    <row r="16" spans="1:12" x14ac:dyDescent="0.35">
      <c r="A16" t="s">
        <v>42</v>
      </c>
      <c r="B16" s="3">
        <v>45783</v>
      </c>
      <c r="C16" t="s">
        <v>18</v>
      </c>
      <c r="D16" t="s">
        <v>40</v>
      </c>
      <c r="E16" t="s">
        <v>38</v>
      </c>
      <c r="F16" t="s">
        <v>12</v>
      </c>
      <c r="G16">
        <v>7</v>
      </c>
      <c r="H16" s="4">
        <v>164.44</v>
      </c>
      <c r="I16" s="5">
        <v>0.05</v>
      </c>
      <c r="J16" s="4">
        <v>1093.53</v>
      </c>
      <c r="K16" s="4">
        <v>615.16</v>
      </c>
      <c r="L16" s="4">
        <v>478.37</v>
      </c>
    </row>
    <row r="17" spans="1:12" x14ac:dyDescent="0.35">
      <c r="A17" t="s">
        <v>43</v>
      </c>
      <c r="B17" s="3">
        <v>46010</v>
      </c>
      <c r="C17" t="s">
        <v>18</v>
      </c>
      <c r="D17" t="s">
        <v>34</v>
      </c>
      <c r="E17" t="s">
        <v>7</v>
      </c>
      <c r="F17" t="s">
        <v>8</v>
      </c>
      <c r="G17">
        <v>6</v>
      </c>
      <c r="H17" s="4">
        <v>46.45</v>
      </c>
      <c r="I17" s="5">
        <v>0</v>
      </c>
      <c r="J17" s="4">
        <v>278.7</v>
      </c>
      <c r="K17" s="4">
        <v>166.12</v>
      </c>
      <c r="L17" s="4">
        <v>112.58</v>
      </c>
    </row>
    <row r="18" spans="1:12" x14ac:dyDescent="0.35">
      <c r="A18" t="s">
        <v>44</v>
      </c>
      <c r="B18" s="3">
        <v>45674</v>
      </c>
      <c r="C18" t="s">
        <v>25</v>
      </c>
      <c r="D18" t="s">
        <v>31</v>
      </c>
      <c r="E18" t="s">
        <v>29</v>
      </c>
      <c r="F18" t="s">
        <v>23</v>
      </c>
      <c r="G18">
        <v>5</v>
      </c>
      <c r="H18" s="4">
        <v>121.73</v>
      </c>
      <c r="I18" s="5">
        <v>0</v>
      </c>
      <c r="J18" s="4">
        <v>608.65</v>
      </c>
      <c r="K18" s="4">
        <v>490.69</v>
      </c>
      <c r="L18" s="4">
        <v>117.96</v>
      </c>
    </row>
    <row r="19" spans="1:12" x14ac:dyDescent="0.35">
      <c r="A19" t="s">
        <v>45</v>
      </c>
      <c r="B19" s="3">
        <v>45948</v>
      </c>
      <c r="C19" t="s">
        <v>25</v>
      </c>
      <c r="D19" t="s">
        <v>46</v>
      </c>
      <c r="E19" t="s">
        <v>16</v>
      </c>
      <c r="F19" t="s">
        <v>4</v>
      </c>
      <c r="G19">
        <v>8</v>
      </c>
      <c r="H19" s="4">
        <v>250.73</v>
      </c>
      <c r="I19" s="5">
        <v>0.1</v>
      </c>
      <c r="J19" s="4">
        <v>1805.26</v>
      </c>
      <c r="K19" s="4">
        <v>1386.92</v>
      </c>
      <c r="L19" s="4">
        <v>418.34</v>
      </c>
    </row>
    <row r="20" spans="1:12" x14ac:dyDescent="0.35">
      <c r="A20" t="s">
        <v>47</v>
      </c>
      <c r="B20" s="3">
        <v>45892</v>
      </c>
      <c r="C20" t="s">
        <v>18</v>
      </c>
      <c r="D20" t="s">
        <v>40</v>
      </c>
      <c r="E20" t="s">
        <v>35</v>
      </c>
      <c r="F20" t="s">
        <v>23</v>
      </c>
      <c r="G20">
        <v>3</v>
      </c>
      <c r="H20" s="4">
        <v>169.45</v>
      </c>
      <c r="I20" s="5">
        <v>0.02</v>
      </c>
      <c r="J20" s="4">
        <v>498.18</v>
      </c>
      <c r="K20" s="4">
        <v>287.14</v>
      </c>
      <c r="L20" s="4">
        <v>211.04</v>
      </c>
    </row>
    <row r="21" spans="1:12" x14ac:dyDescent="0.35">
      <c r="A21" t="s">
        <v>48</v>
      </c>
      <c r="B21" s="3">
        <v>45945</v>
      </c>
      <c r="C21" t="s">
        <v>25</v>
      </c>
      <c r="D21" t="s">
        <v>46</v>
      </c>
      <c r="E21" t="s">
        <v>49</v>
      </c>
      <c r="F21" t="s">
        <v>8</v>
      </c>
      <c r="G21">
        <v>10</v>
      </c>
      <c r="H21" s="4">
        <v>36.93</v>
      </c>
      <c r="I21" s="5">
        <v>0.1</v>
      </c>
      <c r="J21" s="4">
        <v>332.37</v>
      </c>
      <c r="K21" s="4">
        <v>222.3</v>
      </c>
      <c r="L21" s="4">
        <v>110.07</v>
      </c>
    </row>
    <row r="22" spans="1:12" x14ac:dyDescent="0.35">
      <c r="A22" t="s">
        <v>50</v>
      </c>
      <c r="B22" s="3">
        <v>45862</v>
      </c>
      <c r="C22" t="s">
        <v>25</v>
      </c>
      <c r="D22" t="s">
        <v>37</v>
      </c>
      <c r="E22" t="s">
        <v>16</v>
      </c>
      <c r="F22" t="s">
        <v>4</v>
      </c>
      <c r="G22">
        <v>3</v>
      </c>
      <c r="H22" s="4">
        <v>195.05</v>
      </c>
      <c r="I22" s="5">
        <v>0.15</v>
      </c>
      <c r="J22" s="4">
        <v>497.38</v>
      </c>
      <c r="K22" s="4">
        <v>340.06</v>
      </c>
      <c r="L22" s="4">
        <v>157.32</v>
      </c>
    </row>
    <row r="23" spans="1:12" x14ac:dyDescent="0.35">
      <c r="A23" t="s">
        <v>51</v>
      </c>
      <c r="B23" s="3">
        <v>45704</v>
      </c>
      <c r="C23" t="s">
        <v>1</v>
      </c>
      <c r="D23" t="s">
        <v>2</v>
      </c>
      <c r="E23" t="s">
        <v>52</v>
      </c>
      <c r="F23" t="s">
        <v>4</v>
      </c>
      <c r="G23">
        <v>3</v>
      </c>
      <c r="H23" s="4">
        <v>473.17</v>
      </c>
      <c r="I23" s="5">
        <v>0.2</v>
      </c>
      <c r="J23" s="4">
        <v>1135.6099999999999</v>
      </c>
      <c r="K23" s="4">
        <v>903.4</v>
      </c>
      <c r="L23" s="4">
        <v>232.21</v>
      </c>
    </row>
    <row r="24" spans="1:12" x14ac:dyDescent="0.35">
      <c r="A24" t="s">
        <v>53</v>
      </c>
      <c r="B24" s="3">
        <v>46006</v>
      </c>
      <c r="C24" t="s">
        <v>14</v>
      </c>
      <c r="D24" t="s">
        <v>15</v>
      </c>
      <c r="E24" t="s">
        <v>32</v>
      </c>
      <c r="F24" t="s">
        <v>12</v>
      </c>
      <c r="G24">
        <v>2</v>
      </c>
      <c r="H24" s="4">
        <v>11.13</v>
      </c>
      <c r="I24" s="5">
        <v>0.1</v>
      </c>
      <c r="J24" s="4">
        <v>20.03</v>
      </c>
      <c r="K24" s="4">
        <v>14.6</v>
      </c>
      <c r="L24" s="4">
        <v>5.43</v>
      </c>
    </row>
    <row r="25" spans="1:12" x14ac:dyDescent="0.35">
      <c r="A25" t="s">
        <v>54</v>
      </c>
      <c r="B25" s="3">
        <v>45963</v>
      </c>
      <c r="C25" t="s">
        <v>14</v>
      </c>
      <c r="D25" t="s">
        <v>55</v>
      </c>
      <c r="E25" t="s">
        <v>11</v>
      </c>
      <c r="F25" t="s">
        <v>12</v>
      </c>
      <c r="G25">
        <v>5</v>
      </c>
      <c r="H25" s="4">
        <v>7.55</v>
      </c>
      <c r="I25" s="5">
        <v>0.15</v>
      </c>
      <c r="J25" s="4">
        <v>32.090000000000003</v>
      </c>
      <c r="K25" s="4">
        <v>22.16</v>
      </c>
      <c r="L25" s="4">
        <v>9.93</v>
      </c>
    </row>
    <row r="26" spans="1:12" x14ac:dyDescent="0.35">
      <c r="A26" t="s">
        <v>56</v>
      </c>
      <c r="B26" s="3">
        <v>46006</v>
      </c>
      <c r="C26" t="s">
        <v>1</v>
      </c>
      <c r="D26" t="s">
        <v>6</v>
      </c>
      <c r="E26" t="s">
        <v>7</v>
      </c>
      <c r="F26" t="s">
        <v>8</v>
      </c>
      <c r="G26">
        <v>9</v>
      </c>
      <c r="H26" s="4">
        <v>45.63</v>
      </c>
      <c r="I26" s="5">
        <v>0.05</v>
      </c>
      <c r="J26" s="4">
        <v>390.14</v>
      </c>
      <c r="K26" s="4">
        <v>234.05</v>
      </c>
      <c r="L26" s="4">
        <v>156.09</v>
      </c>
    </row>
    <row r="27" spans="1:12" x14ac:dyDescent="0.35">
      <c r="A27" t="s">
        <v>57</v>
      </c>
      <c r="B27" s="3">
        <v>45832</v>
      </c>
      <c r="C27" t="s">
        <v>1</v>
      </c>
      <c r="D27" t="s">
        <v>28</v>
      </c>
      <c r="E27" t="s">
        <v>35</v>
      </c>
      <c r="F27" t="s">
        <v>23</v>
      </c>
      <c r="G27">
        <v>7</v>
      </c>
      <c r="H27" s="4">
        <v>205.36</v>
      </c>
      <c r="I27" s="5">
        <v>0.02</v>
      </c>
      <c r="J27" s="4">
        <v>1408.77</v>
      </c>
      <c r="K27" s="4">
        <v>1069.6600000000001</v>
      </c>
      <c r="L27" s="4">
        <v>339.11</v>
      </c>
    </row>
    <row r="28" spans="1:12" x14ac:dyDescent="0.35">
      <c r="A28" t="s">
        <v>58</v>
      </c>
      <c r="B28" s="3">
        <v>45659</v>
      </c>
      <c r="C28" t="s">
        <v>25</v>
      </c>
      <c r="D28" t="s">
        <v>31</v>
      </c>
      <c r="E28" t="s">
        <v>11</v>
      </c>
      <c r="F28" t="s">
        <v>12</v>
      </c>
      <c r="G28">
        <v>3</v>
      </c>
      <c r="H28" s="4">
        <v>9.0500000000000007</v>
      </c>
      <c r="I28" s="5">
        <v>0.15</v>
      </c>
      <c r="J28" s="4">
        <v>23.08</v>
      </c>
      <c r="K28" s="4">
        <v>18.27</v>
      </c>
      <c r="L28" s="4">
        <v>4.8099999999999996</v>
      </c>
    </row>
    <row r="29" spans="1:12" x14ac:dyDescent="0.35">
      <c r="A29" t="s">
        <v>59</v>
      </c>
      <c r="B29" s="3">
        <v>45978</v>
      </c>
      <c r="C29" t="s">
        <v>25</v>
      </c>
      <c r="D29" t="s">
        <v>31</v>
      </c>
      <c r="E29" t="s">
        <v>7</v>
      </c>
      <c r="F29" t="s">
        <v>8</v>
      </c>
      <c r="G29">
        <v>9</v>
      </c>
      <c r="H29" s="4">
        <v>46.32</v>
      </c>
      <c r="I29" s="5">
        <v>0.15</v>
      </c>
      <c r="J29" s="4">
        <v>354.35</v>
      </c>
      <c r="K29" s="4">
        <v>283.08999999999997</v>
      </c>
      <c r="L29" s="4">
        <v>71.260000000000005</v>
      </c>
    </row>
    <row r="30" spans="1:12" x14ac:dyDescent="0.35">
      <c r="A30" t="s">
        <v>60</v>
      </c>
      <c r="B30" s="3">
        <v>45736</v>
      </c>
      <c r="C30" t="s">
        <v>25</v>
      </c>
      <c r="D30" t="s">
        <v>31</v>
      </c>
      <c r="E30" t="s">
        <v>61</v>
      </c>
      <c r="F30" t="s">
        <v>4</v>
      </c>
      <c r="G30">
        <v>9</v>
      </c>
      <c r="H30" s="4">
        <v>70.12</v>
      </c>
      <c r="I30" s="5">
        <v>0.15</v>
      </c>
      <c r="J30" s="4">
        <v>536.41999999999996</v>
      </c>
      <c r="K30" s="4">
        <v>323.42</v>
      </c>
      <c r="L30" s="4">
        <v>213</v>
      </c>
    </row>
    <row r="31" spans="1:12" x14ac:dyDescent="0.35">
      <c r="A31" t="s">
        <v>62</v>
      </c>
      <c r="B31" s="3">
        <v>45964</v>
      </c>
      <c r="C31" t="s">
        <v>25</v>
      </c>
      <c r="D31" t="s">
        <v>37</v>
      </c>
      <c r="E31" t="s">
        <v>38</v>
      </c>
      <c r="F31" t="s">
        <v>12</v>
      </c>
      <c r="G31">
        <v>1</v>
      </c>
      <c r="H31" s="4">
        <v>138.16999999999999</v>
      </c>
      <c r="I31" s="5">
        <v>0</v>
      </c>
      <c r="J31" s="4">
        <v>138.16999999999999</v>
      </c>
      <c r="K31" s="4">
        <v>88.13</v>
      </c>
      <c r="L31" s="4">
        <v>50.04</v>
      </c>
    </row>
    <row r="32" spans="1:12" x14ac:dyDescent="0.35">
      <c r="A32" t="s">
        <v>63</v>
      </c>
      <c r="B32" s="3">
        <v>45815</v>
      </c>
      <c r="C32" t="s">
        <v>18</v>
      </c>
      <c r="D32" t="s">
        <v>34</v>
      </c>
      <c r="E32" t="s">
        <v>3</v>
      </c>
      <c r="F32" t="s">
        <v>4</v>
      </c>
      <c r="G32">
        <v>4</v>
      </c>
      <c r="H32" s="4">
        <v>821.61</v>
      </c>
      <c r="I32" s="5">
        <v>0.15</v>
      </c>
      <c r="J32" s="4">
        <v>2793.47</v>
      </c>
      <c r="K32" s="4">
        <v>1741.07</v>
      </c>
      <c r="L32" s="4">
        <v>1052.4000000000001</v>
      </c>
    </row>
    <row r="33" spans="1:12" x14ac:dyDescent="0.35">
      <c r="A33" t="s">
        <v>64</v>
      </c>
      <c r="B33" s="3">
        <v>45701</v>
      </c>
      <c r="C33" t="s">
        <v>14</v>
      </c>
      <c r="D33" t="s">
        <v>55</v>
      </c>
      <c r="E33" t="s">
        <v>52</v>
      </c>
      <c r="F33" t="s">
        <v>4</v>
      </c>
      <c r="G33">
        <v>9</v>
      </c>
      <c r="H33" s="4">
        <v>604.24</v>
      </c>
      <c r="I33" s="5">
        <v>0.02</v>
      </c>
      <c r="J33" s="4">
        <v>5329.4</v>
      </c>
      <c r="K33" s="4">
        <v>3444.52</v>
      </c>
      <c r="L33" s="4">
        <v>1884.88</v>
      </c>
    </row>
    <row r="34" spans="1:12" x14ac:dyDescent="0.35">
      <c r="A34" t="s">
        <v>65</v>
      </c>
      <c r="B34" s="3">
        <v>45995</v>
      </c>
      <c r="C34" t="s">
        <v>14</v>
      </c>
      <c r="D34" t="s">
        <v>66</v>
      </c>
      <c r="E34" t="s">
        <v>11</v>
      </c>
      <c r="F34" t="s">
        <v>12</v>
      </c>
      <c r="G34">
        <v>3</v>
      </c>
      <c r="H34" s="4">
        <v>7.47</v>
      </c>
      <c r="I34" s="5">
        <v>0.05</v>
      </c>
      <c r="J34" s="4">
        <v>21.29</v>
      </c>
      <c r="K34" s="4">
        <v>14.83</v>
      </c>
      <c r="L34" s="4">
        <v>6.46</v>
      </c>
    </row>
    <row r="35" spans="1:12" x14ac:dyDescent="0.35">
      <c r="A35" t="s">
        <v>67</v>
      </c>
      <c r="B35" s="3">
        <v>45968</v>
      </c>
      <c r="C35" t="s">
        <v>14</v>
      </c>
      <c r="D35" t="s">
        <v>66</v>
      </c>
      <c r="E35" t="s">
        <v>16</v>
      </c>
      <c r="F35" t="s">
        <v>4</v>
      </c>
      <c r="G35">
        <v>9</v>
      </c>
      <c r="H35" s="4">
        <v>196.3</v>
      </c>
      <c r="I35" s="5">
        <v>0.2</v>
      </c>
      <c r="J35" s="4">
        <v>1413.36</v>
      </c>
      <c r="K35" s="4">
        <v>1083.47</v>
      </c>
      <c r="L35" s="4">
        <v>329.89</v>
      </c>
    </row>
    <row r="36" spans="1:12" x14ac:dyDescent="0.35">
      <c r="A36" t="s">
        <v>68</v>
      </c>
      <c r="B36" s="3">
        <v>45760</v>
      </c>
      <c r="C36" t="s">
        <v>69</v>
      </c>
      <c r="D36" t="s">
        <v>46</v>
      </c>
      <c r="E36" t="s">
        <v>29</v>
      </c>
      <c r="F36" t="s">
        <v>23</v>
      </c>
      <c r="G36">
        <v>6</v>
      </c>
      <c r="H36" s="4">
        <v>122.13</v>
      </c>
      <c r="I36" s="5">
        <v>0.1</v>
      </c>
      <c r="J36" s="4">
        <v>659.5</v>
      </c>
      <c r="K36" s="4">
        <v>538.46</v>
      </c>
      <c r="L36" s="4">
        <v>121.04</v>
      </c>
    </row>
    <row r="37" spans="1:12" x14ac:dyDescent="0.35">
      <c r="A37" t="s">
        <v>70</v>
      </c>
      <c r="B37" s="3">
        <v>45889</v>
      </c>
      <c r="C37" t="s">
        <v>1</v>
      </c>
      <c r="D37" t="s">
        <v>28</v>
      </c>
      <c r="E37" t="s">
        <v>16</v>
      </c>
      <c r="F37" t="s">
        <v>4</v>
      </c>
      <c r="G37">
        <v>4</v>
      </c>
      <c r="H37" s="4">
        <v>237.97</v>
      </c>
      <c r="I37" s="5">
        <v>0</v>
      </c>
      <c r="J37" s="4">
        <v>951.88</v>
      </c>
      <c r="K37" s="4">
        <v>574.61</v>
      </c>
      <c r="L37" s="4">
        <v>377.27</v>
      </c>
    </row>
    <row r="38" spans="1:12" x14ac:dyDescent="0.35">
      <c r="A38" t="s">
        <v>71</v>
      </c>
      <c r="B38" s="3">
        <v>45668</v>
      </c>
      <c r="C38" t="s">
        <v>18</v>
      </c>
      <c r="D38" t="s">
        <v>34</v>
      </c>
      <c r="E38" t="s">
        <v>32</v>
      </c>
      <c r="F38" t="s">
        <v>12</v>
      </c>
      <c r="G38">
        <v>4</v>
      </c>
      <c r="H38" s="4">
        <v>10.220000000000001</v>
      </c>
      <c r="I38" s="5">
        <v>0</v>
      </c>
      <c r="J38" s="4">
        <v>40.880000000000003</v>
      </c>
      <c r="K38" s="4">
        <v>31.48</v>
      </c>
      <c r="L38" s="4">
        <v>9.4</v>
      </c>
    </row>
    <row r="39" spans="1:12" x14ac:dyDescent="0.35">
      <c r="A39" t="s">
        <v>72</v>
      </c>
      <c r="B39" s="3">
        <v>46020</v>
      </c>
      <c r="C39" t="s">
        <v>1</v>
      </c>
      <c r="D39" t="s">
        <v>28</v>
      </c>
      <c r="E39" t="s">
        <v>16</v>
      </c>
      <c r="F39" t="s">
        <v>4</v>
      </c>
      <c r="G39">
        <v>2</v>
      </c>
      <c r="H39" s="4">
        <v>233.65</v>
      </c>
      <c r="I39" s="5">
        <v>0</v>
      </c>
      <c r="J39" s="4">
        <v>467.3</v>
      </c>
      <c r="K39" s="4">
        <v>348.99</v>
      </c>
      <c r="L39" s="4">
        <v>118.31</v>
      </c>
    </row>
    <row r="40" spans="1:12" x14ac:dyDescent="0.35">
      <c r="A40" t="s">
        <v>73</v>
      </c>
      <c r="B40" s="3">
        <v>45694</v>
      </c>
      <c r="C40" t="s">
        <v>18</v>
      </c>
      <c r="D40" t="s">
        <v>40</v>
      </c>
      <c r="E40" t="s">
        <v>35</v>
      </c>
      <c r="F40" t="s">
        <v>23</v>
      </c>
      <c r="G40">
        <v>8</v>
      </c>
      <c r="H40" s="4">
        <v>194.65</v>
      </c>
      <c r="I40" s="5">
        <v>0.02</v>
      </c>
      <c r="J40" s="4">
        <v>1526.06</v>
      </c>
      <c r="K40" s="4">
        <v>869.84</v>
      </c>
      <c r="L40" s="4">
        <v>656.22</v>
      </c>
    </row>
    <row r="41" spans="1:12" x14ac:dyDescent="0.35">
      <c r="A41" t="s">
        <v>74</v>
      </c>
      <c r="B41" s="3">
        <v>45725</v>
      </c>
      <c r="C41" t="s">
        <v>14</v>
      </c>
      <c r="D41" t="s">
        <v>55</v>
      </c>
      <c r="E41" t="s">
        <v>16</v>
      </c>
      <c r="F41" t="s">
        <v>4</v>
      </c>
      <c r="G41">
        <v>8</v>
      </c>
      <c r="H41" s="4">
        <v>210.66</v>
      </c>
      <c r="I41" s="5">
        <v>0.1</v>
      </c>
      <c r="J41" s="4">
        <v>1516.75</v>
      </c>
      <c r="K41" s="4">
        <v>881.66</v>
      </c>
      <c r="L41" s="4">
        <v>635.09</v>
      </c>
    </row>
    <row r="42" spans="1:12" x14ac:dyDescent="0.35">
      <c r="A42" t="s">
        <v>75</v>
      </c>
      <c r="B42" s="3">
        <v>45706</v>
      </c>
      <c r="C42" t="s">
        <v>1</v>
      </c>
      <c r="D42" t="s">
        <v>28</v>
      </c>
      <c r="E42" t="s">
        <v>7</v>
      </c>
      <c r="F42" t="s">
        <v>8</v>
      </c>
      <c r="G42">
        <v>7</v>
      </c>
      <c r="H42" s="4">
        <v>49.9</v>
      </c>
      <c r="I42" s="5">
        <v>0.05</v>
      </c>
      <c r="J42" s="4">
        <v>331.83</v>
      </c>
      <c r="K42" s="4">
        <v>238.35</v>
      </c>
      <c r="L42" s="4">
        <v>93.48</v>
      </c>
    </row>
    <row r="43" spans="1:12" x14ac:dyDescent="0.35">
      <c r="A43" t="s">
        <v>76</v>
      </c>
      <c r="B43" s="3">
        <v>45868</v>
      </c>
      <c r="C43" t="s">
        <v>14</v>
      </c>
      <c r="D43" t="s">
        <v>66</v>
      </c>
      <c r="E43" t="s">
        <v>20</v>
      </c>
      <c r="F43" t="s">
        <v>8</v>
      </c>
      <c r="G43">
        <v>1</v>
      </c>
      <c r="H43" s="4">
        <v>33.22</v>
      </c>
      <c r="I43" s="5">
        <v>0.2</v>
      </c>
      <c r="J43" s="4">
        <v>26.58</v>
      </c>
      <c r="K43" s="4">
        <v>15.08</v>
      </c>
      <c r="L43" s="4">
        <v>11.5</v>
      </c>
    </row>
    <row r="44" spans="1:12" x14ac:dyDescent="0.35">
      <c r="A44" t="s">
        <v>77</v>
      </c>
      <c r="B44" s="3">
        <v>45988</v>
      </c>
      <c r="C44" t="s">
        <v>1</v>
      </c>
      <c r="D44" t="s">
        <v>28</v>
      </c>
      <c r="E44" t="s">
        <v>3</v>
      </c>
      <c r="F44" t="s">
        <v>4</v>
      </c>
      <c r="G44">
        <v>7</v>
      </c>
      <c r="H44" s="4">
        <v>801.8</v>
      </c>
      <c r="I44" s="5">
        <v>0.2</v>
      </c>
      <c r="J44" s="4">
        <v>4490.08</v>
      </c>
      <c r="K44" s="4">
        <v>2863.77</v>
      </c>
      <c r="L44" s="4">
        <v>1626.31</v>
      </c>
    </row>
    <row r="45" spans="1:12" x14ac:dyDescent="0.35">
      <c r="A45" t="s">
        <v>78</v>
      </c>
      <c r="B45" s="3">
        <v>45713</v>
      </c>
      <c r="C45" t="s">
        <v>18</v>
      </c>
      <c r="D45" t="s">
        <v>19</v>
      </c>
      <c r="E45" t="s">
        <v>16</v>
      </c>
      <c r="F45" t="s">
        <v>4</v>
      </c>
      <c r="G45">
        <v>4</v>
      </c>
      <c r="H45" s="4">
        <v>235.15</v>
      </c>
      <c r="I45" s="5">
        <v>0.15</v>
      </c>
      <c r="J45" s="4">
        <v>799.51</v>
      </c>
      <c r="K45" s="4">
        <v>577.36</v>
      </c>
      <c r="L45" s="4">
        <v>222.15</v>
      </c>
    </row>
    <row r="46" spans="1:12" x14ac:dyDescent="0.35">
      <c r="A46" t="s">
        <v>79</v>
      </c>
      <c r="B46" s="3">
        <v>45729</v>
      </c>
      <c r="C46" t="s">
        <v>14</v>
      </c>
      <c r="D46" t="s">
        <v>55</v>
      </c>
      <c r="E46" t="s">
        <v>61</v>
      </c>
      <c r="F46" t="s">
        <v>4</v>
      </c>
      <c r="G46">
        <v>5</v>
      </c>
      <c r="H46" s="4">
        <v>89.29</v>
      </c>
      <c r="I46" s="5">
        <v>0.1</v>
      </c>
      <c r="J46" s="4">
        <v>401.81</v>
      </c>
      <c r="K46" s="4">
        <v>272.23</v>
      </c>
      <c r="L46" s="4">
        <v>129.58000000000001</v>
      </c>
    </row>
    <row r="47" spans="1:12" x14ac:dyDescent="0.35">
      <c r="A47" t="s">
        <v>80</v>
      </c>
      <c r="B47" s="3">
        <v>45696</v>
      </c>
      <c r="C47" t="s">
        <v>14</v>
      </c>
      <c r="D47" t="s">
        <v>66</v>
      </c>
      <c r="E47" t="s">
        <v>11</v>
      </c>
      <c r="F47" t="s">
        <v>12</v>
      </c>
      <c r="G47">
        <v>2</v>
      </c>
      <c r="H47" s="4">
        <v>7.09</v>
      </c>
      <c r="I47" s="5">
        <v>0</v>
      </c>
      <c r="J47" s="4">
        <v>14.18</v>
      </c>
      <c r="K47" s="4">
        <v>10.53</v>
      </c>
      <c r="L47" s="4">
        <v>3.65</v>
      </c>
    </row>
    <row r="48" spans="1:12" x14ac:dyDescent="0.35">
      <c r="A48" t="s">
        <v>81</v>
      </c>
      <c r="B48" s="3">
        <v>45934</v>
      </c>
      <c r="C48" t="s">
        <v>1</v>
      </c>
      <c r="D48" t="s">
        <v>28</v>
      </c>
      <c r="E48" t="s">
        <v>52</v>
      </c>
      <c r="F48" t="s">
        <v>4</v>
      </c>
      <c r="G48">
        <v>4</v>
      </c>
      <c r="H48" s="4">
        <v>593.03</v>
      </c>
      <c r="I48" s="5">
        <v>0.02</v>
      </c>
      <c r="J48" s="4">
        <v>2324.6799999999998</v>
      </c>
      <c r="K48" s="4">
        <v>1630.87</v>
      </c>
      <c r="L48" s="4">
        <v>693.81</v>
      </c>
    </row>
    <row r="49" spans="1:12" x14ac:dyDescent="0.35">
      <c r="A49" t="s">
        <v>82</v>
      </c>
      <c r="B49" s="3">
        <v>45906</v>
      </c>
      <c r="C49" t="s">
        <v>14</v>
      </c>
      <c r="D49" t="s">
        <v>55</v>
      </c>
      <c r="E49" t="s">
        <v>16</v>
      </c>
      <c r="F49" t="s">
        <v>4</v>
      </c>
      <c r="G49">
        <v>7</v>
      </c>
      <c r="H49" s="4">
        <v>237.88</v>
      </c>
      <c r="I49" s="5">
        <v>0</v>
      </c>
      <c r="J49" s="4">
        <v>1665.16</v>
      </c>
      <c r="K49" s="4">
        <v>1137.8499999999999</v>
      </c>
      <c r="L49" s="4">
        <v>527.30999999999995</v>
      </c>
    </row>
    <row r="50" spans="1:12" x14ac:dyDescent="0.35">
      <c r="A50" t="s">
        <v>83</v>
      </c>
      <c r="B50" s="3">
        <v>45852</v>
      </c>
      <c r="C50" t="s">
        <v>1</v>
      </c>
      <c r="D50" t="s">
        <v>28</v>
      </c>
      <c r="E50" t="s">
        <v>29</v>
      </c>
      <c r="F50" t="s">
        <v>23</v>
      </c>
      <c r="G50">
        <v>5</v>
      </c>
      <c r="H50" s="4">
        <v>140.94999999999999</v>
      </c>
      <c r="I50" s="5">
        <v>0.1</v>
      </c>
      <c r="J50" s="4">
        <v>634.27</v>
      </c>
      <c r="K50" s="4">
        <v>422.07</v>
      </c>
      <c r="L50" s="4">
        <v>212.2</v>
      </c>
    </row>
    <row r="51" spans="1:12" x14ac:dyDescent="0.35">
      <c r="A51" t="s">
        <v>84</v>
      </c>
      <c r="B51" s="3">
        <v>45874</v>
      </c>
      <c r="C51" t="s">
        <v>14</v>
      </c>
      <c r="D51" t="s">
        <v>55</v>
      </c>
      <c r="E51" t="s">
        <v>61</v>
      </c>
      <c r="F51" t="s">
        <v>4</v>
      </c>
      <c r="G51">
        <v>4</v>
      </c>
      <c r="H51" s="4">
        <v>68.61</v>
      </c>
      <c r="I51" s="5">
        <v>0.05</v>
      </c>
      <c r="J51" s="4">
        <v>260.72000000000003</v>
      </c>
      <c r="K51" s="4">
        <v>150.99</v>
      </c>
      <c r="L51" s="4">
        <v>109.73</v>
      </c>
    </row>
    <row r="52" spans="1:12" x14ac:dyDescent="0.35">
      <c r="A52" t="s">
        <v>85</v>
      </c>
      <c r="B52" s="3">
        <v>45687</v>
      </c>
      <c r="C52" t="s">
        <v>1</v>
      </c>
      <c r="D52" t="s">
        <v>2</v>
      </c>
      <c r="E52" t="s">
        <v>20</v>
      </c>
      <c r="F52" t="s">
        <v>8</v>
      </c>
      <c r="G52">
        <v>6</v>
      </c>
      <c r="H52" s="4">
        <v>30.08</v>
      </c>
      <c r="I52" s="5">
        <v>0</v>
      </c>
      <c r="J52" s="4">
        <v>180.48</v>
      </c>
      <c r="K52" s="4">
        <v>130.28</v>
      </c>
      <c r="L52" s="4">
        <v>50.2</v>
      </c>
    </row>
    <row r="53" spans="1:12" x14ac:dyDescent="0.35">
      <c r="A53" t="s">
        <v>86</v>
      </c>
      <c r="B53" s="3">
        <v>45957</v>
      </c>
      <c r="C53" t="s">
        <v>14</v>
      </c>
      <c r="D53" t="s">
        <v>55</v>
      </c>
      <c r="E53" t="s">
        <v>11</v>
      </c>
      <c r="F53" t="s">
        <v>12</v>
      </c>
      <c r="H53" s="4">
        <v>7.55</v>
      </c>
      <c r="I53" s="5">
        <v>0.02</v>
      </c>
      <c r="J53" s="4">
        <v>66.59</v>
      </c>
      <c r="K53" s="4">
        <v>45.77</v>
      </c>
      <c r="L53" s="4">
        <v>20.82</v>
      </c>
    </row>
    <row r="54" spans="1:12" x14ac:dyDescent="0.35">
      <c r="A54" t="s">
        <v>87</v>
      </c>
      <c r="B54" s="3">
        <v>45918</v>
      </c>
      <c r="C54" t="s">
        <v>1</v>
      </c>
      <c r="D54" t="s">
        <v>2</v>
      </c>
      <c r="E54" t="s">
        <v>61</v>
      </c>
      <c r="F54" t="s">
        <v>4</v>
      </c>
      <c r="G54">
        <v>2</v>
      </c>
      <c r="H54" s="4">
        <v>89.78</v>
      </c>
      <c r="I54" s="5">
        <v>0.15</v>
      </c>
      <c r="J54" s="4">
        <v>152.63</v>
      </c>
      <c r="K54" s="4">
        <v>94.22</v>
      </c>
      <c r="L54" s="4">
        <v>58.41</v>
      </c>
    </row>
    <row r="55" spans="1:12" x14ac:dyDescent="0.35">
      <c r="A55" t="s">
        <v>88</v>
      </c>
      <c r="B55" s="3">
        <v>46003</v>
      </c>
      <c r="C55" t="s">
        <v>18</v>
      </c>
      <c r="D55" t="s">
        <v>34</v>
      </c>
      <c r="E55" t="s">
        <v>29</v>
      </c>
      <c r="F55" t="s">
        <v>23</v>
      </c>
      <c r="G55">
        <v>2</v>
      </c>
      <c r="H55" s="4">
        <v>136.24</v>
      </c>
      <c r="I55" s="5">
        <v>0.15</v>
      </c>
      <c r="J55" s="4">
        <v>231.61</v>
      </c>
      <c r="K55" s="4">
        <v>174.63</v>
      </c>
      <c r="L55" s="4">
        <v>56.98</v>
      </c>
    </row>
    <row r="56" spans="1:12" x14ac:dyDescent="0.35">
      <c r="A56" t="s">
        <v>89</v>
      </c>
      <c r="B56" s="3">
        <v>45954</v>
      </c>
      <c r="C56" t="s">
        <v>1</v>
      </c>
      <c r="D56" t="s">
        <v>6</v>
      </c>
      <c r="E56" t="s">
        <v>32</v>
      </c>
      <c r="F56" t="s">
        <v>12</v>
      </c>
      <c r="G56">
        <v>2</v>
      </c>
      <c r="H56" s="4">
        <v>11.02</v>
      </c>
      <c r="I56" s="5">
        <v>0.1</v>
      </c>
      <c r="J56" s="4">
        <v>19.84</v>
      </c>
      <c r="K56" s="4">
        <v>11.32</v>
      </c>
      <c r="L56" s="4">
        <v>8.52</v>
      </c>
    </row>
    <row r="57" spans="1:12" x14ac:dyDescent="0.35">
      <c r="A57" t="s">
        <v>90</v>
      </c>
      <c r="B57" s="3">
        <v>45956</v>
      </c>
      <c r="C57" t="s">
        <v>25</v>
      </c>
      <c r="D57" t="s">
        <v>46</v>
      </c>
      <c r="E57" t="s">
        <v>35</v>
      </c>
      <c r="F57" t="s">
        <v>23</v>
      </c>
      <c r="G57">
        <v>4</v>
      </c>
      <c r="H57" s="4">
        <v>168.65</v>
      </c>
      <c r="I57" s="5">
        <v>0.2</v>
      </c>
      <c r="J57" s="4">
        <v>539.67999999999995</v>
      </c>
      <c r="K57" s="4">
        <v>320.32</v>
      </c>
      <c r="L57" s="4">
        <v>219.36</v>
      </c>
    </row>
    <row r="58" spans="1:12" x14ac:dyDescent="0.35">
      <c r="A58" t="s">
        <v>91</v>
      </c>
      <c r="B58" s="3">
        <v>45818</v>
      </c>
      <c r="C58" t="s">
        <v>18</v>
      </c>
      <c r="D58" t="s">
        <v>40</v>
      </c>
      <c r="E58" t="s">
        <v>35</v>
      </c>
      <c r="F58" t="s">
        <v>23</v>
      </c>
      <c r="G58">
        <v>7</v>
      </c>
      <c r="H58" s="4">
        <v>203.2</v>
      </c>
      <c r="I58" s="5">
        <v>0.02</v>
      </c>
      <c r="J58" s="4">
        <v>1393.95</v>
      </c>
      <c r="K58" s="4">
        <v>1070.82</v>
      </c>
      <c r="L58" s="4">
        <v>323.13</v>
      </c>
    </row>
    <row r="59" spans="1:12" x14ac:dyDescent="0.35">
      <c r="A59" t="s">
        <v>92</v>
      </c>
      <c r="B59" s="3">
        <v>45988</v>
      </c>
      <c r="C59" t="s">
        <v>25</v>
      </c>
      <c r="D59" t="s">
        <v>31</v>
      </c>
      <c r="E59" t="s">
        <v>38</v>
      </c>
      <c r="F59" t="s">
        <v>12</v>
      </c>
      <c r="G59">
        <v>6</v>
      </c>
      <c r="H59" s="4">
        <v>166.4</v>
      </c>
      <c r="I59" s="5">
        <v>0</v>
      </c>
      <c r="J59" s="4">
        <v>998.4</v>
      </c>
      <c r="K59" s="4">
        <v>784.04</v>
      </c>
      <c r="L59" s="4">
        <v>214.36</v>
      </c>
    </row>
    <row r="60" spans="1:12" x14ac:dyDescent="0.35">
      <c r="A60" t="s">
        <v>93</v>
      </c>
      <c r="B60" s="3">
        <v>45892</v>
      </c>
      <c r="C60" t="s">
        <v>1</v>
      </c>
      <c r="D60" t="s">
        <v>6</v>
      </c>
      <c r="E60" t="s">
        <v>52</v>
      </c>
      <c r="F60" t="s">
        <v>4</v>
      </c>
      <c r="G60">
        <v>9</v>
      </c>
      <c r="H60" s="4">
        <v>600.11</v>
      </c>
      <c r="I60" s="5">
        <v>0.02</v>
      </c>
      <c r="J60" s="4">
        <v>5292.97</v>
      </c>
      <c r="K60" s="4">
        <v>3177.76</v>
      </c>
      <c r="L60" s="4">
        <v>2115.21</v>
      </c>
    </row>
    <row r="61" spans="1:12" x14ac:dyDescent="0.35">
      <c r="A61" t="s">
        <v>94</v>
      </c>
      <c r="B61" s="3">
        <v>45793</v>
      </c>
      <c r="C61" t="s">
        <v>18</v>
      </c>
      <c r="D61" t="s">
        <v>19</v>
      </c>
      <c r="E61" t="s">
        <v>22</v>
      </c>
      <c r="F61" t="s">
        <v>23</v>
      </c>
      <c r="G61">
        <v>2</v>
      </c>
      <c r="H61" s="4">
        <v>279.44</v>
      </c>
      <c r="I61" s="5">
        <v>0.02</v>
      </c>
      <c r="J61" s="4">
        <v>547.70000000000005</v>
      </c>
      <c r="K61" s="4">
        <v>380.99</v>
      </c>
      <c r="L61" s="4">
        <v>166.71</v>
      </c>
    </row>
    <row r="62" spans="1:12" x14ac:dyDescent="0.35">
      <c r="A62" t="s">
        <v>95</v>
      </c>
      <c r="B62" s="3">
        <v>45803</v>
      </c>
      <c r="C62" t="s">
        <v>18</v>
      </c>
      <c r="D62" t="s">
        <v>19</v>
      </c>
      <c r="E62" t="s">
        <v>38</v>
      </c>
      <c r="F62" t="s">
        <v>12</v>
      </c>
      <c r="G62">
        <v>9</v>
      </c>
      <c r="H62" s="4">
        <v>174.76</v>
      </c>
      <c r="I62" s="5">
        <v>0.2</v>
      </c>
      <c r="J62" s="4">
        <v>1258.27</v>
      </c>
      <c r="K62" s="4">
        <v>996.48</v>
      </c>
      <c r="L62" s="4">
        <v>261.79000000000002</v>
      </c>
    </row>
    <row r="63" spans="1:12" x14ac:dyDescent="0.35">
      <c r="A63" t="s">
        <v>96</v>
      </c>
      <c r="B63" s="3">
        <v>45971</v>
      </c>
      <c r="C63" t="s">
        <v>1</v>
      </c>
      <c r="D63" t="s">
        <v>6</v>
      </c>
      <c r="E63" t="s">
        <v>7</v>
      </c>
      <c r="F63" t="s">
        <v>8</v>
      </c>
      <c r="G63">
        <v>9</v>
      </c>
      <c r="H63" s="4">
        <v>42.54</v>
      </c>
      <c r="I63" s="5">
        <v>0.05</v>
      </c>
      <c r="J63" s="4">
        <v>363.72</v>
      </c>
      <c r="K63" s="4">
        <v>210.85</v>
      </c>
      <c r="L63" s="4">
        <v>152.87</v>
      </c>
    </row>
    <row r="64" spans="1:12" x14ac:dyDescent="0.35">
      <c r="A64" t="s">
        <v>97</v>
      </c>
      <c r="B64" s="3">
        <v>45711</v>
      </c>
      <c r="C64" t="s">
        <v>18</v>
      </c>
      <c r="D64" t="s">
        <v>40</v>
      </c>
      <c r="E64" t="s">
        <v>35</v>
      </c>
      <c r="F64" t="s">
        <v>23</v>
      </c>
      <c r="G64">
        <v>2</v>
      </c>
      <c r="H64" s="4">
        <v>165.31</v>
      </c>
      <c r="I64" s="5">
        <v>0</v>
      </c>
      <c r="J64" s="4">
        <v>330.62</v>
      </c>
      <c r="K64" s="4">
        <v>219.97</v>
      </c>
      <c r="L64" s="4">
        <v>110.65</v>
      </c>
    </row>
    <row r="65" spans="1:12" x14ac:dyDescent="0.35">
      <c r="A65" t="s">
        <v>98</v>
      </c>
      <c r="B65" s="3">
        <v>45941</v>
      </c>
      <c r="C65" t="s">
        <v>18</v>
      </c>
      <c r="D65" t="s">
        <v>34</v>
      </c>
      <c r="E65" t="s">
        <v>35</v>
      </c>
      <c r="F65" t="s">
        <v>23</v>
      </c>
      <c r="G65">
        <v>5</v>
      </c>
      <c r="H65" s="4">
        <v>197.17</v>
      </c>
      <c r="I65" s="5">
        <v>0.15</v>
      </c>
      <c r="J65" s="4">
        <v>837.97</v>
      </c>
      <c r="K65" s="4">
        <v>655.63</v>
      </c>
      <c r="L65" s="4">
        <v>182.34</v>
      </c>
    </row>
    <row r="66" spans="1:12" x14ac:dyDescent="0.35">
      <c r="A66" t="s">
        <v>99</v>
      </c>
      <c r="B66" s="3">
        <v>45833</v>
      </c>
      <c r="C66" t="s">
        <v>18</v>
      </c>
      <c r="D66" t="s">
        <v>19</v>
      </c>
      <c r="E66" t="s">
        <v>7</v>
      </c>
      <c r="F66" t="s">
        <v>8</v>
      </c>
      <c r="G66">
        <v>5</v>
      </c>
      <c r="H66" s="4">
        <v>38.340000000000003</v>
      </c>
      <c r="I66" s="5">
        <v>0.15</v>
      </c>
      <c r="J66" s="4">
        <v>162.94999999999999</v>
      </c>
      <c r="K66" s="4">
        <v>112.09</v>
      </c>
      <c r="L66" s="4">
        <v>50.86</v>
      </c>
    </row>
    <row r="67" spans="1:12" x14ac:dyDescent="0.35">
      <c r="A67" t="s">
        <v>100</v>
      </c>
      <c r="B67" s="3">
        <v>45786</v>
      </c>
      <c r="C67" t="s">
        <v>1</v>
      </c>
      <c r="D67" t="s">
        <v>2</v>
      </c>
      <c r="E67" t="s">
        <v>52</v>
      </c>
      <c r="F67" t="s">
        <v>4</v>
      </c>
      <c r="G67">
        <v>7</v>
      </c>
      <c r="H67" s="4">
        <v>536.37</v>
      </c>
      <c r="I67" s="5">
        <v>0.05</v>
      </c>
      <c r="J67" s="4">
        <v>3566.86</v>
      </c>
      <c r="K67" s="4">
        <v>2175.67</v>
      </c>
      <c r="L67" s="4">
        <v>1391.19</v>
      </c>
    </row>
    <row r="68" spans="1:12" x14ac:dyDescent="0.35">
      <c r="A68" t="s">
        <v>101</v>
      </c>
      <c r="B68" s="3">
        <v>45659</v>
      </c>
      <c r="C68" t="s">
        <v>25</v>
      </c>
      <c r="D68" t="s">
        <v>46</v>
      </c>
      <c r="E68" t="s">
        <v>61</v>
      </c>
      <c r="F68" t="s">
        <v>4</v>
      </c>
      <c r="G68">
        <v>5</v>
      </c>
      <c r="H68" s="4">
        <v>70.88</v>
      </c>
      <c r="I68" s="5">
        <v>0.02</v>
      </c>
      <c r="J68" s="4">
        <v>347.31</v>
      </c>
      <c r="K68" s="4">
        <v>222.68</v>
      </c>
      <c r="L68" s="4">
        <v>124.63</v>
      </c>
    </row>
    <row r="69" spans="1:12" x14ac:dyDescent="0.35">
      <c r="A69" t="s">
        <v>102</v>
      </c>
      <c r="B69" s="3">
        <v>45884</v>
      </c>
      <c r="C69" t="s">
        <v>14</v>
      </c>
      <c r="D69" t="s">
        <v>55</v>
      </c>
      <c r="E69" t="s">
        <v>11</v>
      </c>
      <c r="F69" t="s">
        <v>12</v>
      </c>
      <c r="G69">
        <v>1</v>
      </c>
      <c r="H69" s="4">
        <v>9.06</v>
      </c>
      <c r="I69" s="5">
        <v>0</v>
      </c>
      <c r="J69" s="4">
        <v>9.06</v>
      </c>
      <c r="K69" s="4">
        <v>5.77</v>
      </c>
      <c r="L69" s="4">
        <v>3.29</v>
      </c>
    </row>
    <row r="70" spans="1:12" x14ac:dyDescent="0.35">
      <c r="A70" t="s">
        <v>103</v>
      </c>
      <c r="B70" s="3">
        <v>46011</v>
      </c>
      <c r="C70" t="s">
        <v>18</v>
      </c>
      <c r="D70" t="s">
        <v>40</v>
      </c>
      <c r="E70" t="s">
        <v>11</v>
      </c>
      <c r="F70" t="s">
        <v>12</v>
      </c>
      <c r="G70">
        <v>1</v>
      </c>
      <c r="H70" s="4">
        <v>8.0500000000000007</v>
      </c>
      <c r="I70" s="5"/>
      <c r="J70" s="4">
        <v>7.65</v>
      </c>
      <c r="K70" s="4">
        <v>5.66</v>
      </c>
      <c r="L70" s="4">
        <v>1.99</v>
      </c>
    </row>
    <row r="71" spans="1:12" x14ac:dyDescent="0.35">
      <c r="A71" t="s">
        <v>104</v>
      </c>
      <c r="B71" s="3">
        <v>45940</v>
      </c>
      <c r="C71" t="s">
        <v>18</v>
      </c>
      <c r="D71" t="s">
        <v>19</v>
      </c>
      <c r="E71" t="s">
        <v>29</v>
      </c>
      <c r="F71" t="s">
        <v>23</v>
      </c>
      <c r="G71">
        <v>3</v>
      </c>
      <c r="H71" s="4">
        <v>134.27000000000001</v>
      </c>
      <c r="I71" s="5">
        <v>0</v>
      </c>
      <c r="J71" s="4">
        <v>402.81</v>
      </c>
      <c r="K71" s="4">
        <v>327.24</v>
      </c>
      <c r="L71" s="4">
        <v>75.569999999999993</v>
      </c>
    </row>
    <row r="72" spans="1:12" x14ac:dyDescent="0.35">
      <c r="A72" t="s">
        <v>105</v>
      </c>
      <c r="B72" s="3">
        <v>45844</v>
      </c>
      <c r="C72" t="s">
        <v>1</v>
      </c>
      <c r="D72" t="s">
        <v>2</v>
      </c>
      <c r="E72" t="s">
        <v>22</v>
      </c>
      <c r="F72" t="s">
        <v>23</v>
      </c>
      <c r="G72">
        <v>4</v>
      </c>
      <c r="H72" s="4">
        <v>284.68</v>
      </c>
      <c r="I72" s="5">
        <v>0.2</v>
      </c>
      <c r="J72" s="4">
        <v>910.98</v>
      </c>
      <c r="K72" s="4">
        <v>562.97</v>
      </c>
      <c r="L72" s="4">
        <v>348.01</v>
      </c>
    </row>
    <row r="73" spans="1:12" x14ac:dyDescent="0.35">
      <c r="A73" t="s">
        <v>106</v>
      </c>
      <c r="B73" s="3">
        <v>45999</v>
      </c>
      <c r="C73" t="s">
        <v>1</v>
      </c>
      <c r="D73" t="s">
        <v>6</v>
      </c>
      <c r="E73" t="s">
        <v>22</v>
      </c>
      <c r="F73" t="s">
        <v>23</v>
      </c>
      <c r="G73">
        <v>9</v>
      </c>
      <c r="H73" s="4">
        <v>249.79</v>
      </c>
      <c r="I73" s="5">
        <v>0.1</v>
      </c>
      <c r="J73" s="4">
        <v>2023.3</v>
      </c>
      <c r="K73" s="4">
        <v>1277.18</v>
      </c>
      <c r="L73" s="4">
        <v>746.12</v>
      </c>
    </row>
    <row r="74" spans="1:12" x14ac:dyDescent="0.35">
      <c r="A74" t="s">
        <v>107</v>
      </c>
      <c r="B74" s="3">
        <v>45737</v>
      </c>
      <c r="C74" t="s">
        <v>18</v>
      </c>
      <c r="D74" t="s">
        <v>34</v>
      </c>
      <c r="E74" t="s">
        <v>61</v>
      </c>
      <c r="F74" t="s">
        <v>4</v>
      </c>
      <c r="G74">
        <v>3</v>
      </c>
      <c r="H74" s="4">
        <v>74.84</v>
      </c>
      <c r="I74" s="5">
        <v>0.1</v>
      </c>
      <c r="J74" s="4">
        <v>202.07</v>
      </c>
      <c r="K74" s="4">
        <v>113.15</v>
      </c>
      <c r="L74" s="4">
        <v>88.92</v>
      </c>
    </row>
    <row r="75" spans="1:12" x14ac:dyDescent="0.35">
      <c r="A75" t="s">
        <v>108</v>
      </c>
      <c r="B75" s="3">
        <v>45749</v>
      </c>
      <c r="C75" t="s">
        <v>25</v>
      </c>
      <c r="D75" t="s">
        <v>31</v>
      </c>
      <c r="E75" t="s">
        <v>29</v>
      </c>
      <c r="F75" t="s">
        <v>23</v>
      </c>
      <c r="G75">
        <v>4</v>
      </c>
      <c r="H75" s="4">
        <v>144.6</v>
      </c>
      <c r="I75" s="5">
        <v>0.05</v>
      </c>
      <c r="J75" s="4">
        <v>549.48</v>
      </c>
      <c r="K75" s="4">
        <v>376.79</v>
      </c>
      <c r="L75" s="4">
        <v>172.69</v>
      </c>
    </row>
    <row r="76" spans="1:12" x14ac:dyDescent="0.35">
      <c r="A76" t="s">
        <v>109</v>
      </c>
      <c r="B76" s="3">
        <v>46017</v>
      </c>
      <c r="C76" t="s">
        <v>1</v>
      </c>
      <c r="D76" t="s">
        <v>2</v>
      </c>
      <c r="E76" t="s">
        <v>29</v>
      </c>
      <c r="F76" t="s">
        <v>23</v>
      </c>
      <c r="G76">
        <v>1</v>
      </c>
      <c r="H76" s="4">
        <v>121.16</v>
      </c>
      <c r="I76" s="5">
        <v>0.1</v>
      </c>
      <c r="J76" s="4">
        <v>109.04</v>
      </c>
      <c r="K76" s="4">
        <v>68.180000000000007</v>
      </c>
      <c r="L76" s="4">
        <v>40.86</v>
      </c>
    </row>
    <row r="77" spans="1:12" x14ac:dyDescent="0.35">
      <c r="A77" t="s">
        <v>110</v>
      </c>
      <c r="B77" s="3">
        <v>45760</v>
      </c>
      <c r="C77" t="s">
        <v>14</v>
      </c>
      <c r="D77" t="s">
        <v>55</v>
      </c>
      <c r="E77" t="s">
        <v>22</v>
      </c>
      <c r="F77" t="s">
        <v>23</v>
      </c>
      <c r="G77">
        <v>5</v>
      </c>
      <c r="H77" s="4">
        <v>280.62</v>
      </c>
      <c r="I77" s="5">
        <v>0.02</v>
      </c>
      <c r="J77" s="4">
        <v>1375.04</v>
      </c>
      <c r="K77" s="4">
        <v>845.21</v>
      </c>
      <c r="L77" s="4">
        <v>529.83000000000004</v>
      </c>
    </row>
    <row r="78" spans="1:12" x14ac:dyDescent="0.35">
      <c r="A78" t="s">
        <v>111</v>
      </c>
      <c r="B78" s="3">
        <v>45670</v>
      </c>
      <c r="C78" t="s">
        <v>18</v>
      </c>
      <c r="D78" t="s">
        <v>34</v>
      </c>
      <c r="E78" t="s">
        <v>29</v>
      </c>
      <c r="F78" t="s">
        <v>23</v>
      </c>
      <c r="G78">
        <v>6</v>
      </c>
      <c r="H78" s="4">
        <v>125.09</v>
      </c>
      <c r="I78" s="5">
        <v>0.05</v>
      </c>
      <c r="J78" s="4">
        <v>713.01</v>
      </c>
      <c r="K78" s="4">
        <v>486.38</v>
      </c>
      <c r="L78" s="4">
        <v>226.63</v>
      </c>
    </row>
    <row r="79" spans="1:12" x14ac:dyDescent="0.35">
      <c r="A79" t="s">
        <v>112</v>
      </c>
      <c r="B79" s="3">
        <v>45800</v>
      </c>
      <c r="C79" t="s">
        <v>25</v>
      </c>
      <c r="D79" t="s">
        <v>46</v>
      </c>
      <c r="E79" t="s">
        <v>7</v>
      </c>
      <c r="F79" t="s">
        <v>8</v>
      </c>
      <c r="G79">
        <v>9</v>
      </c>
      <c r="H79" s="4">
        <v>51.56</v>
      </c>
      <c r="I79" s="5">
        <v>0.1</v>
      </c>
      <c r="J79" s="4">
        <v>417.64</v>
      </c>
      <c r="K79" s="4">
        <v>257</v>
      </c>
      <c r="L79" s="4">
        <v>160.63999999999999</v>
      </c>
    </row>
    <row r="80" spans="1:12" x14ac:dyDescent="0.35">
      <c r="A80" t="s">
        <v>113</v>
      </c>
      <c r="B80" s="3">
        <v>45932</v>
      </c>
      <c r="C80" t="s">
        <v>25</v>
      </c>
      <c r="D80" t="s">
        <v>31</v>
      </c>
      <c r="E80" t="s">
        <v>3</v>
      </c>
      <c r="F80" t="s">
        <v>4</v>
      </c>
      <c r="G80">
        <v>2</v>
      </c>
      <c r="H80" s="4">
        <v>893.89</v>
      </c>
      <c r="I80" s="5">
        <v>0.05</v>
      </c>
      <c r="J80" s="4">
        <v>1698.39</v>
      </c>
      <c r="K80" s="4">
        <v>1283.3699999999999</v>
      </c>
      <c r="L80" s="4">
        <v>415.02</v>
      </c>
    </row>
    <row r="81" spans="1:12" x14ac:dyDescent="0.35">
      <c r="A81" t="s">
        <v>114</v>
      </c>
      <c r="B81" s="3">
        <v>45955</v>
      </c>
      <c r="C81" t="s">
        <v>25</v>
      </c>
      <c r="D81" t="s">
        <v>37</v>
      </c>
      <c r="E81" t="s">
        <v>3</v>
      </c>
      <c r="F81" t="s">
        <v>4</v>
      </c>
      <c r="G81">
        <v>2</v>
      </c>
      <c r="H81" s="4">
        <v>783.1</v>
      </c>
      <c r="I81" s="5">
        <v>0.15</v>
      </c>
      <c r="J81" s="4">
        <v>1331.27</v>
      </c>
      <c r="K81" s="4">
        <v>993.95</v>
      </c>
      <c r="L81" s="4">
        <v>337.32</v>
      </c>
    </row>
    <row r="82" spans="1:12" x14ac:dyDescent="0.35">
      <c r="A82" t="s">
        <v>115</v>
      </c>
      <c r="B82" s="3">
        <v>45834</v>
      </c>
      <c r="C82" t="s">
        <v>25</v>
      </c>
      <c r="D82" t="s">
        <v>31</v>
      </c>
      <c r="E82" t="s">
        <v>29</v>
      </c>
      <c r="F82" t="s">
        <v>23</v>
      </c>
      <c r="G82">
        <v>10</v>
      </c>
      <c r="H82" s="4">
        <v>134.44999999999999</v>
      </c>
      <c r="I82" s="5">
        <v>0.15</v>
      </c>
      <c r="J82" s="4">
        <v>1142.83</v>
      </c>
      <c r="K82" s="4">
        <v>823.66</v>
      </c>
      <c r="L82" s="4">
        <v>319.17</v>
      </c>
    </row>
    <row r="83" spans="1:12" x14ac:dyDescent="0.35">
      <c r="A83" t="s">
        <v>116</v>
      </c>
      <c r="B83" s="3">
        <v>45855</v>
      </c>
      <c r="C83" t="s">
        <v>18</v>
      </c>
      <c r="D83" t="s">
        <v>19</v>
      </c>
      <c r="E83" t="s">
        <v>35</v>
      </c>
      <c r="F83" t="s">
        <v>23</v>
      </c>
      <c r="G83">
        <v>1</v>
      </c>
      <c r="H83" s="4">
        <v>187.21</v>
      </c>
      <c r="I83" s="5">
        <v>0.2</v>
      </c>
      <c r="J83" s="4">
        <v>149.77000000000001</v>
      </c>
      <c r="K83" s="4">
        <v>104.04</v>
      </c>
      <c r="L83" s="4">
        <v>45.73</v>
      </c>
    </row>
    <row r="84" spans="1:12" x14ac:dyDescent="0.35">
      <c r="A84" t="s">
        <v>117</v>
      </c>
      <c r="B84" s="3">
        <v>45658</v>
      </c>
      <c r="C84" t="s">
        <v>18</v>
      </c>
      <c r="D84" t="s">
        <v>40</v>
      </c>
      <c r="E84" t="s">
        <v>22</v>
      </c>
      <c r="F84" t="s">
        <v>23</v>
      </c>
      <c r="G84">
        <v>7</v>
      </c>
      <c r="H84" s="4">
        <v>219.27</v>
      </c>
      <c r="I84" s="5">
        <v>0</v>
      </c>
      <c r="J84" s="4">
        <v>1534.89</v>
      </c>
      <c r="K84" s="4">
        <v>1190.3599999999999</v>
      </c>
      <c r="L84" s="4">
        <v>344.53</v>
      </c>
    </row>
    <row r="85" spans="1:12" x14ac:dyDescent="0.35">
      <c r="A85" t="s">
        <v>118</v>
      </c>
      <c r="B85" s="3">
        <v>45827</v>
      </c>
      <c r="C85" t="s">
        <v>25</v>
      </c>
      <c r="D85" t="s">
        <v>37</v>
      </c>
      <c r="E85" t="s">
        <v>7</v>
      </c>
      <c r="F85" t="s">
        <v>8</v>
      </c>
      <c r="G85">
        <v>2</v>
      </c>
      <c r="H85" s="4"/>
      <c r="I85" s="5">
        <v>0.2</v>
      </c>
      <c r="J85" s="4">
        <v>68.13</v>
      </c>
      <c r="K85" s="4">
        <v>40.9</v>
      </c>
      <c r="L85" s="4">
        <v>27.23</v>
      </c>
    </row>
    <row r="86" spans="1:12" x14ac:dyDescent="0.35">
      <c r="A86" t="s">
        <v>119</v>
      </c>
      <c r="B86" s="3">
        <v>45917</v>
      </c>
      <c r="C86" t="s">
        <v>25</v>
      </c>
      <c r="D86" t="s">
        <v>37</v>
      </c>
      <c r="E86" t="s">
        <v>7</v>
      </c>
      <c r="F86" t="s">
        <v>8</v>
      </c>
      <c r="G86">
        <v>7</v>
      </c>
      <c r="H86" s="4">
        <v>38.799999999999997</v>
      </c>
      <c r="I86" s="5">
        <v>0.05</v>
      </c>
      <c r="J86" s="4">
        <v>258.02</v>
      </c>
      <c r="K86" s="4">
        <v>183.08</v>
      </c>
      <c r="L86" s="4">
        <v>74.94</v>
      </c>
    </row>
    <row r="87" spans="1:12" x14ac:dyDescent="0.35">
      <c r="A87" t="s">
        <v>120</v>
      </c>
      <c r="B87" s="3">
        <v>46014</v>
      </c>
      <c r="C87" t="s">
        <v>25</v>
      </c>
      <c r="D87" t="s">
        <v>37</v>
      </c>
      <c r="E87" t="s">
        <v>11</v>
      </c>
      <c r="F87" t="s">
        <v>12</v>
      </c>
      <c r="G87">
        <v>3</v>
      </c>
      <c r="H87" s="4">
        <v>8.43</v>
      </c>
      <c r="I87" s="5">
        <v>0.02</v>
      </c>
      <c r="J87" s="4">
        <v>24.78</v>
      </c>
      <c r="K87" s="4">
        <v>13.74</v>
      </c>
      <c r="L87" s="4">
        <v>11.04</v>
      </c>
    </row>
    <row r="88" spans="1:12" x14ac:dyDescent="0.35">
      <c r="A88" t="s">
        <v>121</v>
      </c>
      <c r="B88" s="3">
        <v>45998</v>
      </c>
      <c r="C88" t="s">
        <v>14</v>
      </c>
      <c r="D88" t="s">
        <v>66</v>
      </c>
      <c r="E88" t="s">
        <v>7</v>
      </c>
      <c r="F88" t="s">
        <v>8</v>
      </c>
      <c r="G88">
        <v>3</v>
      </c>
      <c r="H88" s="4">
        <v>45.16</v>
      </c>
      <c r="I88" s="5">
        <v>0.15</v>
      </c>
      <c r="J88" s="4">
        <v>115.16</v>
      </c>
      <c r="K88" s="4">
        <v>70.38</v>
      </c>
      <c r="L88" s="4">
        <v>44.78</v>
      </c>
    </row>
    <row r="89" spans="1:12" x14ac:dyDescent="0.35">
      <c r="A89" t="s">
        <v>122</v>
      </c>
      <c r="B89" s="3">
        <v>45812</v>
      </c>
      <c r="C89" t="s">
        <v>14</v>
      </c>
      <c r="D89" t="s">
        <v>15</v>
      </c>
      <c r="E89" t="s">
        <v>11</v>
      </c>
      <c r="F89" t="s">
        <v>12</v>
      </c>
      <c r="G89">
        <v>1</v>
      </c>
      <c r="H89" s="4">
        <v>8.35</v>
      </c>
      <c r="I89" s="5">
        <v>0.05</v>
      </c>
      <c r="J89" s="4">
        <v>7.93</v>
      </c>
      <c r="K89" s="4">
        <v>4.7300000000000004</v>
      </c>
      <c r="L89" s="4">
        <v>3.2</v>
      </c>
    </row>
    <row r="90" spans="1:12" x14ac:dyDescent="0.35">
      <c r="A90" t="s">
        <v>123</v>
      </c>
      <c r="B90" s="3">
        <v>45765</v>
      </c>
      <c r="C90" t="s">
        <v>14</v>
      </c>
      <c r="D90" t="s">
        <v>15</v>
      </c>
      <c r="E90" t="s">
        <v>32</v>
      </c>
      <c r="F90" t="s">
        <v>12</v>
      </c>
      <c r="G90">
        <v>10</v>
      </c>
      <c r="H90" s="4">
        <v>12.69</v>
      </c>
      <c r="I90" s="5">
        <v>0.2</v>
      </c>
      <c r="J90" s="4">
        <v>101.52</v>
      </c>
      <c r="K90" s="4">
        <v>66.44</v>
      </c>
      <c r="L90" s="4">
        <v>35.08</v>
      </c>
    </row>
    <row r="91" spans="1:12" x14ac:dyDescent="0.35">
      <c r="A91" t="s">
        <v>124</v>
      </c>
      <c r="B91" s="3">
        <v>45896</v>
      </c>
      <c r="C91" t="s">
        <v>14</v>
      </c>
      <c r="D91" t="s">
        <v>15</v>
      </c>
      <c r="E91" t="s">
        <v>38</v>
      </c>
      <c r="F91" t="s">
        <v>12</v>
      </c>
      <c r="G91">
        <v>4</v>
      </c>
      <c r="H91" s="4">
        <v>180.96</v>
      </c>
      <c r="I91" s="5">
        <v>0.15</v>
      </c>
      <c r="J91" s="4">
        <v>615.26</v>
      </c>
      <c r="K91" s="4">
        <v>361.24</v>
      </c>
      <c r="L91" s="4">
        <v>254.02</v>
      </c>
    </row>
    <row r="92" spans="1:12" x14ac:dyDescent="0.35">
      <c r="A92" t="s">
        <v>125</v>
      </c>
      <c r="B92" s="3">
        <v>45744</v>
      </c>
      <c r="C92" t="s">
        <v>1</v>
      </c>
      <c r="D92" t="s">
        <v>6</v>
      </c>
      <c r="E92" t="s">
        <v>35</v>
      </c>
      <c r="F92" t="s">
        <v>23</v>
      </c>
      <c r="G92">
        <v>9</v>
      </c>
      <c r="H92" s="4">
        <v>171.42</v>
      </c>
      <c r="I92" s="5">
        <v>0.2</v>
      </c>
      <c r="J92" s="4">
        <v>1234.22</v>
      </c>
      <c r="K92" s="4">
        <v>716.63</v>
      </c>
      <c r="L92" s="4">
        <v>517.59</v>
      </c>
    </row>
    <row r="93" spans="1:12" x14ac:dyDescent="0.35">
      <c r="A93" t="s">
        <v>126</v>
      </c>
      <c r="B93" s="3">
        <v>45975</v>
      </c>
      <c r="C93" t="s">
        <v>25</v>
      </c>
      <c r="D93" t="s">
        <v>37</v>
      </c>
      <c r="E93" t="s">
        <v>52</v>
      </c>
      <c r="F93" t="s">
        <v>4</v>
      </c>
      <c r="G93">
        <v>4</v>
      </c>
      <c r="H93" s="4">
        <v>620.07000000000005</v>
      </c>
      <c r="I93" s="5">
        <v>0.2</v>
      </c>
      <c r="J93" s="4">
        <v>1984.22</v>
      </c>
      <c r="K93" s="4">
        <v>1561.35</v>
      </c>
      <c r="L93" s="4">
        <v>422.87</v>
      </c>
    </row>
    <row r="94" spans="1:12" x14ac:dyDescent="0.35">
      <c r="A94" t="s">
        <v>127</v>
      </c>
      <c r="B94" s="3">
        <v>45773</v>
      </c>
      <c r="C94" t="s">
        <v>18</v>
      </c>
      <c r="D94" t="s">
        <v>34</v>
      </c>
      <c r="E94" t="s">
        <v>61</v>
      </c>
      <c r="F94" t="s">
        <v>4</v>
      </c>
      <c r="G94">
        <v>1</v>
      </c>
      <c r="H94" s="4">
        <v>74.19</v>
      </c>
      <c r="I94" s="5">
        <v>0</v>
      </c>
      <c r="J94" s="4">
        <v>74.19</v>
      </c>
      <c r="K94" s="4">
        <v>54.02</v>
      </c>
      <c r="L94" s="4">
        <v>20.170000000000002</v>
      </c>
    </row>
    <row r="95" spans="1:12" x14ac:dyDescent="0.35">
      <c r="A95" t="s">
        <v>128</v>
      </c>
      <c r="B95" s="3">
        <v>45901</v>
      </c>
      <c r="C95" t="s">
        <v>1</v>
      </c>
      <c r="D95" t="s">
        <v>6</v>
      </c>
      <c r="E95" t="s">
        <v>38</v>
      </c>
      <c r="F95" t="s">
        <v>12</v>
      </c>
      <c r="G95">
        <v>7</v>
      </c>
      <c r="H95" s="4">
        <v>175.23</v>
      </c>
      <c r="I95" s="5">
        <v>0.2</v>
      </c>
      <c r="J95" s="4">
        <v>981.29</v>
      </c>
      <c r="K95" s="4">
        <v>686.81</v>
      </c>
      <c r="L95" s="4">
        <v>294.48</v>
      </c>
    </row>
    <row r="96" spans="1:12" x14ac:dyDescent="0.35">
      <c r="A96" t="s">
        <v>129</v>
      </c>
      <c r="B96" s="3">
        <v>45757</v>
      </c>
      <c r="C96" t="s">
        <v>14</v>
      </c>
      <c r="D96" t="s">
        <v>55</v>
      </c>
      <c r="E96" t="s">
        <v>38</v>
      </c>
      <c r="F96" t="s">
        <v>12</v>
      </c>
      <c r="G96">
        <v>7</v>
      </c>
      <c r="H96" s="4">
        <v>161.41999999999999</v>
      </c>
      <c r="I96" s="5">
        <v>0.02</v>
      </c>
      <c r="J96" s="4">
        <v>1107.3399999999999</v>
      </c>
      <c r="K96" s="4">
        <v>681.35</v>
      </c>
      <c r="L96" s="4">
        <v>425.99</v>
      </c>
    </row>
    <row r="97" spans="1:12" x14ac:dyDescent="0.35">
      <c r="A97" t="s">
        <v>130</v>
      </c>
      <c r="B97" s="3">
        <v>45993</v>
      </c>
      <c r="C97" t="s">
        <v>1</v>
      </c>
      <c r="D97" t="s">
        <v>2</v>
      </c>
      <c r="E97" t="s">
        <v>52</v>
      </c>
      <c r="F97" t="s">
        <v>4</v>
      </c>
      <c r="G97">
        <v>7</v>
      </c>
      <c r="H97" s="4">
        <v>482.86</v>
      </c>
      <c r="I97" s="5">
        <v>0.02</v>
      </c>
      <c r="J97" s="4">
        <v>3312.42</v>
      </c>
      <c r="K97" s="4">
        <v>2624.26</v>
      </c>
      <c r="L97" s="4">
        <v>688.16</v>
      </c>
    </row>
    <row r="98" spans="1:12" x14ac:dyDescent="0.35">
      <c r="A98" t="s">
        <v>131</v>
      </c>
      <c r="B98" s="3">
        <v>46014</v>
      </c>
      <c r="C98" t="s">
        <v>14</v>
      </c>
      <c r="D98" t="s">
        <v>55</v>
      </c>
      <c r="E98" t="s">
        <v>3</v>
      </c>
      <c r="F98" t="s">
        <v>4</v>
      </c>
      <c r="G98">
        <v>9</v>
      </c>
      <c r="H98" s="4">
        <v>952.11</v>
      </c>
      <c r="I98" s="5">
        <v>0.02</v>
      </c>
      <c r="J98" s="4">
        <v>8397.61</v>
      </c>
      <c r="K98" s="4">
        <v>6054.15</v>
      </c>
      <c r="L98" s="4">
        <v>2343.46</v>
      </c>
    </row>
    <row r="99" spans="1:12" x14ac:dyDescent="0.35">
      <c r="A99" t="s">
        <v>132</v>
      </c>
      <c r="B99" s="3">
        <v>45891</v>
      </c>
      <c r="C99" t="s">
        <v>18</v>
      </c>
      <c r="D99" t="s">
        <v>40</v>
      </c>
      <c r="E99" t="s">
        <v>38</v>
      </c>
      <c r="F99" t="s">
        <v>12</v>
      </c>
      <c r="G99">
        <v>9</v>
      </c>
      <c r="H99" s="4">
        <v>152.27000000000001</v>
      </c>
      <c r="I99" s="5">
        <v>0.15</v>
      </c>
      <c r="J99" s="4">
        <v>1164.8699999999999</v>
      </c>
      <c r="K99" s="4">
        <v>750.51</v>
      </c>
      <c r="L99" s="4">
        <v>414.36</v>
      </c>
    </row>
    <row r="100" spans="1:12" x14ac:dyDescent="0.35">
      <c r="A100" t="s">
        <v>133</v>
      </c>
      <c r="B100" s="3">
        <v>45820</v>
      </c>
      <c r="C100" t="s">
        <v>14</v>
      </c>
      <c r="D100" t="s">
        <v>66</v>
      </c>
      <c r="E100" t="s">
        <v>32</v>
      </c>
      <c r="F100" t="s">
        <v>12</v>
      </c>
      <c r="G100">
        <v>9</v>
      </c>
      <c r="H100" s="4">
        <v>12.81</v>
      </c>
      <c r="I100" s="5">
        <v>0.1</v>
      </c>
      <c r="J100" s="4">
        <v>103.76</v>
      </c>
      <c r="K100" s="4">
        <v>82.2</v>
      </c>
      <c r="L100" s="4">
        <v>21.56</v>
      </c>
    </row>
    <row r="101" spans="1:12" x14ac:dyDescent="0.35">
      <c r="A101" t="s">
        <v>134</v>
      </c>
      <c r="B101" s="3">
        <v>45886</v>
      </c>
      <c r="C101" t="s">
        <v>18</v>
      </c>
      <c r="D101" t="s">
        <v>19</v>
      </c>
      <c r="E101" t="s">
        <v>20</v>
      </c>
      <c r="F101" t="s">
        <v>8</v>
      </c>
      <c r="G101">
        <v>8</v>
      </c>
      <c r="H101" s="4">
        <v>39.06</v>
      </c>
      <c r="I101" s="5">
        <v>0.1</v>
      </c>
      <c r="J101" s="4">
        <v>281.23</v>
      </c>
      <c r="K101" s="4">
        <v>213.89</v>
      </c>
      <c r="L101" s="4">
        <v>67.34</v>
      </c>
    </row>
    <row r="102" spans="1:12" x14ac:dyDescent="0.35">
      <c r="A102" t="s">
        <v>135</v>
      </c>
      <c r="B102" s="3">
        <v>45784</v>
      </c>
      <c r="C102" t="s">
        <v>25</v>
      </c>
      <c r="D102" t="s">
        <v>31</v>
      </c>
      <c r="E102" t="s">
        <v>11</v>
      </c>
      <c r="F102" t="s">
        <v>12</v>
      </c>
      <c r="G102">
        <v>8</v>
      </c>
      <c r="H102" s="4">
        <v>8.34</v>
      </c>
      <c r="I102" s="5">
        <v>0.2</v>
      </c>
      <c r="J102" s="4">
        <v>53.38</v>
      </c>
      <c r="K102" s="4">
        <v>30.57</v>
      </c>
      <c r="L102" s="4">
        <v>22.81</v>
      </c>
    </row>
    <row r="103" spans="1:12" x14ac:dyDescent="0.35">
      <c r="A103" t="s">
        <v>136</v>
      </c>
      <c r="B103" s="3">
        <v>45798</v>
      </c>
      <c r="C103" t="s">
        <v>14</v>
      </c>
      <c r="D103" t="s">
        <v>137</v>
      </c>
      <c r="E103" t="s">
        <v>52</v>
      </c>
      <c r="F103" t="s">
        <v>4</v>
      </c>
      <c r="G103">
        <v>5</v>
      </c>
      <c r="H103" s="4">
        <v>494.17</v>
      </c>
      <c r="I103" s="5">
        <v>0.02</v>
      </c>
      <c r="J103" s="4">
        <v>2421.4299999999998</v>
      </c>
      <c r="K103" s="4">
        <v>1919.25</v>
      </c>
      <c r="L103" s="4">
        <v>502.18</v>
      </c>
    </row>
    <row r="104" spans="1:12" x14ac:dyDescent="0.35">
      <c r="A104" t="s">
        <v>138</v>
      </c>
      <c r="B104" s="3">
        <v>45829</v>
      </c>
      <c r="C104" t="s">
        <v>25</v>
      </c>
      <c r="D104" t="s">
        <v>31</v>
      </c>
      <c r="E104" t="s">
        <v>11</v>
      </c>
      <c r="F104" t="s">
        <v>12</v>
      </c>
      <c r="G104">
        <v>2</v>
      </c>
      <c r="H104" s="4">
        <v>8.26</v>
      </c>
      <c r="I104" s="5">
        <v>0.02</v>
      </c>
      <c r="J104" s="4">
        <v>16.190000000000001</v>
      </c>
      <c r="K104" s="4">
        <v>8.94</v>
      </c>
      <c r="L104" s="4">
        <v>7.25</v>
      </c>
    </row>
    <row r="105" spans="1:12" x14ac:dyDescent="0.35">
      <c r="A105" t="s">
        <v>139</v>
      </c>
      <c r="B105" s="3">
        <v>45776</v>
      </c>
      <c r="C105" t="s">
        <v>14</v>
      </c>
      <c r="D105" t="s">
        <v>55</v>
      </c>
      <c r="E105" t="s">
        <v>20</v>
      </c>
      <c r="F105" t="s">
        <v>8</v>
      </c>
      <c r="G105">
        <v>3</v>
      </c>
      <c r="H105" s="4">
        <v>30.82</v>
      </c>
      <c r="I105" s="5">
        <v>0.2</v>
      </c>
      <c r="J105" s="4">
        <v>73.97</v>
      </c>
      <c r="K105" s="4">
        <v>53.93</v>
      </c>
      <c r="L105" s="4">
        <v>20.04</v>
      </c>
    </row>
    <row r="106" spans="1:12" x14ac:dyDescent="0.35">
      <c r="A106" t="s">
        <v>140</v>
      </c>
      <c r="B106" s="3">
        <v>45690</v>
      </c>
      <c r="C106" t="s">
        <v>14</v>
      </c>
      <c r="D106" t="s">
        <v>15</v>
      </c>
      <c r="E106" t="s">
        <v>29</v>
      </c>
      <c r="F106" t="s">
        <v>23</v>
      </c>
      <c r="G106">
        <v>6</v>
      </c>
      <c r="H106" s="4">
        <v>119.21</v>
      </c>
      <c r="I106" s="5">
        <v>0.15</v>
      </c>
      <c r="J106" s="4">
        <v>607.97</v>
      </c>
      <c r="K106" s="4">
        <v>360.78</v>
      </c>
      <c r="L106" s="4">
        <v>247.19</v>
      </c>
    </row>
    <row r="107" spans="1:12" x14ac:dyDescent="0.35">
      <c r="A107" t="s">
        <v>141</v>
      </c>
      <c r="B107" s="3">
        <v>45870</v>
      </c>
      <c r="C107" t="s">
        <v>1</v>
      </c>
      <c r="D107" t="s">
        <v>6</v>
      </c>
      <c r="E107" t="s">
        <v>16</v>
      </c>
      <c r="F107" t="s">
        <v>4</v>
      </c>
      <c r="G107">
        <v>7</v>
      </c>
      <c r="H107" s="4">
        <v>223.22</v>
      </c>
      <c r="I107" s="5">
        <v>0.1</v>
      </c>
      <c r="J107" s="4">
        <v>1406.29</v>
      </c>
      <c r="K107" s="4">
        <v>1036.17</v>
      </c>
      <c r="L107" s="4">
        <v>370.12</v>
      </c>
    </row>
    <row r="108" spans="1:12" x14ac:dyDescent="0.35">
      <c r="A108" t="s">
        <v>142</v>
      </c>
      <c r="B108" s="3">
        <v>46014</v>
      </c>
      <c r="C108" t="s">
        <v>1</v>
      </c>
      <c r="D108" t="s">
        <v>2</v>
      </c>
      <c r="E108" t="s">
        <v>32</v>
      </c>
      <c r="F108" t="s">
        <v>12</v>
      </c>
      <c r="G108">
        <v>7</v>
      </c>
      <c r="H108" s="4">
        <v>12.55</v>
      </c>
      <c r="I108" s="5">
        <v>0.1</v>
      </c>
      <c r="J108" s="4">
        <v>79.069999999999993</v>
      </c>
      <c r="K108" s="4">
        <v>48.28</v>
      </c>
      <c r="L108" s="4">
        <v>30.79</v>
      </c>
    </row>
    <row r="109" spans="1:12" x14ac:dyDescent="0.35">
      <c r="A109" t="s">
        <v>143</v>
      </c>
      <c r="B109" s="3">
        <v>45838</v>
      </c>
      <c r="C109" t="s">
        <v>25</v>
      </c>
      <c r="D109" t="s">
        <v>46</v>
      </c>
      <c r="E109" t="s">
        <v>29</v>
      </c>
      <c r="F109" t="s">
        <v>23</v>
      </c>
      <c r="G109">
        <v>7</v>
      </c>
      <c r="H109" s="4">
        <v>148.91</v>
      </c>
      <c r="I109" s="5">
        <v>0.15</v>
      </c>
      <c r="J109" s="4">
        <v>886.01</v>
      </c>
      <c r="K109" s="4">
        <v>544.05999999999995</v>
      </c>
      <c r="L109" s="4">
        <v>341.95</v>
      </c>
    </row>
    <row r="110" spans="1:12" x14ac:dyDescent="0.35">
      <c r="A110" t="s">
        <v>144</v>
      </c>
      <c r="B110" s="3">
        <v>45937</v>
      </c>
      <c r="C110" t="s">
        <v>18</v>
      </c>
      <c r="D110" t="s">
        <v>19</v>
      </c>
      <c r="E110" t="s">
        <v>38</v>
      </c>
      <c r="F110" t="s">
        <v>12</v>
      </c>
      <c r="G110">
        <v>4</v>
      </c>
      <c r="H110" s="4">
        <v>151.62</v>
      </c>
      <c r="I110" s="5">
        <v>0.05</v>
      </c>
      <c r="J110" s="4">
        <v>576.16</v>
      </c>
      <c r="K110" s="4">
        <v>433.01</v>
      </c>
      <c r="L110" s="4">
        <v>143.15</v>
      </c>
    </row>
    <row r="111" spans="1:12" x14ac:dyDescent="0.35">
      <c r="A111" t="s">
        <v>145</v>
      </c>
      <c r="B111" s="3">
        <v>45906</v>
      </c>
      <c r="C111" t="s">
        <v>1</v>
      </c>
      <c r="D111" t="s">
        <v>6</v>
      </c>
      <c r="E111" t="s">
        <v>29</v>
      </c>
      <c r="F111" t="s">
        <v>23</v>
      </c>
      <c r="G111">
        <v>6</v>
      </c>
      <c r="H111" s="4">
        <v>146.28</v>
      </c>
      <c r="I111" s="5">
        <v>0.2</v>
      </c>
      <c r="J111" s="4">
        <v>702.14</v>
      </c>
      <c r="K111" s="4">
        <v>547.16999999999996</v>
      </c>
      <c r="L111" s="4">
        <v>154.97</v>
      </c>
    </row>
    <row r="112" spans="1:12" x14ac:dyDescent="0.35">
      <c r="A112" t="s">
        <v>146</v>
      </c>
      <c r="B112" s="3">
        <v>45865</v>
      </c>
      <c r="C112" t="s">
        <v>18</v>
      </c>
      <c r="D112" t="s">
        <v>40</v>
      </c>
      <c r="E112" t="s">
        <v>38</v>
      </c>
      <c r="F112" t="s">
        <v>12</v>
      </c>
      <c r="G112">
        <v>3</v>
      </c>
      <c r="H112" s="4">
        <v>167.57</v>
      </c>
      <c r="I112" s="5">
        <v>0.15</v>
      </c>
      <c r="J112" s="4">
        <v>427.3</v>
      </c>
      <c r="K112" s="4">
        <v>300.58</v>
      </c>
      <c r="L112" s="4">
        <v>126.72</v>
      </c>
    </row>
    <row r="113" spans="1:12" x14ac:dyDescent="0.35">
      <c r="A113" t="s">
        <v>147</v>
      </c>
      <c r="B113" s="3">
        <v>45671</v>
      </c>
      <c r="C113" t="s">
        <v>14</v>
      </c>
      <c r="D113" t="s">
        <v>55</v>
      </c>
      <c r="E113" t="s">
        <v>32</v>
      </c>
      <c r="F113" t="s">
        <v>12</v>
      </c>
      <c r="G113">
        <v>10</v>
      </c>
      <c r="H113" s="4">
        <v>10.54</v>
      </c>
      <c r="I113" s="5">
        <v>0.2</v>
      </c>
      <c r="J113" s="4">
        <v>84.32</v>
      </c>
      <c r="K113" s="4">
        <v>54.75</v>
      </c>
      <c r="L113" s="4">
        <v>29.57</v>
      </c>
    </row>
    <row r="114" spans="1:12" x14ac:dyDescent="0.35">
      <c r="A114" t="s">
        <v>148</v>
      </c>
      <c r="B114" s="3">
        <v>45700</v>
      </c>
      <c r="C114" t="s">
        <v>14</v>
      </c>
      <c r="D114" t="s">
        <v>55</v>
      </c>
      <c r="E114" t="s">
        <v>61</v>
      </c>
      <c r="F114" t="s">
        <v>4</v>
      </c>
      <c r="G114">
        <v>8</v>
      </c>
      <c r="H114" s="4">
        <v>74.36</v>
      </c>
      <c r="I114" s="5">
        <v>0.02</v>
      </c>
      <c r="J114" s="4">
        <v>582.98</v>
      </c>
      <c r="K114" s="4">
        <v>359.04</v>
      </c>
      <c r="L114" s="4">
        <v>223.94</v>
      </c>
    </row>
    <row r="115" spans="1:12" x14ac:dyDescent="0.35">
      <c r="A115" t="s">
        <v>149</v>
      </c>
      <c r="B115" s="3">
        <v>45791</v>
      </c>
      <c r="C115" t="s">
        <v>14</v>
      </c>
      <c r="D115" t="s">
        <v>15</v>
      </c>
      <c r="E115" t="s">
        <v>22</v>
      </c>
      <c r="F115" t="s">
        <v>23</v>
      </c>
      <c r="G115">
        <v>4</v>
      </c>
      <c r="H115" s="4">
        <v>285.48</v>
      </c>
      <c r="I115" s="5">
        <v>0.1</v>
      </c>
      <c r="J115" s="4">
        <v>1027.73</v>
      </c>
      <c r="K115" s="4">
        <v>674.33</v>
      </c>
      <c r="L115" s="4">
        <v>353.4</v>
      </c>
    </row>
    <row r="116" spans="1:12" x14ac:dyDescent="0.35">
      <c r="A116" t="s">
        <v>150</v>
      </c>
      <c r="B116" s="3">
        <v>45830</v>
      </c>
      <c r="C116" t="s">
        <v>14</v>
      </c>
      <c r="D116" t="s">
        <v>55</v>
      </c>
      <c r="E116" t="s">
        <v>35</v>
      </c>
      <c r="F116" t="s">
        <v>23</v>
      </c>
      <c r="G116">
        <v>7</v>
      </c>
      <c r="H116" s="4">
        <v>201.17</v>
      </c>
      <c r="I116" s="5">
        <v>0.05</v>
      </c>
      <c r="J116" s="4">
        <v>1337.78</v>
      </c>
      <c r="K116" s="4">
        <v>963.75</v>
      </c>
      <c r="L116" s="4">
        <v>374.03</v>
      </c>
    </row>
    <row r="117" spans="1:12" x14ac:dyDescent="0.35">
      <c r="A117" t="s">
        <v>151</v>
      </c>
      <c r="B117" s="3">
        <v>45898</v>
      </c>
      <c r="C117" t="s">
        <v>1</v>
      </c>
      <c r="D117" t="s">
        <v>28</v>
      </c>
      <c r="E117" t="s">
        <v>20</v>
      </c>
      <c r="F117" t="s">
        <v>8</v>
      </c>
      <c r="G117">
        <v>9</v>
      </c>
      <c r="H117" s="4">
        <v>38.1</v>
      </c>
      <c r="I117" s="5">
        <v>0</v>
      </c>
      <c r="J117" s="4">
        <v>342.9</v>
      </c>
      <c r="K117" s="4">
        <v>235.13</v>
      </c>
      <c r="L117" s="4">
        <v>107.77</v>
      </c>
    </row>
    <row r="118" spans="1:12" x14ac:dyDescent="0.35">
      <c r="A118" t="s">
        <v>152</v>
      </c>
      <c r="B118" s="3">
        <v>45772</v>
      </c>
      <c r="C118" t="s">
        <v>1</v>
      </c>
      <c r="D118" t="s">
        <v>2</v>
      </c>
      <c r="E118" t="s">
        <v>7</v>
      </c>
      <c r="F118" t="s">
        <v>8</v>
      </c>
      <c r="G118">
        <v>1</v>
      </c>
      <c r="H118" s="4">
        <v>46.04</v>
      </c>
      <c r="I118" s="5">
        <v>0</v>
      </c>
      <c r="J118" s="4">
        <v>46.04</v>
      </c>
      <c r="K118" s="4">
        <v>31.44</v>
      </c>
      <c r="L118" s="4">
        <v>14.6</v>
      </c>
    </row>
    <row r="119" spans="1:12" x14ac:dyDescent="0.35">
      <c r="A119" t="s">
        <v>153</v>
      </c>
      <c r="B119" s="3">
        <v>45760</v>
      </c>
      <c r="C119" t="s">
        <v>1</v>
      </c>
      <c r="D119" t="s">
        <v>2</v>
      </c>
      <c r="E119" t="s">
        <v>32</v>
      </c>
      <c r="F119" t="s">
        <v>154</v>
      </c>
      <c r="G119">
        <v>3</v>
      </c>
      <c r="H119" s="4">
        <v>10.9</v>
      </c>
      <c r="I119" s="5">
        <v>0.02</v>
      </c>
      <c r="J119" s="4">
        <v>32.049999999999997</v>
      </c>
      <c r="K119" s="4">
        <v>23.88</v>
      </c>
      <c r="L119" s="4">
        <v>8.17</v>
      </c>
    </row>
    <row r="120" spans="1:12" x14ac:dyDescent="0.35">
      <c r="A120" t="s">
        <v>155</v>
      </c>
      <c r="B120" s="3">
        <v>45900</v>
      </c>
      <c r="C120" t="s">
        <v>1</v>
      </c>
      <c r="D120" t="s">
        <v>6</v>
      </c>
      <c r="E120" t="s">
        <v>32</v>
      </c>
      <c r="F120" t="s">
        <v>12</v>
      </c>
      <c r="G120">
        <v>4</v>
      </c>
      <c r="H120" s="4">
        <v>11.21</v>
      </c>
      <c r="I120" s="5">
        <v>0.1</v>
      </c>
      <c r="J120" s="4">
        <v>40.36</v>
      </c>
      <c r="K120" s="4">
        <v>22.46</v>
      </c>
      <c r="L120" s="4">
        <v>17.899999999999999</v>
      </c>
    </row>
    <row r="121" spans="1:12" x14ac:dyDescent="0.35">
      <c r="A121" t="s">
        <v>156</v>
      </c>
      <c r="B121" s="3">
        <v>45789</v>
      </c>
      <c r="C121" t="s">
        <v>25</v>
      </c>
      <c r="D121" t="s">
        <v>46</v>
      </c>
      <c r="E121" t="s">
        <v>61</v>
      </c>
      <c r="F121" t="s">
        <v>4</v>
      </c>
      <c r="G121">
        <v>10</v>
      </c>
      <c r="H121" s="4">
        <v>83.49</v>
      </c>
      <c r="I121" s="5">
        <v>0.15</v>
      </c>
      <c r="J121" s="4">
        <v>709.66</v>
      </c>
      <c r="K121" s="4">
        <v>424.25</v>
      </c>
      <c r="L121" s="4">
        <v>285.41000000000003</v>
      </c>
    </row>
    <row r="122" spans="1:12" x14ac:dyDescent="0.35">
      <c r="A122" t="s">
        <v>157</v>
      </c>
      <c r="B122" s="3">
        <v>45716</v>
      </c>
      <c r="C122" t="s">
        <v>18</v>
      </c>
      <c r="D122" t="s">
        <v>34</v>
      </c>
      <c r="E122" t="s">
        <v>35</v>
      </c>
      <c r="F122" t="s">
        <v>23</v>
      </c>
      <c r="G122">
        <v>2</v>
      </c>
      <c r="H122" s="4">
        <v>203.78</v>
      </c>
      <c r="I122" s="5">
        <v>0.15</v>
      </c>
      <c r="J122" s="4">
        <v>346.43</v>
      </c>
      <c r="K122" s="4">
        <v>279.76</v>
      </c>
      <c r="L122" s="4">
        <v>66.67</v>
      </c>
    </row>
    <row r="123" spans="1:12" x14ac:dyDescent="0.35">
      <c r="A123" t="s">
        <v>158</v>
      </c>
      <c r="B123" s="3">
        <v>45817</v>
      </c>
      <c r="C123" t="s">
        <v>14</v>
      </c>
      <c r="D123" t="s">
        <v>66</v>
      </c>
      <c r="E123" t="s">
        <v>29</v>
      </c>
      <c r="F123" t="s">
        <v>23</v>
      </c>
      <c r="G123">
        <v>4</v>
      </c>
      <c r="H123" s="4">
        <v>157.41999999999999</v>
      </c>
      <c r="I123" s="5">
        <v>0</v>
      </c>
      <c r="J123" s="4">
        <v>629.67999999999995</v>
      </c>
      <c r="K123" s="4">
        <v>409.26</v>
      </c>
      <c r="L123" s="4">
        <v>220.42</v>
      </c>
    </row>
    <row r="124" spans="1:12" x14ac:dyDescent="0.35">
      <c r="A124" t="s">
        <v>159</v>
      </c>
      <c r="B124" s="3">
        <v>46011</v>
      </c>
      <c r="C124" t="s">
        <v>18</v>
      </c>
      <c r="D124" t="s">
        <v>40</v>
      </c>
      <c r="E124" t="s">
        <v>52</v>
      </c>
      <c r="F124" t="s">
        <v>4</v>
      </c>
      <c r="G124">
        <v>5</v>
      </c>
      <c r="H124" s="4">
        <v>470.05</v>
      </c>
      <c r="I124" s="5">
        <v>0.2</v>
      </c>
      <c r="J124" s="4">
        <v>1880.2</v>
      </c>
      <c r="K124" s="4">
        <v>1505.37</v>
      </c>
      <c r="L124" s="4">
        <v>374.83</v>
      </c>
    </row>
    <row r="125" spans="1:12" x14ac:dyDescent="0.35">
      <c r="A125" t="s">
        <v>160</v>
      </c>
      <c r="B125" s="3">
        <v>45719</v>
      </c>
      <c r="C125" t="s">
        <v>1</v>
      </c>
      <c r="D125" t="s">
        <v>6</v>
      </c>
      <c r="E125" t="s">
        <v>22</v>
      </c>
      <c r="F125" t="s">
        <v>23</v>
      </c>
      <c r="G125">
        <v>9</v>
      </c>
      <c r="H125" s="4">
        <v>244.61</v>
      </c>
      <c r="I125" s="5">
        <v>0.1</v>
      </c>
      <c r="J125" s="4">
        <v>1981.34</v>
      </c>
      <c r="K125" s="4">
        <v>1606.86</v>
      </c>
      <c r="L125" s="4">
        <v>374.48</v>
      </c>
    </row>
    <row r="126" spans="1:12" x14ac:dyDescent="0.35">
      <c r="A126" t="s">
        <v>161</v>
      </c>
      <c r="B126" s="3">
        <v>45847</v>
      </c>
      <c r="C126" t="s">
        <v>1</v>
      </c>
      <c r="D126" t="s">
        <v>28</v>
      </c>
      <c r="E126" t="s">
        <v>11</v>
      </c>
      <c r="F126" t="s">
        <v>12</v>
      </c>
      <c r="G126">
        <v>6</v>
      </c>
      <c r="H126" s="4">
        <v>9.11</v>
      </c>
      <c r="I126" s="5">
        <v>0</v>
      </c>
      <c r="J126" s="4">
        <v>54.66</v>
      </c>
      <c r="K126" s="4">
        <v>42.65</v>
      </c>
      <c r="L126" s="4">
        <v>12.01</v>
      </c>
    </row>
    <row r="127" spans="1:12" x14ac:dyDescent="0.35">
      <c r="A127" t="s">
        <v>162</v>
      </c>
      <c r="B127" s="3">
        <v>45908</v>
      </c>
      <c r="C127" t="s">
        <v>1</v>
      </c>
      <c r="D127" t="s">
        <v>28</v>
      </c>
      <c r="E127" t="s">
        <v>29</v>
      </c>
      <c r="F127" t="s">
        <v>23</v>
      </c>
      <c r="G127">
        <v>6</v>
      </c>
      <c r="H127" s="4">
        <v>131.37</v>
      </c>
      <c r="I127" s="5">
        <v>0.2</v>
      </c>
      <c r="J127" s="4">
        <v>630.58000000000004</v>
      </c>
      <c r="K127" s="4">
        <v>412.38</v>
      </c>
      <c r="L127" s="4">
        <v>218.2</v>
      </c>
    </row>
    <row r="128" spans="1:12" x14ac:dyDescent="0.35">
      <c r="A128" t="s">
        <v>163</v>
      </c>
      <c r="B128" s="3">
        <v>46020</v>
      </c>
      <c r="C128" t="s">
        <v>18</v>
      </c>
      <c r="D128" t="s">
        <v>40</v>
      </c>
      <c r="E128" t="s">
        <v>29</v>
      </c>
      <c r="F128" t="s">
        <v>23</v>
      </c>
      <c r="G128">
        <v>3</v>
      </c>
      <c r="H128" s="4">
        <v>154.75</v>
      </c>
      <c r="I128" s="5">
        <v>0.2</v>
      </c>
      <c r="J128" s="4">
        <v>371.4</v>
      </c>
      <c r="K128" s="4">
        <v>236.05</v>
      </c>
      <c r="L128" s="4">
        <v>135.35</v>
      </c>
    </row>
    <row r="129" spans="1:12" x14ac:dyDescent="0.35">
      <c r="A129" t="s">
        <v>164</v>
      </c>
      <c r="B129" s="3">
        <v>45991</v>
      </c>
      <c r="C129" t="s">
        <v>25</v>
      </c>
      <c r="D129" t="s">
        <v>37</v>
      </c>
      <c r="E129" t="s">
        <v>32</v>
      </c>
      <c r="F129" t="s">
        <v>12</v>
      </c>
      <c r="G129">
        <v>9</v>
      </c>
      <c r="H129" s="4">
        <v>10.81</v>
      </c>
      <c r="I129" s="5">
        <v>0.1</v>
      </c>
      <c r="J129" s="4">
        <v>87.56</v>
      </c>
      <c r="K129" s="4">
        <v>61.32</v>
      </c>
      <c r="L129" s="4">
        <v>26.24</v>
      </c>
    </row>
    <row r="130" spans="1:12" x14ac:dyDescent="0.35">
      <c r="A130" t="s">
        <v>165</v>
      </c>
      <c r="B130" s="3">
        <v>45881</v>
      </c>
      <c r="C130" t="s">
        <v>25</v>
      </c>
      <c r="D130" t="s">
        <v>37</v>
      </c>
      <c r="E130" t="s">
        <v>22</v>
      </c>
      <c r="F130" t="s">
        <v>23</v>
      </c>
      <c r="G130">
        <v>4</v>
      </c>
      <c r="H130" s="4">
        <v>282.70999999999998</v>
      </c>
      <c r="I130" s="5">
        <v>0</v>
      </c>
      <c r="J130" s="4">
        <v>1130.8399999999999</v>
      </c>
      <c r="K130" s="4">
        <v>834.48</v>
      </c>
      <c r="L130" s="4">
        <v>296.36</v>
      </c>
    </row>
    <row r="131" spans="1:12" x14ac:dyDescent="0.35">
      <c r="A131" t="s">
        <v>166</v>
      </c>
      <c r="B131" s="3">
        <v>45888</v>
      </c>
      <c r="C131" t="s">
        <v>18</v>
      </c>
      <c r="D131" t="s">
        <v>40</v>
      </c>
      <c r="E131" t="s">
        <v>38</v>
      </c>
      <c r="F131" t="s">
        <v>12</v>
      </c>
      <c r="G131">
        <v>10</v>
      </c>
      <c r="H131" s="4">
        <v>163.36000000000001</v>
      </c>
      <c r="I131" s="5">
        <v>0.15</v>
      </c>
      <c r="J131" s="4">
        <v>1388.56</v>
      </c>
      <c r="K131" s="4">
        <v>800.14</v>
      </c>
      <c r="L131" s="4">
        <v>588.41999999999996</v>
      </c>
    </row>
    <row r="132" spans="1:12" x14ac:dyDescent="0.35">
      <c r="A132" t="s">
        <v>167</v>
      </c>
      <c r="B132" s="3">
        <v>45852</v>
      </c>
      <c r="C132" t="s">
        <v>25</v>
      </c>
      <c r="D132" t="s">
        <v>31</v>
      </c>
      <c r="E132" t="s">
        <v>3</v>
      </c>
      <c r="F132" t="s">
        <v>4</v>
      </c>
      <c r="G132">
        <v>8</v>
      </c>
      <c r="H132" s="4">
        <v>879.33</v>
      </c>
      <c r="I132" s="5">
        <v>0.05</v>
      </c>
      <c r="J132" s="4">
        <v>6682.91</v>
      </c>
      <c r="K132" s="4">
        <v>5462.04</v>
      </c>
      <c r="L132" s="4">
        <v>1220.8699999999999</v>
      </c>
    </row>
    <row r="133" spans="1:12" x14ac:dyDescent="0.35">
      <c r="A133" t="s">
        <v>168</v>
      </c>
      <c r="B133" s="3">
        <v>45907</v>
      </c>
      <c r="C133" t="s">
        <v>18</v>
      </c>
      <c r="D133" t="s">
        <v>19</v>
      </c>
      <c r="E133" t="s">
        <v>22</v>
      </c>
      <c r="F133" t="s">
        <v>23</v>
      </c>
      <c r="G133">
        <v>5</v>
      </c>
      <c r="H133" s="4">
        <v>223.01</v>
      </c>
      <c r="I133" s="5">
        <v>0.05</v>
      </c>
      <c r="J133" s="4">
        <v>1059.3</v>
      </c>
      <c r="K133" s="4">
        <v>730.86</v>
      </c>
      <c r="L133" s="4">
        <v>328.44</v>
      </c>
    </row>
    <row r="134" spans="1:12" x14ac:dyDescent="0.35">
      <c r="A134" t="s">
        <v>169</v>
      </c>
      <c r="B134" s="3">
        <v>45963</v>
      </c>
      <c r="C134" t="s">
        <v>25</v>
      </c>
      <c r="D134" t="s">
        <v>31</v>
      </c>
      <c r="E134" t="s">
        <v>11</v>
      </c>
      <c r="F134" t="s">
        <v>12</v>
      </c>
      <c r="G134">
        <v>1</v>
      </c>
      <c r="H134" s="4">
        <v>8.91</v>
      </c>
      <c r="I134" s="5">
        <v>0.15</v>
      </c>
      <c r="J134" s="4">
        <v>7.57</v>
      </c>
      <c r="K134" s="4">
        <v>5.68</v>
      </c>
      <c r="L134" s="4">
        <v>1.89</v>
      </c>
    </row>
    <row r="135" spans="1:12" x14ac:dyDescent="0.35">
      <c r="A135" t="s">
        <v>170</v>
      </c>
      <c r="B135" s="3">
        <v>45701</v>
      </c>
      <c r="C135" t="s">
        <v>18</v>
      </c>
      <c r="D135" t="s">
        <v>40</v>
      </c>
      <c r="E135" t="s">
        <v>20</v>
      </c>
      <c r="F135" t="s">
        <v>8</v>
      </c>
      <c r="G135">
        <v>7</v>
      </c>
      <c r="H135" s="4">
        <v>37.07</v>
      </c>
      <c r="I135" s="5">
        <v>0.1</v>
      </c>
      <c r="J135" s="4">
        <v>233.54</v>
      </c>
      <c r="K135" s="4">
        <v>172.74</v>
      </c>
      <c r="L135" s="4">
        <v>60.8</v>
      </c>
    </row>
    <row r="136" spans="1:12" x14ac:dyDescent="0.35">
      <c r="A136" t="s">
        <v>171</v>
      </c>
      <c r="B136" s="3">
        <v>45781</v>
      </c>
      <c r="C136" t="s">
        <v>14</v>
      </c>
      <c r="D136" t="s">
        <v>55</v>
      </c>
      <c r="E136" t="s">
        <v>7</v>
      </c>
      <c r="F136" t="s">
        <v>8</v>
      </c>
      <c r="G136">
        <v>8</v>
      </c>
      <c r="H136" s="4">
        <v>43.1</v>
      </c>
      <c r="I136" s="5">
        <v>0.1</v>
      </c>
      <c r="J136" s="4">
        <v>310.32</v>
      </c>
      <c r="K136" s="4">
        <v>195.28</v>
      </c>
      <c r="L136" s="4">
        <v>115.04</v>
      </c>
    </row>
    <row r="137" spans="1:12" x14ac:dyDescent="0.35">
      <c r="A137" t="s">
        <v>172</v>
      </c>
      <c r="B137" s="3">
        <v>45705</v>
      </c>
      <c r="C137" t="s">
        <v>25</v>
      </c>
      <c r="D137" t="s">
        <v>31</v>
      </c>
      <c r="E137" t="s">
        <v>16</v>
      </c>
      <c r="F137" t="s">
        <v>4</v>
      </c>
      <c r="G137">
        <v>7</v>
      </c>
      <c r="H137" s="4">
        <v>240.42</v>
      </c>
      <c r="I137" s="5">
        <v>0.2</v>
      </c>
      <c r="J137" s="4">
        <v>1346.35</v>
      </c>
      <c r="K137" s="4">
        <v>1034.98</v>
      </c>
      <c r="L137" s="4">
        <v>311.37</v>
      </c>
    </row>
    <row r="138" spans="1:12" x14ac:dyDescent="0.35">
      <c r="A138" t="s">
        <v>173</v>
      </c>
      <c r="B138" s="3">
        <v>45814</v>
      </c>
      <c r="C138" t="s">
        <v>25</v>
      </c>
      <c r="D138" t="s">
        <v>37</v>
      </c>
      <c r="E138" t="s">
        <v>38</v>
      </c>
      <c r="F138" t="s">
        <v>12</v>
      </c>
      <c r="G138">
        <v>9</v>
      </c>
      <c r="H138" s="4">
        <v>177.62</v>
      </c>
      <c r="I138" s="5">
        <v>0.15</v>
      </c>
      <c r="J138" s="4">
        <v>1358.79</v>
      </c>
      <c r="K138" s="4">
        <v>1082.3800000000001</v>
      </c>
      <c r="L138" s="4">
        <v>276.41000000000003</v>
      </c>
    </row>
    <row r="139" spans="1:12" x14ac:dyDescent="0.35">
      <c r="A139" t="s">
        <v>174</v>
      </c>
      <c r="B139" s="3">
        <v>45875</v>
      </c>
      <c r="C139" t="s">
        <v>25</v>
      </c>
      <c r="D139" t="s">
        <v>37</v>
      </c>
      <c r="E139" t="s">
        <v>22</v>
      </c>
      <c r="F139" t="s">
        <v>23</v>
      </c>
      <c r="G139">
        <v>8</v>
      </c>
      <c r="H139" s="4">
        <v>250.85</v>
      </c>
      <c r="I139" s="5">
        <v>0.05</v>
      </c>
      <c r="J139" s="4">
        <v>1906.46</v>
      </c>
      <c r="K139" s="4">
        <v>1306.71</v>
      </c>
      <c r="L139" s="4">
        <v>599.75</v>
      </c>
    </row>
    <row r="140" spans="1:12" x14ac:dyDescent="0.35">
      <c r="A140" t="s">
        <v>175</v>
      </c>
      <c r="B140" s="3">
        <v>45786</v>
      </c>
      <c r="C140" t="s">
        <v>18</v>
      </c>
      <c r="D140" t="s">
        <v>34</v>
      </c>
      <c r="E140" t="s">
        <v>52</v>
      </c>
      <c r="F140" t="s">
        <v>4</v>
      </c>
      <c r="G140">
        <v>4</v>
      </c>
      <c r="H140" s="4">
        <v>599.22</v>
      </c>
      <c r="I140" s="5">
        <v>0.05</v>
      </c>
      <c r="J140" s="4">
        <v>2277.04</v>
      </c>
      <c r="K140" s="4">
        <v>1651.97</v>
      </c>
      <c r="L140" s="4">
        <v>625.07000000000005</v>
      </c>
    </row>
    <row r="141" spans="1:12" x14ac:dyDescent="0.35">
      <c r="A141" t="s">
        <v>176</v>
      </c>
      <c r="B141" s="3">
        <v>45932</v>
      </c>
      <c r="C141" t="s">
        <v>18</v>
      </c>
      <c r="D141" t="s">
        <v>19</v>
      </c>
      <c r="E141" t="s">
        <v>16</v>
      </c>
      <c r="F141" t="s">
        <v>4</v>
      </c>
      <c r="G141">
        <v>4</v>
      </c>
      <c r="H141" s="4">
        <v>233.33</v>
      </c>
      <c r="I141" s="5">
        <v>0.2</v>
      </c>
      <c r="J141" s="4">
        <v>746.66</v>
      </c>
      <c r="K141" s="4">
        <v>571.09</v>
      </c>
      <c r="L141" s="4">
        <v>175.57</v>
      </c>
    </row>
    <row r="142" spans="1:12" x14ac:dyDescent="0.35">
      <c r="A142" t="s">
        <v>177</v>
      </c>
      <c r="B142" s="3">
        <v>45799</v>
      </c>
      <c r="C142" t="s">
        <v>25</v>
      </c>
      <c r="D142" t="s">
        <v>31</v>
      </c>
      <c r="E142" t="s">
        <v>52</v>
      </c>
      <c r="F142" t="s">
        <v>4</v>
      </c>
      <c r="G142">
        <v>4</v>
      </c>
      <c r="H142" s="4">
        <v>614.35</v>
      </c>
      <c r="I142" s="5">
        <v>0.05</v>
      </c>
      <c r="J142" s="4">
        <v>2334.5300000000002</v>
      </c>
      <c r="K142" s="4">
        <v>1497.04</v>
      </c>
      <c r="L142" s="4">
        <v>837.49</v>
      </c>
    </row>
    <row r="143" spans="1:12" x14ac:dyDescent="0.35">
      <c r="A143" t="s">
        <v>178</v>
      </c>
      <c r="B143" s="3">
        <v>45842</v>
      </c>
      <c r="C143" t="s">
        <v>18</v>
      </c>
      <c r="D143" t="s">
        <v>40</v>
      </c>
      <c r="E143" t="s">
        <v>35</v>
      </c>
      <c r="F143" t="s">
        <v>23</v>
      </c>
      <c r="G143">
        <v>1</v>
      </c>
      <c r="H143" s="4">
        <v>173.28</v>
      </c>
      <c r="I143" s="5">
        <v>0.2</v>
      </c>
      <c r="J143" s="4">
        <v>138.62</v>
      </c>
      <c r="K143" s="4">
        <v>79.760000000000005</v>
      </c>
      <c r="L143" s="4">
        <v>58.86</v>
      </c>
    </row>
    <row r="144" spans="1:12" x14ac:dyDescent="0.35">
      <c r="A144" t="s">
        <v>179</v>
      </c>
      <c r="B144" s="3">
        <v>45722</v>
      </c>
      <c r="C144" t="s">
        <v>25</v>
      </c>
      <c r="D144" t="s">
        <v>37</v>
      </c>
      <c r="E144" t="s">
        <v>3</v>
      </c>
      <c r="F144" t="s">
        <v>4</v>
      </c>
      <c r="G144">
        <v>1</v>
      </c>
      <c r="H144" s="4">
        <v>869.96</v>
      </c>
      <c r="I144" s="5">
        <v>0.15</v>
      </c>
      <c r="J144" s="4">
        <v>739.47</v>
      </c>
      <c r="K144" s="4">
        <v>413.88</v>
      </c>
      <c r="L144" s="4">
        <v>325.58999999999997</v>
      </c>
    </row>
    <row r="145" spans="1:12" x14ac:dyDescent="0.35">
      <c r="A145" t="s">
        <v>180</v>
      </c>
      <c r="B145" s="3">
        <v>46015</v>
      </c>
      <c r="C145" t="s">
        <v>18</v>
      </c>
      <c r="D145" t="s">
        <v>34</v>
      </c>
      <c r="E145" t="s">
        <v>181</v>
      </c>
      <c r="F145" t="s">
        <v>8</v>
      </c>
      <c r="G145">
        <v>8</v>
      </c>
      <c r="H145" s="4">
        <v>44.54</v>
      </c>
      <c r="I145" s="5">
        <v>0</v>
      </c>
      <c r="J145" s="4">
        <v>356.32</v>
      </c>
      <c r="K145" s="4">
        <v>248.18</v>
      </c>
      <c r="L145" s="4">
        <v>108.14</v>
      </c>
    </row>
    <row r="146" spans="1:12" x14ac:dyDescent="0.35">
      <c r="A146" t="s">
        <v>182</v>
      </c>
      <c r="B146" s="3">
        <v>45951</v>
      </c>
      <c r="C146" t="s">
        <v>25</v>
      </c>
      <c r="D146" t="s">
        <v>37</v>
      </c>
      <c r="E146" t="s">
        <v>38</v>
      </c>
      <c r="F146" t="s">
        <v>12</v>
      </c>
      <c r="G146">
        <v>8</v>
      </c>
      <c r="H146" s="4">
        <v>149.75</v>
      </c>
      <c r="I146" s="5">
        <v>0.1</v>
      </c>
      <c r="J146" s="4">
        <v>1078.2</v>
      </c>
      <c r="K146" s="4">
        <v>765.01</v>
      </c>
      <c r="L146" s="4">
        <v>313.19</v>
      </c>
    </row>
    <row r="147" spans="1:12" x14ac:dyDescent="0.35">
      <c r="A147" t="s">
        <v>183</v>
      </c>
      <c r="B147" s="3">
        <v>45752</v>
      </c>
      <c r="C147" t="s">
        <v>1</v>
      </c>
      <c r="D147" t="s">
        <v>2</v>
      </c>
      <c r="E147" t="s">
        <v>35</v>
      </c>
      <c r="F147" t="s">
        <v>23</v>
      </c>
      <c r="G147">
        <v>8</v>
      </c>
      <c r="H147" s="4">
        <v>154.65</v>
      </c>
      <c r="I147" s="5">
        <v>0</v>
      </c>
      <c r="J147" s="4">
        <v>1237.2</v>
      </c>
      <c r="K147" s="4">
        <v>692.94</v>
      </c>
      <c r="L147" s="4">
        <v>544.26</v>
      </c>
    </row>
    <row r="148" spans="1:12" x14ac:dyDescent="0.35">
      <c r="A148" t="s">
        <v>184</v>
      </c>
      <c r="B148" s="3">
        <v>45863</v>
      </c>
      <c r="C148" t="s">
        <v>14</v>
      </c>
      <c r="D148" t="s">
        <v>66</v>
      </c>
      <c r="E148" t="s">
        <v>52</v>
      </c>
      <c r="F148" t="s">
        <v>4</v>
      </c>
      <c r="G148">
        <v>10</v>
      </c>
      <c r="H148" s="4">
        <v>603.23</v>
      </c>
      <c r="I148" s="5">
        <v>0.2</v>
      </c>
      <c r="J148" s="4">
        <v>4825.84</v>
      </c>
      <c r="K148" s="4">
        <v>3123.53</v>
      </c>
      <c r="L148" s="4">
        <v>1702.31</v>
      </c>
    </row>
    <row r="149" spans="1:12" x14ac:dyDescent="0.35">
      <c r="A149" t="s">
        <v>185</v>
      </c>
      <c r="B149" s="3">
        <v>45685</v>
      </c>
      <c r="C149" t="s">
        <v>18</v>
      </c>
      <c r="D149" t="s">
        <v>34</v>
      </c>
      <c r="E149" t="s">
        <v>61</v>
      </c>
      <c r="F149" t="s">
        <v>4</v>
      </c>
      <c r="G149">
        <v>10</v>
      </c>
      <c r="H149" s="4">
        <v>71.05</v>
      </c>
      <c r="I149" s="5">
        <v>0.05</v>
      </c>
      <c r="J149" s="4">
        <v>674.98</v>
      </c>
      <c r="K149" s="4">
        <v>466.42</v>
      </c>
      <c r="L149" s="4">
        <v>208.56</v>
      </c>
    </row>
    <row r="150" spans="1:12" x14ac:dyDescent="0.35">
      <c r="A150" t="s">
        <v>186</v>
      </c>
      <c r="B150" s="3">
        <v>45785</v>
      </c>
      <c r="C150" t="s">
        <v>1</v>
      </c>
      <c r="D150" t="s">
        <v>6</v>
      </c>
      <c r="E150" t="s">
        <v>11</v>
      </c>
      <c r="F150" t="s">
        <v>12</v>
      </c>
      <c r="G150">
        <v>7</v>
      </c>
      <c r="H150" s="4">
        <v>8.65</v>
      </c>
      <c r="I150" s="5">
        <v>0.15</v>
      </c>
      <c r="J150" s="4">
        <v>51.47</v>
      </c>
      <c r="K150" s="4">
        <v>31.31</v>
      </c>
      <c r="L150" s="4">
        <v>20.16</v>
      </c>
    </row>
    <row r="151" spans="1:12" x14ac:dyDescent="0.35">
      <c r="A151" t="s">
        <v>187</v>
      </c>
      <c r="B151" s="3">
        <v>45974</v>
      </c>
      <c r="C151" t="s">
        <v>18</v>
      </c>
      <c r="D151" t="s">
        <v>19</v>
      </c>
      <c r="E151" t="s">
        <v>11</v>
      </c>
      <c r="F151" t="s">
        <v>12</v>
      </c>
      <c r="G151">
        <v>7</v>
      </c>
      <c r="H151" s="4">
        <v>8.2899999999999991</v>
      </c>
      <c r="I151" s="5">
        <v>0.1</v>
      </c>
      <c r="J151" s="4">
        <v>52.23</v>
      </c>
      <c r="K151" s="4">
        <v>29.93</v>
      </c>
      <c r="L151" s="4">
        <v>22.3</v>
      </c>
    </row>
    <row r="152" spans="1:12" x14ac:dyDescent="0.35">
      <c r="A152" t="s">
        <v>188</v>
      </c>
      <c r="B152" s="3">
        <v>45810</v>
      </c>
      <c r="C152" t="s">
        <v>14</v>
      </c>
      <c r="D152" t="s">
        <v>55</v>
      </c>
      <c r="E152" t="s">
        <v>35</v>
      </c>
      <c r="F152" t="s">
        <v>23</v>
      </c>
      <c r="G152">
        <v>10</v>
      </c>
      <c r="H152" s="4">
        <v>155.79</v>
      </c>
      <c r="I152" s="5">
        <v>0.15</v>
      </c>
      <c r="J152" s="4">
        <v>1324.21</v>
      </c>
      <c r="K152" s="4">
        <v>918.29</v>
      </c>
      <c r="L152" s="4">
        <v>405.92</v>
      </c>
    </row>
    <row r="153" spans="1:12" x14ac:dyDescent="0.35">
      <c r="A153" t="s">
        <v>189</v>
      </c>
      <c r="B153" s="3">
        <v>45970</v>
      </c>
      <c r="C153" t="s">
        <v>1</v>
      </c>
      <c r="D153" t="s">
        <v>6</v>
      </c>
      <c r="E153" t="s">
        <v>16</v>
      </c>
      <c r="F153" t="s">
        <v>4</v>
      </c>
      <c r="G153">
        <v>4</v>
      </c>
      <c r="H153" s="4">
        <v>222.68</v>
      </c>
      <c r="I153" s="5">
        <v>0.05</v>
      </c>
      <c r="J153" s="4">
        <v>846.18</v>
      </c>
      <c r="K153" s="4">
        <v>611.03</v>
      </c>
      <c r="L153" s="4">
        <v>235.15</v>
      </c>
    </row>
    <row r="154" spans="1:12" x14ac:dyDescent="0.35">
      <c r="A154" t="s">
        <v>190</v>
      </c>
      <c r="B154" s="3">
        <v>45699</v>
      </c>
      <c r="C154" t="s">
        <v>18</v>
      </c>
      <c r="D154" t="s">
        <v>34</v>
      </c>
      <c r="E154" t="s">
        <v>16</v>
      </c>
      <c r="F154" t="s">
        <v>4</v>
      </c>
      <c r="G154">
        <v>3</v>
      </c>
      <c r="H154" s="4">
        <v>234.92</v>
      </c>
      <c r="I154" s="5">
        <v>0.15</v>
      </c>
      <c r="J154" s="4">
        <v>599.04999999999995</v>
      </c>
      <c r="K154" s="4">
        <v>487.32</v>
      </c>
      <c r="L154" s="4">
        <v>111.73</v>
      </c>
    </row>
    <row r="155" spans="1:12" x14ac:dyDescent="0.35">
      <c r="A155" t="s">
        <v>191</v>
      </c>
      <c r="B155" s="3">
        <v>45738</v>
      </c>
      <c r="C155" t="s">
        <v>1</v>
      </c>
      <c r="D155" t="s">
        <v>6</v>
      </c>
      <c r="E155" t="s">
        <v>29</v>
      </c>
      <c r="F155" t="s">
        <v>23</v>
      </c>
      <c r="G155">
        <v>8</v>
      </c>
      <c r="H155" s="4">
        <v>140.68</v>
      </c>
      <c r="I155" s="5">
        <v>0.2</v>
      </c>
      <c r="J155" s="4">
        <v>900.35</v>
      </c>
      <c r="K155" s="4">
        <v>573.70000000000005</v>
      </c>
      <c r="L155" s="4">
        <v>326.64999999999998</v>
      </c>
    </row>
    <row r="156" spans="1:12" x14ac:dyDescent="0.35">
      <c r="A156" t="s">
        <v>192</v>
      </c>
      <c r="B156" s="3">
        <v>45898</v>
      </c>
      <c r="C156" t="s">
        <v>25</v>
      </c>
      <c r="D156" t="s">
        <v>46</v>
      </c>
      <c r="E156" t="s">
        <v>3</v>
      </c>
      <c r="F156" t="s">
        <v>4</v>
      </c>
      <c r="G156">
        <v>4</v>
      </c>
      <c r="H156" s="4">
        <v>925.27</v>
      </c>
      <c r="I156" s="5">
        <v>0.05</v>
      </c>
      <c r="J156" s="4">
        <v>3516.03</v>
      </c>
      <c r="K156" s="4">
        <v>2190.9299999999998</v>
      </c>
      <c r="L156" s="4">
        <v>1325.1</v>
      </c>
    </row>
    <row r="157" spans="1:12" x14ac:dyDescent="0.35">
      <c r="A157" t="s">
        <v>193</v>
      </c>
      <c r="B157" s="3">
        <v>45802</v>
      </c>
      <c r="C157" t="s">
        <v>14</v>
      </c>
      <c r="D157" t="s">
        <v>66</v>
      </c>
      <c r="E157" t="s">
        <v>52</v>
      </c>
      <c r="F157" t="s">
        <v>4</v>
      </c>
      <c r="G157">
        <v>4</v>
      </c>
      <c r="H157" s="4">
        <v>539.92999999999995</v>
      </c>
      <c r="I157" s="5">
        <v>0.05</v>
      </c>
      <c r="J157" s="4">
        <v>2051.73</v>
      </c>
      <c r="K157" s="4">
        <v>1171.9100000000001</v>
      </c>
      <c r="L157" s="4">
        <v>879.82</v>
      </c>
    </row>
    <row r="158" spans="1:12" x14ac:dyDescent="0.35">
      <c r="A158" t="s">
        <v>194</v>
      </c>
      <c r="B158" s="3">
        <v>45959</v>
      </c>
      <c r="C158" t="s">
        <v>18</v>
      </c>
      <c r="D158" t="s">
        <v>34</v>
      </c>
      <c r="E158" t="s">
        <v>29</v>
      </c>
      <c r="F158" t="s">
        <v>23</v>
      </c>
      <c r="G158">
        <v>2</v>
      </c>
      <c r="H158" s="4">
        <v>120.06</v>
      </c>
      <c r="I158" s="5">
        <v>0.15</v>
      </c>
      <c r="J158" s="4">
        <v>204.1</v>
      </c>
      <c r="K158" s="4">
        <v>165.3</v>
      </c>
      <c r="L158" s="4">
        <v>38.799999999999997</v>
      </c>
    </row>
    <row r="159" spans="1:12" x14ac:dyDescent="0.35">
      <c r="A159" t="s">
        <v>195</v>
      </c>
      <c r="B159" s="3">
        <v>45989</v>
      </c>
      <c r="C159" t="s">
        <v>18</v>
      </c>
      <c r="D159" t="s">
        <v>34</v>
      </c>
      <c r="E159" t="s">
        <v>35</v>
      </c>
      <c r="F159" t="s">
        <v>23</v>
      </c>
      <c r="G159">
        <v>3</v>
      </c>
      <c r="H159" s="4">
        <v>198.14</v>
      </c>
      <c r="I159" s="5">
        <v>0</v>
      </c>
      <c r="J159" s="4">
        <v>594.41999999999996</v>
      </c>
      <c r="K159" s="4">
        <v>438.63</v>
      </c>
      <c r="L159" s="4">
        <v>155.79</v>
      </c>
    </row>
    <row r="160" spans="1:12" x14ac:dyDescent="0.35">
      <c r="A160" t="s">
        <v>196</v>
      </c>
      <c r="B160" s="3">
        <v>45742</v>
      </c>
      <c r="C160" t="s">
        <v>25</v>
      </c>
      <c r="D160" t="s">
        <v>37</v>
      </c>
      <c r="E160" t="s">
        <v>32</v>
      </c>
      <c r="F160" t="s">
        <v>12</v>
      </c>
      <c r="G160">
        <v>10</v>
      </c>
      <c r="H160" s="4">
        <v>11.67</v>
      </c>
      <c r="I160" s="5">
        <v>0.05</v>
      </c>
      <c r="J160" s="4">
        <v>110.86</v>
      </c>
      <c r="K160" s="4">
        <v>66.16</v>
      </c>
      <c r="L160" s="4">
        <v>44.7</v>
      </c>
    </row>
    <row r="161" spans="1:12" x14ac:dyDescent="0.35">
      <c r="A161" t="s">
        <v>197</v>
      </c>
      <c r="B161" s="3">
        <v>45721</v>
      </c>
      <c r="C161" t="s">
        <v>14</v>
      </c>
      <c r="D161" t="s">
        <v>15</v>
      </c>
      <c r="E161" t="s">
        <v>20</v>
      </c>
      <c r="F161" t="s">
        <v>8</v>
      </c>
      <c r="G161">
        <v>5</v>
      </c>
      <c r="H161" s="4">
        <v>31.39</v>
      </c>
      <c r="I161" s="5">
        <v>0.2</v>
      </c>
      <c r="J161" s="4">
        <v>125.56</v>
      </c>
      <c r="K161" s="4">
        <v>77.540000000000006</v>
      </c>
      <c r="L161" s="4">
        <v>48.02</v>
      </c>
    </row>
    <row r="162" spans="1:12" x14ac:dyDescent="0.35">
      <c r="A162" t="s">
        <v>198</v>
      </c>
      <c r="B162" s="3">
        <v>45797</v>
      </c>
      <c r="C162" t="s">
        <v>14</v>
      </c>
      <c r="D162" t="s">
        <v>55</v>
      </c>
      <c r="E162" t="s">
        <v>38</v>
      </c>
      <c r="F162" t="s">
        <v>12</v>
      </c>
      <c r="G162">
        <v>2</v>
      </c>
      <c r="H162" s="4">
        <v>162.36000000000001</v>
      </c>
      <c r="I162" s="5">
        <v>0.15</v>
      </c>
      <c r="J162" s="4">
        <v>276.01</v>
      </c>
      <c r="K162" s="4">
        <v>205.06</v>
      </c>
      <c r="L162" s="4">
        <v>70.95</v>
      </c>
    </row>
    <row r="163" spans="1:12" x14ac:dyDescent="0.35">
      <c r="A163" t="s">
        <v>199</v>
      </c>
      <c r="B163" s="3">
        <v>45879</v>
      </c>
      <c r="C163" t="s">
        <v>25</v>
      </c>
      <c r="D163" t="s">
        <v>31</v>
      </c>
      <c r="E163" t="s">
        <v>32</v>
      </c>
      <c r="F163" t="s">
        <v>12</v>
      </c>
      <c r="G163">
        <v>5</v>
      </c>
      <c r="H163" s="4">
        <v>12.58</v>
      </c>
      <c r="I163" s="5">
        <v>0</v>
      </c>
      <c r="J163" s="4">
        <v>62.9</v>
      </c>
      <c r="K163" s="4">
        <v>39.35</v>
      </c>
      <c r="L163" s="4">
        <v>23.55</v>
      </c>
    </row>
    <row r="164" spans="1:12" x14ac:dyDescent="0.35">
      <c r="A164" t="s">
        <v>200</v>
      </c>
      <c r="B164" s="3">
        <v>45775</v>
      </c>
      <c r="C164" t="s">
        <v>1</v>
      </c>
      <c r="D164" t="s">
        <v>2</v>
      </c>
      <c r="E164" t="s">
        <v>7</v>
      </c>
      <c r="F164" t="s">
        <v>8</v>
      </c>
      <c r="G164">
        <v>-2</v>
      </c>
      <c r="H164" s="4">
        <v>51.14</v>
      </c>
      <c r="I164" s="5">
        <v>0.15</v>
      </c>
      <c r="J164" s="4">
        <v>217.34</v>
      </c>
      <c r="K164" s="4">
        <v>162.84</v>
      </c>
      <c r="L164" s="4">
        <v>54.5</v>
      </c>
    </row>
    <row r="165" spans="1:12" x14ac:dyDescent="0.35">
      <c r="A165" t="s">
        <v>201</v>
      </c>
      <c r="B165" s="3">
        <v>45747</v>
      </c>
      <c r="C165" t="s">
        <v>14</v>
      </c>
      <c r="D165" t="s">
        <v>55</v>
      </c>
      <c r="E165" t="s">
        <v>11</v>
      </c>
      <c r="F165" t="s">
        <v>12</v>
      </c>
      <c r="G165">
        <v>8</v>
      </c>
      <c r="H165" s="4">
        <v>8.1300000000000008</v>
      </c>
      <c r="I165" s="5">
        <v>0.05</v>
      </c>
      <c r="J165" s="4">
        <v>61.79</v>
      </c>
      <c r="K165" s="4">
        <v>44.19</v>
      </c>
      <c r="L165" s="4">
        <v>17.600000000000001</v>
      </c>
    </row>
    <row r="166" spans="1:12" x14ac:dyDescent="0.35">
      <c r="A166" t="s">
        <v>202</v>
      </c>
      <c r="B166" s="3">
        <v>45957</v>
      </c>
      <c r="C166" t="s">
        <v>14</v>
      </c>
      <c r="D166" t="s">
        <v>15</v>
      </c>
      <c r="E166" t="s">
        <v>7</v>
      </c>
      <c r="F166" t="s">
        <v>8</v>
      </c>
      <c r="G166">
        <v>8</v>
      </c>
      <c r="H166" s="4">
        <v>43.91</v>
      </c>
      <c r="I166" s="5">
        <v>0</v>
      </c>
      <c r="J166" s="4">
        <v>351.28</v>
      </c>
      <c r="K166" s="4">
        <v>216.7</v>
      </c>
      <c r="L166" s="4">
        <v>134.58000000000001</v>
      </c>
    </row>
    <row r="167" spans="1:12" x14ac:dyDescent="0.35">
      <c r="A167" t="s">
        <v>203</v>
      </c>
      <c r="B167" s="3">
        <v>45836</v>
      </c>
      <c r="C167" t="s">
        <v>14</v>
      </c>
      <c r="D167" t="s">
        <v>55</v>
      </c>
      <c r="E167" t="s">
        <v>22</v>
      </c>
      <c r="F167" t="s">
        <v>23</v>
      </c>
      <c r="G167">
        <v>6</v>
      </c>
      <c r="H167" s="4">
        <v>239.2</v>
      </c>
      <c r="I167" s="5">
        <v>0.2</v>
      </c>
      <c r="J167" s="4">
        <v>1148.1600000000001</v>
      </c>
      <c r="K167" s="4">
        <v>866.42</v>
      </c>
      <c r="L167" s="4">
        <v>281.74</v>
      </c>
    </row>
    <row r="168" spans="1:12" x14ac:dyDescent="0.35">
      <c r="A168" t="s">
        <v>204</v>
      </c>
      <c r="B168" s="3">
        <v>45740</v>
      </c>
      <c r="C168" t="s">
        <v>25</v>
      </c>
      <c r="D168" t="s">
        <v>46</v>
      </c>
      <c r="E168" t="s">
        <v>29</v>
      </c>
      <c r="F168" t="s">
        <v>23</v>
      </c>
      <c r="G168">
        <v>8</v>
      </c>
      <c r="H168" s="4">
        <v>119.6</v>
      </c>
      <c r="I168" s="5">
        <v>0.05</v>
      </c>
      <c r="J168" s="4">
        <v>908.96</v>
      </c>
      <c r="K168" s="4">
        <v>528.41</v>
      </c>
      <c r="L168" s="4">
        <v>380.55</v>
      </c>
    </row>
    <row r="169" spans="1:12" x14ac:dyDescent="0.35">
      <c r="A169" t="s">
        <v>205</v>
      </c>
      <c r="B169" s="3">
        <v>45863</v>
      </c>
      <c r="C169" t="s">
        <v>1</v>
      </c>
      <c r="D169" t="s">
        <v>28</v>
      </c>
      <c r="E169" t="s">
        <v>38</v>
      </c>
      <c r="F169" t="s">
        <v>12</v>
      </c>
      <c r="G169">
        <v>2</v>
      </c>
      <c r="H169" s="4">
        <v>138.21</v>
      </c>
      <c r="I169" s="5">
        <v>0.05</v>
      </c>
      <c r="J169" s="4">
        <v>262.60000000000002</v>
      </c>
      <c r="K169" s="4">
        <v>147.32</v>
      </c>
      <c r="L169" s="4">
        <v>115.28</v>
      </c>
    </row>
    <row r="170" spans="1:12" x14ac:dyDescent="0.35">
      <c r="A170" t="s">
        <v>206</v>
      </c>
      <c r="B170" s="3">
        <v>45823</v>
      </c>
      <c r="C170" t="s">
        <v>1</v>
      </c>
      <c r="D170" t="s">
        <v>6</v>
      </c>
      <c r="E170" t="s">
        <v>29</v>
      </c>
      <c r="F170" t="s">
        <v>23</v>
      </c>
      <c r="G170">
        <v>9</v>
      </c>
      <c r="H170" s="4">
        <v>154.93</v>
      </c>
      <c r="I170" s="5">
        <v>0</v>
      </c>
      <c r="J170" s="4">
        <v>1394.37</v>
      </c>
      <c r="K170" s="4">
        <v>1031.82</v>
      </c>
      <c r="L170" s="4">
        <v>362.55</v>
      </c>
    </row>
    <row r="171" spans="1:12" x14ac:dyDescent="0.35">
      <c r="A171" t="s">
        <v>207</v>
      </c>
      <c r="B171" s="3">
        <v>45935</v>
      </c>
      <c r="C171" t="s">
        <v>14</v>
      </c>
      <c r="D171" t="s">
        <v>66</v>
      </c>
      <c r="E171" t="s">
        <v>29</v>
      </c>
      <c r="F171" t="s">
        <v>23</v>
      </c>
      <c r="G171">
        <v>1</v>
      </c>
      <c r="H171" s="4">
        <v>138.91999999999999</v>
      </c>
      <c r="I171" s="5">
        <v>0.02</v>
      </c>
      <c r="J171" s="4">
        <v>136.13999999999999</v>
      </c>
      <c r="K171" s="4">
        <v>78.47</v>
      </c>
      <c r="L171" s="4">
        <v>57.67</v>
      </c>
    </row>
    <row r="172" spans="1:12" x14ac:dyDescent="0.35">
      <c r="A172" t="s">
        <v>208</v>
      </c>
      <c r="B172" s="3">
        <v>45843</v>
      </c>
      <c r="C172" t="s">
        <v>14</v>
      </c>
      <c r="D172" t="s">
        <v>55</v>
      </c>
      <c r="E172" t="s">
        <v>7</v>
      </c>
      <c r="F172" t="s">
        <v>8</v>
      </c>
      <c r="G172">
        <v>8</v>
      </c>
      <c r="H172" s="4">
        <v>44.89</v>
      </c>
      <c r="I172" s="5">
        <v>0</v>
      </c>
      <c r="J172" s="4">
        <v>359.12</v>
      </c>
      <c r="K172" s="4">
        <v>243.42</v>
      </c>
      <c r="L172" s="4">
        <v>115.7</v>
      </c>
    </row>
    <row r="173" spans="1:12" x14ac:dyDescent="0.35">
      <c r="A173" t="s">
        <v>209</v>
      </c>
      <c r="B173" s="3">
        <v>45794</v>
      </c>
      <c r="C173" t="s">
        <v>18</v>
      </c>
      <c r="D173" t="s">
        <v>19</v>
      </c>
      <c r="E173" t="s">
        <v>35</v>
      </c>
      <c r="F173" t="s">
        <v>23</v>
      </c>
      <c r="G173">
        <v>8</v>
      </c>
      <c r="H173" s="4">
        <v>162.35</v>
      </c>
      <c r="I173" s="5">
        <v>0.2</v>
      </c>
      <c r="J173" s="4">
        <v>1039.04</v>
      </c>
      <c r="K173" s="4">
        <v>693.19</v>
      </c>
      <c r="L173" s="4">
        <v>345.85</v>
      </c>
    </row>
    <row r="174" spans="1:12" x14ac:dyDescent="0.35">
      <c r="A174" t="s">
        <v>210</v>
      </c>
      <c r="B174" s="3">
        <v>45720</v>
      </c>
      <c r="C174" t="s">
        <v>1</v>
      </c>
      <c r="D174" t="s">
        <v>6</v>
      </c>
      <c r="E174" t="s">
        <v>7</v>
      </c>
      <c r="F174" t="s">
        <v>8</v>
      </c>
      <c r="G174">
        <v>10</v>
      </c>
      <c r="H174" s="4">
        <v>43.63</v>
      </c>
      <c r="I174" s="5">
        <v>0.02</v>
      </c>
      <c r="J174" s="4">
        <v>427.57</v>
      </c>
      <c r="K174" s="4">
        <v>306.26</v>
      </c>
      <c r="L174" s="4">
        <v>121.31</v>
      </c>
    </row>
    <row r="175" spans="1:12" x14ac:dyDescent="0.35">
      <c r="A175" t="s">
        <v>211</v>
      </c>
      <c r="B175" s="3">
        <v>45739</v>
      </c>
      <c r="C175" t="s">
        <v>25</v>
      </c>
      <c r="D175" t="s">
        <v>37</v>
      </c>
      <c r="E175" t="s">
        <v>11</v>
      </c>
      <c r="F175" t="s">
        <v>12</v>
      </c>
      <c r="G175">
        <v>1</v>
      </c>
      <c r="H175" s="4">
        <v>8.32</v>
      </c>
      <c r="I175" s="5">
        <v>0.15</v>
      </c>
      <c r="J175" s="4">
        <v>7.07</v>
      </c>
      <c r="K175" s="4">
        <v>3.97</v>
      </c>
      <c r="L175" s="4">
        <v>3.1</v>
      </c>
    </row>
    <row r="176" spans="1:12" x14ac:dyDescent="0.35">
      <c r="A176" t="s">
        <v>212</v>
      </c>
      <c r="B176" s="3">
        <v>45705</v>
      </c>
      <c r="C176" t="s">
        <v>18</v>
      </c>
      <c r="D176" t="s">
        <v>40</v>
      </c>
      <c r="E176" t="s">
        <v>52</v>
      </c>
      <c r="F176" t="s">
        <v>4</v>
      </c>
      <c r="G176">
        <v>8</v>
      </c>
      <c r="H176" s="4">
        <v>529.30999999999995</v>
      </c>
      <c r="I176" s="5">
        <v>0</v>
      </c>
      <c r="J176" s="4">
        <v>4234.4799999999996</v>
      </c>
      <c r="K176" s="4">
        <v>3044.52</v>
      </c>
      <c r="L176" s="4">
        <v>1189.96</v>
      </c>
    </row>
    <row r="177" spans="1:12" x14ac:dyDescent="0.35">
      <c r="A177" t="s">
        <v>213</v>
      </c>
      <c r="B177" s="3">
        <v>45736</v>
      </c>
      <c r="C177" t="s">
        <v>14</v>
      </c>
      <c r="D177" t="s">
        <v>66</v>
      </c>
      <c r="E177" t="s">
        <v>20</v>
      </c>
      <c r="F177" t="s">
        <v>8</v>
      </c>
      <c r="G177">
        <v>5</v>
      </c>
      <c r="H177" s="4">
        <v>35.03</v>
      </c>
      <c r="I177" s="5">
        <v>0.15</v>
      </c>
      <c r="J177" s="4">
        <v>148.88</v>
      </c>
      <c r="K177" s="4">
        <v>116.31</v>
      </c>
      <c r="L177" s="4">
        <v>32.57</v>
      </c>
    </row>
    <row r="178" spans="1:12" x14ac:dyDescent="0.35">
      <c r="A178" t="s">
        <v>214</v>
      </c>
      <c r="B178" s="3">
        <v>45797</v>
      </c>
      <c r="C178" t="s">
        <v>14</v>
      </c>
      <c r="D178" t="s">
        <v>15</v>
      </c>
      <c r="E178" t="s">
        <v>38</v>
      </c>
      <c r="F178" t="s">
        <v>12</v>
      </c>
      <c r="G178">
        <v>8</v>
      </c>
      <c r="H178" s="4">
        <v>167.62</v>
      </c>
      <c r="I178" s="5">
        <v>0.02</v>
      </c>
      <c r="J178" s="4">
        <v>1314.14</v>
      </c>
      <c r="K178" s="4">
        <v>780.59</v>
      </c>
      <c r="L178" s="4">
        <v>533.54999999999995</v>
      </c>
    </row>
    <row r="179" spans="1:12" x14ac:dyDescent="0.35">
      <c r="A179" t="s">
        <v>215</v>
      </c>
      <c r="B179" s="3">
        <v>45940</v>
      </c>
      <c r="C179" t="s">
        <v>18</v>
      </c>
      <c r="D179" t="s">
        <v>40</v>
      </c>
      <c r="E179" t="s">
        <v>29</v>
      </c>
      <c r="F179" t="s">
        <v>23</v>
      </c>
      <c r="G179">
        <v>4</v>
      </c>
      <c r="H179" s="4">
        <v>121.96</v>
      </c>
      <c r="I179" s="5">
        <v>0.15</v>
      </c>
      <c r="J179" s="4">
        <v>414.66</v>
      </c>
      <c r="K179" s="4">
        <v>299.99</v>
      </c>
      <c r="L179" s="4">
        <v>114.67</v>
      </c>
    </row>
    <row r="180" spans="1:12" x14ac:dyDescent="0.35">
      <c r="A180" t="s">
        <v>216</v>
      </c>
      <c r="B180" s="3">
        <v>45727</v>
      </c>
      <c r="C180" t="s">
        <v>1</v>
      </c>
      <c r="D180" t="s">
        <v>6</v>
      </c>
      <c r="E180" t="s">
        <v>35</v>
      </c>
      <c r="F180" t="s">
        <v>23</v>
      </c>
      <c r="G180">
        <v>7</v>
      </c>
      <c r="H180" s="4">
        <v>154.43</v>
      </c>
      <c r="I180" s="5">
        <v>0.05</v>
      </c>
      <c r="J180" s="4">
        <v>1026.96</v>
      </c>
      <c r="K180" s="4">
        <v>727.25</v>
      </c>
      <c r="L180" s="4">
        <v>299.70999999999998</v>
      </c>
    </row>
    <row r="181" spans="1:12" x14ac:dyDescent="0.35">
      <c r="A181" t="s">
        <v>217</v>
      </c>
      <c r="B181" s="3">
        <v>45794</v>
      </c>
      <c r="C181" t="s">
        <v>1</v>
      </c>
      <c r="D181" t="s">
        <v>6</v>
      </c>
      <c r="E181" t="s">
        <v>35</v>
      </c>
      <c r="F181" t="s">
        <v>23</v>
      </c>
      <c r="G181">
        <v>5</v>
      </c>
      <c r="H181" s="4">
        <v>203.77</v>
      </c>
      <c r="I181" s="5">
        <v>0.15</v>
      </c>
      <c r="J181" s="4">
        <v>866.02</v>
      </c>
      <c r="K181" s="4">
        <v>610.87</v>
      </c>
      <c r="L181" s="4">
        <v>255.15</v>
      </c>
    </row>
    <row r="182" spans="1:12" x14ac:dyDescent="0.35">
      <c r="A182" t="s">
        <v>218</v>
      </c>
      <c r="B182" s="3">
        <v>45995</v>
      </c>
      <c r="C182" t="s">
        <v>14</v>
      </c>
      <c r="D182" t="s">
        <v>15</v>
      </c>
      <c r="E182" t="s">
        <v>61</v>
      </c>
      <c r="F182" t="s">
        <v>4</v>
      </c>
      <c r="G182">
        <v>8</v>
      </c>
      <c r="H182" s="4">
        <v>77.319999999999993</v>
      </c>
      <c r="I182" s="5">
        <v>0.15</v>
      </c>
      <c r="J182" s="4">
        <v>525.78</v>
      </c>
      <c r="K182" s="4">
        <v>380.5</v>
      </c>
      <c r="L182" s="4">
        <v>145.28</v>
      </c>
    </row>
    <row r="183" spans="1:12" x14ac:dyDescent="0.35">
      <c r="A183" t="s">
        <v>219</v>
      </c>
      <c r="B183" s="3">
        <v>45834</v>
      </c>
      <c r="C183" t="s">
        <v>25</v>
      </c>
      <c r="D183" t="s">
        <v>37</v>
      </c>
      <c r="E183" t="s">
        <v>11</v>
      </c>
      <c r="F183" t="s">
        <v>12</v>
      </c>
      <c r="G183">
        <v>9</v>
      </c>
      <c r="H183" s="4">
        <v>7.9</v>
      </c>
      <c r="I183" s="5">
        <v>0.1</v>
      </c>
      <c r="J183" s="4">
        <v>63.99</v>
      </c>
      <c r="K183" s="4">
        <v>44.62</v>
      </c>
      <c r="L183" s="4">
        <v>19.37</v>
      </c>
    </row>
    <row r="184" spans="1:12" x14ac:dyDescent="0.35">
      <c r="A184" t="s">
        <v>220</v>
      </c>
      <c r="B184" s="3">
        <v>45822</v>
      </c>
      <c r="C184" t="s">
        <v>18</v>
      </c>
      <c r="D184" t="s">
        <v>19</v>
      </c>
      <c r="E184" t="s">
        <v>20</v>
      </c>
      <c r="F184" t="s">
        <v>8</v>
      </c>
      <c r="G184">
        <v>4</v>
      </c>
      <c r="H184" s="4">
        <v>39.64</v>
      </c>
      <c r="I184" s="5">
        <v>0.15</v>
      </c>
      <c r="J184" s="4">
        <v>134.78</v>
      </c>
      <c r="K184" s="4">
        <v>88.18</v>
      </c>
      <c r="L184" s="4">
        <v>46.6</v>
      </c>
    </row>
    <row r="185" spans="1:12" x14ac:dyDescent="0.35">
      <c r="A185" t="s">
        <v>221</v>
      </c>
      <c r="B185" s="3">
        <v>45777</v>
      </c>
      <c r="C185" t="s">
        <v>14</v>
      </c>
      <c r="D185" t="s">
        <v>15</v>
      </c>
      <c r="E185" t="s">
        <v>3</v>
      </c>
      <c r="F185" t="s">
        <v>4</v>
      </c>
      <c r="G185">
        <v>6</v>
      </c>
      <c r="H185" s="4">
        <v>967.6</v>
      </c>
      <c r="I185" s="5">
        <v>0.2</v>
      </c>
      <c r="J185" s="4">
        <v>4644.4799999999996</v>
      </c>
      <c r="K185" s="4">
        <v>3689.78</v>
      </c>
      <c r="L185" s="4">
        <v>954.7</v>
      </c>
    </row>
    <row r="186" spans="1:12" x14ac:dyDescent="0.35">
      <c r="A186" t="s">
        <v>222</v>
      </c>
      <c r="B186" s="3">
        <v>46019</v>
      </c>
      <c r="C186" t="s">
        <v>14</v>
      </c>
      <c r="D186" t="s">
        <v>55</v>
      </c>
      <c r="E186" t="s">
        <v>29</v>
      </c>
      <c r="F186" t="s">
        <v>23</v>
      </c>
      <c r="G186">
        <v>3</v>
      </c>
      <c r="H186" s="4">
        <v>127.22</v>
      </c>
      <c r="I186" s="5">
        <v>0.1</v>
      </c>
      <c r="J186" s="4">
        <v>343.49</v>
      </c>
      <c r="K186" s="4">
        <v>195.35</v>
      </c>
      <c r="L186" s="4">
        <v>148.13999999999999</v>
      </c>
    </row>
    <row r="187" spans="1:12" x14ac:dyDescent="0.35">
      <c r="A187" t="s">
        <v>223</v>
      </c>
      <c r="B187" s="3">
        <v>45722</v>
      </c>
      <c r="C187" t="s">
        <v>25</v>
      </c>
      <c r="D187" t="s">
        <v>46</v>
      </c>
      <c r="E187" t="s">
        <v>52</v>
      </c>
      <c r="F187" t="s">
        <v>4</v>
      </c>
      <c r="G187">
        <v>8</v>
      </c>
      <c r="H187" s="4">
        <v>484.13</v>
      </c>
      <c r="I187" s="5">
        <v>0</v>
      </c>
      <c r="J187" s="4">
        <v>3873.04</v>
      </c>
      <c r="K187" s="4">
        <v>2149.23</v>
      </c>
      <c r="L187" s="4">
        <v>1723.81</v>
      </c>
    </row>
    <row r="188" spans="1:12" x14ac:dyDescent="0.35">
      <c r="A188" t="s">
        <v>224</v>
      </c>
      <c r="B188" s="3">
        <v>45891</v>
      </c>
      <c r="C188" t="s">
        <v>1</v>
      </c>
      <c r="D188" t="s">
        <v>6</v>
      </c>
      <c r="E188" t="s">
        <v>20</v>
      </c>
      <c r="F188" t="s">
        <v>8</v>
      </c>
      <c r="G188">
        <v>3</v>
      </c>
      <c r="H188" s="4">
        <v>30.74</v>
      </c>
      <c r="I188" s="5">
        <v>0.1</v>
      </c>
      <c r="J188" s="4">
        <v>83</v>
      </c>
      <c r="K188" s="4">
        <v>60.96</v>
      </c>
      <c r="L188" s="4">
        <v>22.04</v>
      </c>
    </row>
    <row r="189" spans="1:12" x14ac:dyDescent="0.35">
      <c r="A189" t="s">
        <v>225</v>
      </c>
      <c r="B189" s="3">
        <v>45737</v>
      </c>
      <c r="C189" t="s">
        <v>1</v>
      </c>
      <c r="D189" t="s">
        <v>6</v>
      </c>
      <c r="E189" t="s">
        <v>38</v>
      </c>
      <c r="F189" t="s">
        <v>12</v>
      </c>
      <c r="G189">
        <v>5</v>
      </c>
      <c r="H189" s="4">
        <v>139.41999999999999</v>
      </c>
      <c r="I189" s="5">
        <v>0.05</v>
      </c>
      <c r="J189" s="4">
        <v>662.24</v>
      </c>
      <c r="K189" s="4">
        <v>421.27</v>
      </c>
      <c r="L189" s="4">
        <v>240.97</v>
      </c>
    </row>
    <row r="190" spans="1:12" x14ac:dyDescent="0.35">
      <c r="A190" t="s">
        <v>226</v>
      </c>
      <c r="B190" s="3">
        <v>46012</v>
      </c>
      <c r="C190" t="s">
        <v>14</v>
      </c>
      <c r="D190" t="s">
        <v>66</v>
      </c>
      <c r="E190" t="s">
        <v>7</v>
      </c>
      <c r="F190" t="s">
        <v>8</v>
      </c>
      <c r="G190">
        <v>2</v>
      </c>
      <c r="H190" s="4">
        <v>49.66</v>
      </c>
      <c r="I190" s="5">
        <v>0.35</v>
      </c>
      <c r="J190" s="4">
        <v>94.35</v>
      </c>
      <c r="K190" s="4">
        <v>52.49</v>
      </c>
      <c r="L190" s="4">
        <v>41.86</v>
      </c>
    </row>
    <row r="191" spans="1:12" x14ac:dyDescent="0.35">
      <c r="A191" t="s">
        <v>227</v>
      </c>
      <c r="B191" s="3">
        <v>45931</v>
      </c>
      <c r="C191" t="s">
        <v>14</v>
      </c>
      <c r="D191" t="s">
        <v>55</v>
      </c>
      <c r="E191" t="s">
        <v>22</v>
      </c>
      <c r="F191" t="s">
        <v>23</v>
      </c>
      <c r="G191">
        <v>8</v>
      </c>
      <c r="H191" s="4">
        <v>273.58999999999997</v>
      </c>
      <c r="I191" s="5">
        <v>0.15</v>
      </c>
      <c r="J191" s="4">
        <v>1860.41</v>
      </c>
      <c r="K191" s="4">
        <v>1164.8</v>
      </c>
      <c r="L191" s="4">
        <v>695.61</v>
      </c>
    </row>
    <row r="192" spans="1:12" x14ac:dyDescent="0.35">
      <c r="A192" t="s">
        <v>228</v>
      </c>
      <c r="B192" s="3">
        <v>45974</v>
      </c>
      <c r="C192" t="s">
        <v>1</v>
      </c>
      <c r="D192" t="s">
        <v>6</v>
      </c>
      <c r="E192" t="s">
        <v>16</v>
      </c>
      <c r="F192" t="s">
        <v>4</v>
      </c>
      <c r="G192">
        <v>5</v>
      </c>
      <c r="H192" s="4">
        <v>194.8</v>
      </c>
      <c r="I192" s="5">
        <v>0.02</v>
      </c>
      <c r="J192" s="4">
        <v>954.52</v>
      </c>
      <c r="K192" s="4">
        <v>704.55</v>
      </c>
      <c r="L192" s="4">
        <v>249.97</v>
      </c>
    </row>
    <row r="193" spans="1:12" x14ac:dyDescent="0.35">
      <c r="A193" t="s">
        <v>229</v>
      </c>
      <c r="B193" s="3">
        <v>45704</v>
      </c>
      <c r="C193" t="s">
        <v>14</v>
      </c>
      <c r="D193" t="s">
        <v>55</v>
      </c>
      <c r="E193" t="s">
        <v>52</v>
      </c>
      <c r="F193" t="s">
        <v>4</v>
      </c>
      <c r="G193">
        <v>2</v>
      </c>
      <c r="H193" s="4">
        <v>571.28</v>
      </c>
      <c r="I193" s="5">
        <v>0.1</v>
      </c>
      <c r="J193" s="4">
        <v>1028.3</v>
      </c>
      <c r="K193" s="4">
        <v>809.19</v>
      </c>
      <c r="L193" s="4">
        <v>219.11</v>
      </c>
    </row>
    <row r="194" spans="1:12" x14ac:dyDescent="0.35">
      <c r="A194" t="s">
        <v>230</v>
      </c>
      <c r="B194" s="3">
        <v>46013</v>
      </c>
      <c r="C194" t="s">
        <v>25</v>
      </c>
      <c r="D194" t="s">
        <v>31</v>
      </c>
      <c r="E194" t="s">
        <v>3</v>
      </c>
      <c r="F194" t="s">
        <v>4</v>
      </c>
      <c r="G194">
        <v>1</v>
      </c>
      <c r="H194" s="4">
        <v>909.94</v>
      </c>
      <c r="I194" s="5">
        <v>0.05</v>
      </c>
      <c r="J194" s="4">
        <v>864.44</v>
      </c>
      <c r="K194" s="4">
        <v>662.97</v>
      </c>
      <c r="L194" s="4">
        <v>201.47</v>
      </c>
    </row>
    <row r="195" spans="1:12" x14ac:dyDescent="0.35">
      <c r="A195" t="s">
        <v>231</v>
      </c>
      <c r="B195" s="3">
        <v>45808</v>
      </c>
      <c r="C195" t="s">
        <v>25</v>
      </c>
      <c r="D195" t="s">
        <v>31</v>
      </c>
      <c r="E195" t="s">
        <v>22</v>
      </c>
      <c r="F195" t="s">
        <v>23</v>
      </c>
      <c r="G195">
        <v>7</v>
      </c>
      <c r="H195" s="4">
        <v>233.65</v>
      </c>
      <c r="I195" s="5">
        <v>0.02</v>
      </c>
      <c r="J195" s="4">
        <v>1602.84</v>
      </c>
      <c r="K195" s="4">
        <v>958.35</v>
      </c>
      <c r="L195" s="4">
        <v>644.49</v>
      </c>
    </row>
    <row r="196" spans="1:12" x14ac:dyDescent="0.35">
      <c r="A196" t="s">
        <v>232</v>
      </c>
      <c r="B196" s="3">
        <v>45929</v>
      </c>
      <c r="C196" t="s">
        <v>14</v>
      </c>
      <c r="D196" t="s">
        <v>55</v>
      </c>
      <c r="E196" t="s">
        <v>32</v>
      </c>
      <c r="F196" t="s">
        <v>12</v>
      </c>
      <c r="G196">
        <v>3</v>
      </c>
      <c r="H196" s="4">
        <v>12.9</v>
      </c>
      <c r="I196" s="5">
        <v>0.02</v>
      </c>
      <c r="J196" s="4">
        <v>37.93</v>
      </c>
      <c r="K196" s="4">
        <v>29.12</v>
      </c>
      <c r="L196" s="4">
        <v>8.81</v>
      </c>
    </row>
    <row r="197" spans="1:12" x14ac:dyDescent="0.35">
      <c r="A197" t="s">
        <v>233</v>
      </c>
      <c r="B197" s="3">
        <v>45698</v>
      </c>
      <c r="C197" t="s">
        <v>14</v>
      </c>
      <c r="D197" t="s">
        <v>66</v>
      </c>
      <c r="E197" t="s">
        <v>32</v>
      </c>
      <c r="F197" t="s">
        <v>12</v>
      </c>
      <c r="G197">
        <v>4</v>
      </c>
      <c r="H197" s="4">
        <v>13.77</v>
      </c>
      <c r="I197" s="5">
        <v>0.1</v>
      </c>
      <c r="J197" s="4">
        <v>49.57</v>
      </c>
      <c r="K197" s="4">
        <v>32.79</v>
      </c>
      <c r="L197" s="4">
        <v>16.78</v>
      </c>
    </row>
    <row r="198" spans="1:12" x14ac:dyDescent="0.35">
      <c r="A198" t="s">
        <v>234</v>
      </c>
      <c r="B198" s="3">
        <v>45731</v>
      </c>
      <c r="C198" t="s">
        <v>18</v>
      </c>
      <c r="D198" t="s">
        <v>19</v>
      </c>
      <c r="E198" t="s">
        <v>38</v>
      </c>
      <c r="F198" t="s">
        <v>12</v>
      </c>
      <c r="G198">
        <v>5</v>
      </c>
      <c r="H198" s="4">
        <v>153.86000000000001</v>
      </c>
      <c r="I198" s="5">
        <v>0.1</v>
      </c>
      <c r="J198" s="4">
        <v>692.37</v>
      </c>
      <c r="K198" s="4">
        <v>525.95000000000005</v>
      </c>
      <c r="L198" s="4">
        <v>166.42</v>
      </c>
    </row>
    <row r="199" spans="1:12" x14ac:dyDescent="0.35">
      <c r="A199" t="s">
        <v>235</v>
      </c>
      <c r="B199" s="3">
        <v>45999</v>
      </c>
      <c r="C199" t="s">
        <v>1</v>
      </c>
      <c r="D199" t="s">
        <v>6</v>
      </c>
      <c r="E199" t="s">
        <v>38</v>
      </c>
      <c r="F199" t="s">
        <v>12</v>
      </c>
      <c r="G199">
        <v>5</v>
      </c>
      <c r="H199" s="4">
        <v>152.36000000000001</v>
      </c>
      <c r="I199" s="5">
        <v>0.2</v>
      </c>
      <c r="J199" s="4">
        <v>609.44000000000005</v>
      </c>
      <c r="K199" s="4">
        <v>488.35</v>
      </c>
      <c r="L199" s="4">
        <v>121.09</v>
      </c>
    </row>
    <row r="200" spans="1:12" x14ac:dyDescent="0.35">
      <c r="A200" t="s">
        <v>236</v>
      </c>
      <c r="B200" s="3">
        <v>45738</v>
      </c>
      <c r="C200" t="s">
        <v>1</v>
      </c>
      <c r="D200" t="s">
        <v>28</v>
      </c>
      <c r="E200" t="s">
        <v>38</v>
      </c>
      <c r="F200" t="s">
        <v>12</v>
      </c>
      <c r="G200">
        <v>6</v>
      </c>
      <c r="H200" s="4">
        <v>177.2</v>
      </c>
      <c r="I200" s="5">
        <v>0.15</v>
      </c>
      <c r="J200" s="4">
        <v>903.72</v>
      </c>
      <c r="K200" s="4">
        <v>601.72</v>
      </c>
      <c r="L200" s="4">
        <v>302</v>
      </c>
    </row>
    <row r="201" spans="1:12" x14ac:dyDescent="0.35">
      <c r="A201" t="s">
        <v>237</v>
      </c>
      <c r="B201" s="3">
        <v>45985</v>
      </c>
      <c r="C201" t="s">
        <v>14</v>
      </c>
      <c r="D201" t="s">
        <v>15</v>
      </c>
      <c r="E201" t="s">
        <v>20</v>
      </c>
      <c r="F201" t="s">
        <v>8</v>
      </c>
      <c r="G201">
        <v>5</v>
      </c>
      <c r="H201" s="4">
        <v>37.630000000000003</v>
      </c>
      <c r="I201" s="5">
        <v>0.1</v>
      </c>
      <c r="J201" s="4">
        <v>169.34</v>
      </c>
      <c r="K201" s="4">
        <v>127.64</v>
      </c>
      <c r="L201" s="4">
        <v>41.7</v>
      </c>
    </row>
    <row r="202" spans="1:12" x14ac:dyDescent="0.35">
      <c r="A202" t="s">
        <v>238</v>
      </c>
      <c r="B202" s="3">
        <v>45759</v>
      </c>
      <c r="C202" t="s">
        <v>14</v>
      </c>
      <c r="D202" t="s">
        <v>15</v>
      </c>
      <c r="E202" t="s">
        <v>38</v>
      </c>
      <c r="F202" t="s">
        <v>12</v>
      </c>
      <c r="G202">
        <v>2</v>
      </c>
      <c r="H202" s="4">
        <v>140.94999999999999</v>
      </c>
      <c r="I202" s="5">
        <v>0.02</v>
      </c>
      <c r="J202" s="4">
        <v>276.26</v>
      </c>
      <c r="K202" s="4">
        <v>219.26</v>
      </c>
      <c r="L202" s="4">
        <v>57</v>
      </c>
    </row>
    <row r="203" spans="1:12" x14ac:dyDescent="0.35">
      <c r="A203" t="s">
        <v>239</v>
      </c>
      <c r="B203" s="3">
        <v>45950</v>
      </c>
      <c r="C203" t="s">
        <v>25</v>
      </c>
      <c r="D203" t="s">
        <v>37</v>
      </c>
      <c r="E203" t="s">
        <v>32</v>
      </c>
      <c r="F203" t="s">
        <v>12</v>
      </c>
      <c r="G203">
        <v>5</v>
      </c>
      <c r="H203" s="4">
        <v>12.02</v>
      </c>
      <c r="I203" s="5">
        <v>0.2</v>
      </c>
      <c r="J203" s="4">
        <v>48.08</v>
      </c>
      <c r="K203" s="4">
        <v>37.17</v>
      </c>
      <c r="L203" s="4">
        <v>10.91</v>
      </c>
    </row>
    <row r="204" spans="1:12" x14ac:dyDescent="0.35">
      <c r="A204" t="s">
        <v>240</v>
      </c>
      <c r="B204" s="3">
        <v>45669</v>
      </c>
      <c r="C204" t="s">
        <v>14</v>
      </c>
      <c r="D204" t="s">
        <v>66</v>
      </c>
      <c r="E204" t="s">
        <v>35</v>
      </c>
      <c r="F204" t="s">
        <v>23</v>
      </c>
      <c r="G204">
        <v>1</v>
      </c>
      <c r="H204" s="4">
        <v>170.28</v>
      </c>
      <c r="I204" s="5">
        <v>0.15</v>
      </c>
      <c r="J204" s="4">
        <v>144.74</v>
      </c>
      <c r="K204" s="4">
        <v>114.6</v>
      </c>
      <c r="L204" s="4">
        <v>30.14</v>
      </c>
    </row>
    <row r="205" spans="1:12" x14ac:dyDescent="0.35">
      <c r="A205" t="s">
        <v>241</v>
      </c>
      <c r="B205" s="3">
        <v>45683</v>
      </c>
      <c r="C205" t="s">
        <v>14</v>
      </c>
      <c r="D205" t="s">
        <v>15</v>
      </c>
      <c r="E205" t="s">
        <v>35</v>
      </c>
      <c r="F205" t="s">
        <v>23</v>
      </c>
      <c r="G205">
        <v>4</v>
      </c>
      <c r="H205" s="4">
        <v>174.02</v>
      </c>
      <c r="I205" s="5">
        <v>0.15</v>
      </c>
      <c r="J205" s="4">
        <v>591.66999999999996</v>
      </c>
      <c r="K205" s="4">
        <v>327.14999999999998</v>
      </c>
      <c r="L205" s="4">
        <v>264.52</v>
      </c>
    </row>
    <row r="206" spans="1:12" x14ac:dyDescent="0.35">
      <c r="A206" t="s">
        <v>242</v>
      </c>
      <c r="B206" s="3">
        <v>45770</v>
      </c>
      <c r="C206" t="s">
        <v>18</v>
      </c>
      <c r="D206" t="s">
        <v>40</v>
      </c>
      <c r="E206" t="s">
        <v>32</v>
      </c>
      <c r="F206" t="s">
        <v>12</v>
      </c>
      <c r="G206">
        <v>5</v>
      </c>
      <c r="H206" s="4">
        <v>13.46</v>
      </c>
      <c r="I206" s="5">
        <v>0.2</v>
      </c>
      <c r="J206" s="4">
        <v>53.84</v>
      </c>
      <c r="K206" s="4">
        <v>30.94</v>
      </c>
      <c r="L206" s="4">
        <v>22.9</v>
      </c>
    </row>
    <row r="207" spans="1:12" x14ac:dyDescent="0.35">
      <c r="A207" t="s">
        <v>243</v>
      </c>
      <c r="B207" s="3">
        <v>45995</v>
      </c>
      <c r="C207" t="s">
        <v>18</v>
      </c>
      <c r="D207" t="s">
        <v>40</v>
      </c>
      <c r="E207" t="s">
        <v>7</v>
      </c>
      <c r="F207" t="s">
        <v>8</v>
      </c>
      <c r="G207">
        <v>2</v>
      </c>
      <c r="H207" s="4">
        <v>42.56</v>
      </c>
      <c r="I207" s="5">
        <v>0.2</v>
      </c>
      <c r="J207" s="4">
        <v>68.099999999999994</v>
      </c>
      <c r="K207" s="4">
        <v>54.92</v>
      </c>
      <c r="L207" s="4">
        <v>13.18</v>
      </c>
    </row>
    <row r="208" spans="1:12" x14ac:dyDescent="0.35">
      <c r="A208" t="s">
        <v>244</v>
      </c>
      <c r="B208" s="3">
        <v>45678</v>
      </c>
      <c r="C208" t="s">
        <v>25</v>
      </c>
      <c r="D208" t="s">
        <v>37</v>
      </c>
      <c r="E208" t="s">
        <v>38</v>
      </c>
      <c r="F208" t="s">
        <v>12</v>
      </c>
      <c r="G208">
        <v>1</v>
      </c>
      <c r="H208" s="4">
        <v>181.63</v>
      </c>
      <c r="I208" s="5">
        <v>0.15</v>
      </c>
      <c r="J208" s="4">
        <v>154.38999999999999</v>
      </c>
      <c r="K208" s="4">
        <v>108.82</v>
      </c>
      <c r="L208" s="4">
        <v>45.57</v>
      </c>
    </row>
    <row r="209" spans="1:12" x14ac:dyDescent="0.35">
      <c r="A209" t="s">
        <v>245</v>
      </c>
      <c r="B209" s="3">
        <v>45725</v>
      </c>
      <c r="C209" t="s">
        <v>1</v>
      </c>
      <c r="D209" t="s">
        <v>28</v>
      </c>
      <c r="E209" t="s">
        <v>35</v>
      </c>
      <c r="F209" t="s">
        <v>23</v>
      </c>
      <c r="G209">
        <v>6</v>
      </c>
      <c r="H209" s="4">
        <v>187.12</v>
      </c>
      <c r="I209" s="5">
        <v>0.2</v>
      </c>
      <c r="J209" s="4">
        <v>898.18</v>
      </c>
      <c r="K209" s="4">
        <v>602.75</v>
      </c>
      <c r="L209" s="4">
        <v>295.43</v>
      </c>
    </row>
    <row r="210" spans="1:12" x14ac:dyDescent="0.35">
      <c r="A210" t="s">
        <v>246</v>
      </c>
      <c r="B210" s="3">
        <v>45747</v>
      </c>
      <c r="C210" t="s">
        <v>18</v>
      </c>
      <c r="D210" t="s">
        <v>40</v>
      </c>
      <c r="E210" t="s">
        <v>61</v>
      </c>
      <c r="F210" t="s">
        <v>4</v>
      </c>
      <c r="G210">
        <v>9</v>
      </c>
      <c r="H210" s="4">
        <v>75.040000000000006</v>
      </c>
      <c r="I210" s="5">
        <v>0.05</v>
      </c>
      <c r="J210" s="4">
        <v>641.59</v>
      </c>
      <c r="K210" s="4">
        <v>409.81</v>
      </c>
      <c r="L210" s="4">
        <v>231.78</v>
      </c>
    </row>
    <row r="211" spans="1:12" x14ac:dyDescent="0.35">
      <c r="A211" t="s">
        <v>247</v>
      </c>
      <c r="B211" s="3">
        <v>45914</v>
      </c>
      <c r="C211" t="s">
        <v>25</v>
      </c>
      <c r="D211" t="s">
        <v>37</v>
      </c>
      <c r="E211" t="s">
        <v>61</v>
      </c>
      <c r="F211" t="s">
        <v>4</v>
      </c>
      <c r="G211">
        <v>5</v>
      </c>
      <c r="H211" s="4">
        <v>84.14</v>
      </c>
      <c r="I211" s="5">
        <v>0.1</v>
      </c>
      <c r="J211" s="4">
        <v>378.63</v>
      </c>
      <c r="K211" s="4">
        <v>285.16000000000003</v>
      </c>
      <c r="L211" s="4">
        <v>93.47</v>
      </c>
    </row>
    <row r="212" spans="1:12" x14ac:dyDescent="0.35">
      <c r="A212" t="s">
        <v>248</v>
      </c>
      <c r="B212" s="3">
        <v>45831</v>
      </c>
      <c r="C212" t="s">
        <v>1</v>
      </c>
      <c r="D212" t="s">
        <v>2</v>
      </c>
      <c r="E212" t="s">
        <v>38</v>
      </c>
      <c r="F212" t="s">
        <v>12</v>
      </c>
      <c r="G212">
        <v>2</v>
      </c>
      <c r="H212" s="4">
        <v>174</v>
      </c>
      <c r="I212" s="5">
        <v>0.02</v>
      </c>
      <c r="J212" s="4">
        <v>341.04</v>
      </c>
      <c r="K212" s="4">
        <v>260.27999999999997</v>
      </c>
      <c r="L212" s="4">
        <v>80.760000000000005</v>
      </c>
    </row>
    <row r="213" spans="1:12" x14ac:dyDescent="0.35">
      <c r="A213" t="s">
        <v>249</v>
      </c>
      <c r="B213" s="3">
        <v>46004</v>
      </c>
      <c r="C213" t="s">
        <v>14</v>
      </c>
      <c r="D213" t="s">
        <v>15</v>
      </c>
      <c r="E213" t="s">
        <v>11</v>
      </c>
      <c r="F213" t="s">
        <v>12</v>
      </c>
      <c r="G213">
        <v>6</v>
      </c>
      <c r="H213" s="4">
        <v>7.02</v>
      </c>
      <c r="I213" s="5">
        <v>0</v>
      </c>
      <c r="J213" s="4">
        <v>42.12</v>
      </c>
      <c r="K213" s="4">
        <v>28.79</v>
      </c>
      <c r="L213" s="4">
        <v>13.33</v>
      </c>
    </row>
    <row r="214" spans="1:12" x14ac:dyDescent="0.35">
      <c r="A214" t="s">
        <v>250</v>
      </c>
      <c r="B214" s="3">
        <v>45665</v>
      </c>
      <c r="C214" t="s">
        <v>25</v>
      </c>
      <c r="D214" t="s">
        <v>37</v>
      </c>
      <c r="E214" t="s">
        <v>11</v>
      </c>
      <c r="F214" t="s">
        <v>12</v>
      </c>
      <c r="G214">
        <v>2</v>
      </c>
      <c r="H214" s="4">
        <v>6.94</v>
      </c>
      <c r="I214" s="5">
        <v>0.1</v>
      </c>
      <c r="J214" s="4">
        <v>12.49</v>
      </c>
      <c r="K214" s="4">
        <v>8.7200000000000006</v>
      </c>
      <c r="L214" s="4">
        <v>3.77</v>
      </c>
    </row>
    <row r="215" spans="1:12" x14ac:dyDescent="0.35">
      <c r="A215" t="s">
        <v>251</v>
      </c>
      <c r="B215" s="3">
        <v>46002</v>
      </c>
      <c r="C215" t="s">
        <v>25</v>
      </c>
      <c r="D215" t="s">
        <v>37</v>
      </c>
      <c r="E215" t="s">
        <v>32</v>
      </c>
      <c r="F215" t="s">
        <v>12</v>
      </c>
      <c r="G215">
        <v>7</v>
      </c>
      <c r="H215" s="4">
        <v>11.79</v>
      </c>
      <c r="I215" s="5">
        <v>0.2</v>
      </c>
      <c r="J215" s="4">
        <v>66.02</v>
      </c>
      <c r="K215" s="4">
        <v>52.13</v>
      </c>
      <c r="L215" s="4">
        <v>13.89</v>
      </c>
    </row>
    <row r="216" spans="1:12" x14ac:dyDescent="0.35">
      <c r="A216" t="s">
        <v>252</v>
      </c>
      <c r="B216" s="3">
        <v>45713</v>
      </c>
      <c r="C216" t="s">
        <v>18</v>
      </c>
      <c r="D216" t="s">
        <v>40</v>
      </c>
      <c r="E216" t="s">
        <v>38</v>
      </c>
      <c r="F216" t="s">
        <v>12</v>
      </c>
      <c r="G216">
        <v>1</v>
      </c>
      <c r="H216" s="4">
        <v>152.84</v>
      </c>
      <c r="I216" s="5">
        <v>0.15</v>
      </c>
      <c r="J216" s="4">
        <v>129.91</v>
      </c>
      <c r="K216" s="4">
        <v>75.56</v>
      </c>
      <c r="L216" s="4">
        <v>54.35</v>
      </c>
    </row>
    <row r="217" spans="1:12" x14ac:dyDescent="0.35">
      <c r="A217" t="s">
        <v>253</v>
      </c>
      <c r="B217" s="3">
        <v>45825</v>
      </c>
      <c r="C217" t="s">
        <v>18</v>
      </c>
      <c r="D217" t="s">
        <v>19</v>
      </c>
      <c r="E217" t="s">
        <v>7</v>
      </c>
      <c r="F217" t="s">
        <v>8</v>
      </c>
      <c r="G217">
        <v>2</v>
      </c>
      <c r="H217" s="4">
        <v>40.18</v>
      </c>
      <c r="I217" s="5">
        <v>0.2</v>
      </c>
      <c r="J217" s="4">
        <v>64.290000000000006</v>
      </c>
      <c r="K217" s="4">
        <v>48.58</v>
      </c>
      <c r="L217" s="4">
        <v>15.71</v>
      </c>
    </row>
    <row r="218" spans="1:12" x14ac:dyDescent="0.35">
      <c r="A218" t="s">
        <v>254</v>
      </c>
      <c r="B218" s="3">
        <v>46016</v>
      </c>
      <c r="C218" t="s">
        <v>25</v>
      </c>
      <c r="D218" t="s">
        <v>31</v>
      </c>
      <c r="E218" t="s">
        <v>7</v>
      </c>
      <c r="F218" t="s">
        <v>8</v>
      </c>
      <c r="G218">
        <v>7</v>
      </c>
      <c r="H218" s="4">
        <v>46.6</v>
      </c>
      <c r="I218" s="5">
        <v>0</v>
      </c>
      <c r="J218" s="4">
        <v>326.2</v>
      </c>
      <c r="K218" s="4">
        <v>188.32</v>
      </c>
      <c r="L218" s="4">
        <v>137.88</v>
      </c>
    </row>
    <row r="219" spans="1:12" x14ac:dyDescent="0.35">
      <c r="A219" t="s">
        <v>255</v>
      </c>
      <c r="B219" s="3">
        <v>45681</v>
      </c>
      <c r="C219" t="s">
        <v>1</v>
      </c>
      <c r="D219" t="s">
        <v>2</v>
      </c>
      <c r="E219" t="s">
        <v>35</v>
      </c>
      <c r="F219" t="s">
        <v>23</v>
      </c>
      <c r="G219">
        <v>8</v>
      </c>
      <c r="H219" s="4">
        <v>157.54</v>
      </c>
      <c r="I219" s="5">
        <v>0</v>
      </c>
      <c r="J219" s="4">
        <v>1260.32</v>
      </c>
      <c r="K219" s="4">
        <v>931.71</v>
      </c>
      <c r="L219" s="4">
        <v>328.61</v>
      </c>
    </row>
    <row r="220" spans="1:12" x14ac:dyDescent="0.35">
      <c r="A220" t="s">
        <v>256</v>
      </c>
      <c r="B220" s="3">
        <v>45778</v>
      </c>
      <c r="C220" t="s">
        <v>18</v>
      </c>
      <c r="D220" t="s">
        <v>40</v>
      </c>
      <c r="E220" t="s">
        <v>29</v>
      </c>
      <c r="F220" t="s">
        <v>23</v>
      </c>
      <c r="G220">
        <v>8</v>
      </c>
      <c r="H220" s="4">
        <v>122.06</v>
      </c>
      <c r="I220" s="5">
        <v>0.05</v>
      </c>
      <c r="J220" s="4">
        <v>927.66</v>
      </c>
      <c r="K220" s="4">
        <v>716.06</v>
      </c>
      <c r="L220" s="4">
        <v>211.6</v>
      </c>
    </row>
    <row r="221" spans="1:12" x14ac:dyDescent="0.35">
      <c r="A221" t="s">
        <v>257</v>
      </c>
      <c r="B221" s="3">
        <v>46014</v>
      </c>
      <c r="C221" t="s">
        <v>14</v>
      </c>
      <c r="D221" t="s">
        <v>66</v>
      </c>
      <c r="E221" t="s">
        <v>32</v>
      </c>
      <c r="F221" t="s">
        <v>12</v>
      </c>
      <c r="G221">
        <v>3</v>
      </c>
      <c r="H221" s="4">
        <v>12.74</v>
      </c>
      <c r="I221" s="5">
        <v>0.1</v>
      </c>
      <c r="J221" s="4">
        <v>34.4</v>
      </c>
      <c r="K221" s="4">
        <v>19.68</v>
      </c>
      <c r="L221" s="4">
        <v>14.72</v>
      </c>
    </row>
    <row r="222" spans="1:12" x14ac:dyDescent="0.35">
      <c r="A222" t="s">
        <v>258</v>
      </c>
      <c r="B222" s="3">
        <v>45708</v>
      </c>
      <c r="C222" t="s">
        <v>14</v>
      </c>
      <c r="D222" t="s">
        <v>55</v>
      </c>
      <c r="E222" t="s">
        <v>32</v>
      </c>
      <c r="F222" t="s">
        <v>12</v>
      </c>
      <c r="G222">
        <v>7</v>
      </c>
      <c r="H222" s="4">
        <v>10.51</v>
      </c>
      <c r="I222" s="5">
        <v>0.05</v>
      </c>
      <c r="J222" s="4">
        <v>69.89</v>
      </c>
      <c r="K222" s="4">
        <v>57.06</v>
      </c>
      <c r="L222" s="4">
        <v>12.83</v>
      </c>
    </row>
    <row r="223" spans="1:12" x14ac:dyDescent="0.35">
      <c r="A223" t="s">
        <v>259</v>
      </c>
      <c r="B223" s="3">
        <v>46011</v>
      </c>
      <c r="C223" t="s">
        <v>25</v>
      </c>
      <c r="D223" t="s">
        <v>31</v>
      </c>
      <c r="E223" t="s">
        <v>16</v>
      </c>
      <c r="F223" t="s">
        <v>4</v>
      </c>
      <c r="G223">
        <v>8</v>
      </c>
      <c r="H223" s="4">
        <v>211.7</v>
      </c>
      <c r="I223" s="5">
        <v>0.1</v>
      </c>
      <c r="J223" s="4"/>
      <c r="K223" s="4">
        <v>990.87</v>
      </c>
      <c r="L223" s="4">
        <v>533.37</v>
      </c>
    </row>
    <row r="224" spans="1:12" x14ac:dyDescent="0.35">
      <c r="A224" t="s">
        <v>260</v>
      </c>
      <c r="B224" s="3">
        <v>45843</v>
      </c>
      <c r="C224" t="s">
        <v>1</v>
      </c>
      <c r="D224" t="s">
        <v>6</v>
      </c>
      <c r="E224" t="s">
        <v>7</v>
      </c>
      <c r="F224" t="s">
        <v>8</v>
      </c>
      <c r="G224">
        <v>6</v>
      </c>
      <c r="H224" s="4">
        <v>49.22</v>
      </c>
      <c r="I224" s="5">
        <v>0.15</v>
      </c>
      <c r="J224" s="4">
        <v>251.02</v>
      </c>
      <c r="K224" s="4">
        <v>202.26</v>
      </c>
      <c r="L224" s="4">
        <v>48.76</v>
      </c>
    </row>
    <row r="225" spans="1:12" x14ac:dyDescent="0.35">
      <c r="A225" t="s">
        <v>261</v>
      </c>
      <c r="B225" s="3">
        <v>45841</v>
      </c>
      <c r="C225" t="s">
        <v>1</v>
      </c>
      <c r="D225" t="s">
        <v>2</v>
      </c>
      <c r="E225" t="s">
        <v>29</v>
      </c>
      <c r="F225" t="s">
        <v>23</v>
      </c>
      <c r="G225">
        <v>5</v>
      </c>
      <c r="H225" s="4">
        <v>160.41</v>
      </c>
      <c r="I225" s="5">
        <v>0.02</v>
      </c>
      <c r="J225" s="4">
        <v>786.01</v>
      </c>
      <c r="K225" s="4">
        <v>592.19000000000005</v>
      </c>
      <c r="L225" s="4">
        <v>193.82</v>
      </c>
    </row>
    <row r="226" spans="1:12" x14ac:dyDescent="0.35">
      <c r="A226" t="s">
        <v>262</v>
      </c>
      <c r="B226" s="3">
        <v>45890</v>
      </c>
      <c r="C226" t="s">
        <v>1</v>
      </c>
      <c r="D226" t="s">
        <v>6</v>
      </c>
      <c r="E226" t="s">
        <v>7</v>
      </c>
      <c r="F226" t="s">
        <v>8</v>
      </c>
      <c r="G226">
        <v>4</v>
      </c>
      <c r="H226" s="4">
        <v>43.33</v>
      </c>
      <c r="I226" s="5">
        <v>0.2</v>
      </c>
      <c r="J226" s="4">
        <v>138.66</v>
      </c>
      <c r="K226" s="4">
        <v>79.39</v>
      </c>
      <c r="L226" s="4">
        <v>59.27</v>
      </c>
    </row>
    <row r="227" spans="1:12" x14ac:dyDescent="0.35">
      <c r="A227" t="s">
        <v>263</v>
      </c>
      <c r="B227" s="3">
        <v>45963</v>
      </c>
      <c r="C227" t="s">
        <v>1</v>
      </c>
      <c r="D227" t="s">
        <v>2</v>
      </c>
      <c r="E227" t="s">
        <v>3</v>
      </c>
      <c r="F227" t="s">
        <v>4</v>
      </c>
      <c r="G227">
        <v>6</v>
      </c>
      <c r="H227" s="4">
        <v>920.67</v>
      </c>
      <c r="I227" s="5">
        <v>0.02</v>
      </c>
      <c r="J227" s="4">
        <v>5413.54</v>
      </c>
      <c r="K227" s="4">
        <v>3793.64</v>
      </c>
      <c r="L227" s="4">
        <v>1619.9</v>
      </c>
    </row>
    <row r="228" spans="1:12" x14ac:dyDescent="0.35">
      <c r="A228" t="s">
        <v>264</v>
      </c>
      <c r="B228" s="3">
        <v>45947</v>
      </c>
      <c r="C228" t="s">
        <v>18</v>
      </c>
      <c r="D228" t="s">
        <v>40</v>
      </c>
      <c r="E228" t="s">
        <v>52</v>
      </c>
      <c r="F228" t="s">
        <v>4</v>
      </c>
      <c r="G228">
        <v>9</v>
      </c>
      <c r="H228" s="4">
        <v>537.5</v>
      </c>
      <c r="I228" s="5">
        <v>0.02</v>
      </c>
      <c r="J228" s="4">
        <v>4740.75</v>
      </c>
      <c r="K228" s="4">
        <v>3767.55</v>
      </c>
      <c r="L228" s="4">
        <v>973.2</v>
      </c>
    </row>
    <row r="229" spans="1:12" x14ac:dyDescent="0.35">
      <c r="A229" t="s">
        <v>265</v>
      </c>
      <c r="B229" s="3">
        <v>45768</v>
      </c>
      <c r="C229" t="s">
        <v>18</v>
      </c>
      <c r="D229" t="s">
        <v>34</v>
      </c>
      <c r="E229" t="s">
        <v>22</v>
      </c>
      <c r="F229" t="s">
        <v>23</v>
      </c>
      <c r="G229">
        <v>3</v>
      </c>
      <c r="H229" s="4">
        <v>220.84</v>
      </c>
      <c r="I229" s="5">
        <v>0.15</v>
      </c>
      <c r="J229" s="4">
        <v>563.14</v>
      </c>
      <c r="K229" s="4">
        <v>384.63</v>
      </c>
      <c r="L229" s="4">
        <v>178.51</v>
      </c>
    </row>
    <row r="230" spans="1:12" x14ac:dyDescent="0.35">
      <c r="A230" t="s">
        <v>266</v>
      </c>
      <c r="B230" s="3">
        <v>45799</v>
      </c>
      <c r="C230" t="s">
        <v>18</v>
      </c>
      <c r="D230" t="s">
        <v>34</v>
      </c>
      <c r="E230" t="s">
        <v>61</v>
      </c>
      <c r="F230" t="s">
        <v>4</v>
      </c>
      <c r="G230">
        <v>9</v>
      </c>
      <c r="H230" s="4">
        <v>68.27</v>
      </c>
      <c r="I230" s="5">
        <v>0.05</v>
      </c>
      <c r="J230" s="4">
        <v>583.71</v>
      </c>
      <c r="K230" s="4">
        <v>394.9</v>
      </c>
      <c r="L230" s="4">
        <v>188.81</v>
      </c>
    </row>
    <row r="231" spans="1:12" x14ac:dyDescent="0.35">
      <c r="A231" t="s">
        <v>267</v>
      </c>
      <c r="B231" s="3">
        <v>45714</v>
      </c>
      <c r="C231" t="s">
        <v>1</v>
      </c>
      <c r="D231" t="s">
        <v>2</v>
      </c>
      <c r="E231" t="s">
        <v>61</v>
      </c>
      <c r="F231" t="s">
        <v>4</v>
      </c>
      <c r="G231">
        <v>1</v>
      </c>
      <c r="H231" s="4">
        <v>69.349999999999994</v>
      </c>
      <c r="I231" s="5">
        <v>0.05</v>
      </c>
      <c r="J231" s="4">
        <v>65.88</v>
      </c>
      <c r="K231" s="4">
        <v>38.35</v>
      </c>
      <c r="L231" s="4">
        <v>27.53</v>
      </c>
    </row>
    <row r="232" spans="1:12" x14ac:dyDescent="0.35">
      <c r="A232" t="s">
        <v>268</v>
      </c>
      <c r="B232" s="3">
        <v>45959</v>
      </c>
      <c r="C232" t="s">
        <v>25</v>
      </c>
      <c r="D232" t="s">
        <v>31</v>
      </c>
      <c r="E232" t="s">
        <v>3</v>
      </c>
      <c r="F232" t="s">
        <v>4</v>
      </c>
      <c r="G232">
        <v>3</v>
      </c>
      <c r="H232" s="4">
        <v>752.47</v>
      </c>
      <c r="I232" s="5">
        <v>0.05</v>
      </c>
      <c r="J232" s="4">
        <v>2144.54</v>
      </c>
      <c r="K232" s="4">
        <v>1555.41</v>
      </c>
      <c r="L232" s="4">
        <v>589.13</v>
      </c>
    </row>
    <row r="233" spans="1:12" x14ac:dyDescent="0.35">
      <c r="A233" t="s">
        <v>269</v>
      </c>
      <c r="B233" s="3">
        <v>45722</v>
      </c>
      <c r="C233" t="s">
        <v>14</v>
      </c>
      <c r="D233" t="s">
        <v>55</v>
      </c>
      <c r="E233" t="s">
        <v>11</v>
      </c>
      <c r="F233" t="s">
        <v>12</v>
      </c>
      <c r="G233">
        <v>2</v>
      </c>
      <c r="H233" s="4">
        <v>8.59</v>
      </c>
      <c r="I233" s="5">
        <v>0.2</v>
      </c>
      <c r="J233" s="4">
        <v>13.74</v>
      </c>
      <c r="K233" s="4">
        <v>9.7200000000000006</v>
      </c>
      <c r="L233" s="4">
        <v>4.0199999999999996</v>
      </c>
    </row>
    <row r="234" spans="1:12" x14ac:dyDescent="0.35">
      <c r="A234" t="s">
        <v>270</v>
      </c>
      <c r="B234" s="3">
        <v>45901</v>
      </c>
      <c r="C234" t="s">
        <v>14</v>
      </c>
      <c r="D234" t="s">
        <v>55</v>
      </c>
      <c r="E234" t="s">
        <v>22</v>
      </c>
      <c r="F234" t="s">
        <v>23</v>
      </c>
      <c r="G234">
        <v>9</v>
      </c>
      <c r="H234" s="4">
        <v>284.66000000000003</v>
      </c>
      <c r="I234" s="5">
        <v>0.15</v>
      </c>
      <c r="J234" s="4">
        <v>2177.65</v>
      </c>
      <c r="K234" s="4">
        <v>1418.12</v>
      </c>
      <c r="L234" s="4">
        <v>759.53</v>
      </c>
    </row>
    <row r="235" spans="1:12" x14ac:dyDescent="0.35">
      <c r="A235" t="s">
        <v>271</v>
      </c>
      <c r="B235" s="3">
        <v>45889</v>
      </c>
      <c r="C235" t="s">
        <v>18</v>
      </c>
      <c r="D235" t="s">
        <v>40</v>
      </c>
      <c r="E235" t="s">
        <v>32</v>
      </c>
      <c r="F235" t="s">
        <v>12</v>
      </c>
      <c r="G235">
        <v>1</v>
      </c>
      <c r="H235" s="4">
        <v>11.23</v>
      </c>
      <c r="I235" s="5">
        <v>0.2</v>
      </c>
      <c r="J235" s="4">
        <v>8.98</v>
      </c>
      <c r="K235" s="4">
        <v>7.05</v>
      </c>
      <c r="L235" s="4">
        <v>1.93</v>
      </c>
    </row>
    <row r="236" spans="1:12" x14ac:dyDescent="0.35">
      <c r="A236" t="s">
        <v>272</v>
      </c>
      <c r="B236" s="3">
        <v>45924</v>
      </c>
      <c r="C236" t="s">
        <v>25</v>
      </c>
      <c r="D236" t="s">
        <v>37</v>
      </c>
      <c r="E236" t="s">
        <v>38</v>
      </c>
      <c r="F236" t="s">
        <v>12</v>
      </c>
      <c r="G236">
        <v>1</v>
      </c>
      <c r="H236" s="4">
        <v>146.72999999999999</v>
      </c>
      <c r="I236" s="5">
        <v>0</v>
      </c>
      <c r="J236" s="4">
        <v>146.72999999999999</v>
      </c>
      <c r="K236" s="4">
        <v>118.86</v>
      </c>
      <c r="L236" s="4">
        <v>27.87</v>
      </c>
    </row>
    <row r="237" spans="1:12" x14ac:dyDescent="0.35">
      <c r="A237" t="s">
        <v>273</v>
      </c>
      <c r="B237" s="3">
        <v>45863</v>
      </c>
      <c r="C237" t="s">
        <v>14</v>
      </c>
      <c r="D237" t="s">
        <v>66</v>
      </c>
      <c r="E237" t="s">
        <v>7</v>
      </c>
      <c r="F237" t="s">
        <v>8</v>
      </c>
      <c r="G237">
        <v>2</v>
      </c>
      <c r="H237" s="4">
        <v>38.409999999999997</v>
      </c>
      <c r="I237" s="5">
        <v>0.1</v>
      </c>
      <c r="J237" s="4">
        <v>69.14</v>
      </c>
      <c r="K237" s="4">
        <v>56.13</v>
      </c>
      <c r="L237" s="4">
        <v>13.01</v>
      </c>
    </row>
    <row r="238" spans="1:12" x14ac:dyDescent="0.35">
      <c r="A238" t="s">
        <v>274</v>
      </c>
      <c r="B238" s="3">
        <v>45885</v>
      </c>
      <c r="C238" t="s">
        <v>1</v>
      </c>
      <c r="D238" t="s">
        <v>2</v>
      </c>
      <c r="E238" t="s">
        <v>52</v>
      </c>
      <c r="F238" t="s">
        <v>4</v>
      </c>
      <c r="G238">
        <v>6</v>
      </c>
      <c r="H238" s="4">
        <v>474.62</v>
      </c>
      <c r="I238" s="5">
        <v>0.15</v>
      </c>
      <c r="J238" s="4">
        <v>2420.56</v>
      </c>
      <c r="K238" s="4">
        <v>1913.72</v>
      </c>
      <c r="L238" s="4">
        <v>506.84</v>
      </c>
    </row>
    <row r="239" spans="1:12" x14ac:dyDescent="0.35">
      <c r="A239" t="s">
        <v>275</v>
      </c>
      <c r="B239" s="3">
        <v>45691</v>
      </c>
      <c r="C239" t="s">
        <v>18</v>
      </c>
      <c r="D239" t="s">
        <v>40</v>
      </c>
      <c r="E239" t="s">
        <v>35</v>
      </c>
      <c r="F239" t="s">
        <v>23</v>
      </c>
      <c r="G239">
        <v>10</v>
      </c>
      <c r="H239" s="4">
        <v>181.5</v>
      </c>
      <c r="I239" s="5">
        <v>0.2</v>
      </c>
      <c r="J239" s="4">
        <v>1452</v>
      </c>
      <c r="K239" s="4">
        <v>1187.8800000000001</v>
      </c>
      <c r="L239" s="4">
        <v>264.12</v>
      </c>
    </row>
    <row r="240" spans="1:12" x14ac:dyDescent="0.35">
      <c r="A240" t="s">
        <v>276</v>
      </c>
      <c r="B240" s="3">
        <v>45938</v>
      </c>
      <c r="C240" t="s">
        <v>25</v>
      </c>
      <c r="D240" t="s">
        <v>37</v>
      </c>
      <c r="E240" t="s">
        <v>29</v>
      </c>
      <c r="F240" t="s">
        <v>23</v>
      </c>
      <c r="G240">
        <v>10</v>
      </c>
      <c r="H240" s="4">
        <v>122.1</v>
      </c>
      <c r="I240" s="5">
        <v>0.15</v>
      </c>
      <c r="J240" s="4">
        <v>1037.8499999999999</v>
      </c>
      <c r="K240" s="4">
        <v>726.02</v>
      </c>
      <c r="L240" s="4">
        <v>311.83</v>
      </c>
    </row>
    <row r="241" spans="1:12" x14ac:dyDescent="0.35">
      <c r="A241" t="s">
        <v>277</v>
      </c>
      <c r="B241" s="3">
        <v>45890</v>
      </c>
      <c r="C241" t="s">
        <v>14</v>
      </c>
      <c r="D241" t="s">
        <v>66</v>
      </c>
      <c r="E241" t="s">
        <v>52</v>
      </c>
      <c r="F241" t="s">
        <v>4</v>
      </c>
      <c r="G241">
        <v>2</v>
      </c>
      <c r="H241" s="4">
        <v>627.42999999999995</v>
      </c>
      <c r="I241" s="5">
        <v>0.2</v>
      </c>
      <c r="J241" s="4">
        <v>1003.89</v>
      </c>
      <c r="K241" s="4">
        <v>693.93</v>
      </c>
      <c r="L241" s="4">
        <v>309.95999999999998</v>
      </c>
    </row>
    <row r="242" spans="1:12" x14ac:dyDescent="0.35">
      <c r="A242" t="s">
        <v>278</v>
      </c>
      <c r="B242" s="3">
        <v>45940</v>
      </c>
      <c r="C242" t="s">
        <v>18</v>
      </c>
      <c r="D242" t="s">
        <v>19</v>
      </c>
      <c r="E242" t="s">
        <v>29</v>
      </c>
      <c r="F242" t="s">
        <v>23</v>
      </c>
      <c r="G242">
        <v>8</v>
      </c>
      <c r="H242" s="4">
        <v>145.43</v>
      </c>
      <c r="I242" s="5">
        <v>0.02</v>
      </c>
      <c r="J242" s="4">
        <v>1140.17</v>
      </c>
      <c r="K242" s="4">
        <v>841.28</v>
      </c>
      <c r="L242" s="4">
        <v>298.89</v>
      </c>
    </row>
    <row r="243" spans="1:12" x14ac:dyDescent="0.35">
      <c r="A243" t="s">
        <v>279</v>
      </c>
      <c r="B243" s="3">
        <v>45831</v>
      </c>
      <c r="C243" t="s">
        <v>14</v>
      </c>
      <c r="D243" t="s">
        <v>55</v>
      </c>
      <c r="E243" t="s">
        <v>29</v>
      </c>
      <c r="F243" t="s">
        <v>23</v>
      </c>
      <c r="G243">
        <v>7</v>
      </c>
      <c r="H243" s="4">
        <v>138.09</v>
      </c>
      <c r="I243" s="5">
        <v>0.2</v>
      </c>
      <c r="J243" s="4">
        <v>773.3</v>
      </c>
      <c r="K243" s="4">
        <v>556.34</v>
      </c>
      <c r="L243" s="4">
        <v>216.96</v>
      </c>
    </row>
    <row r="244" spans="1:12" x14ac:dyDescent="0.35">
      <c r="A244" t="s">
        <v>280</v>
      </c>
      <c r="B244" s="3">
        <v>45818</v>
      </c>
      <c r="C244" t="s">
        <v>14</v>
      </c>
      <c r="D244" t="s">
        <v>55</v>
      </c>
      <c r="E244" t="s">
        <v>22</v>
      </c>
      <c r="F244" t="s">
        <v>23</v>
      </c>
      <c r="G244">
        <v>5</v>
      </c>
      <c r="H244" s="4">
        <v>256.32</v>
      </c>
      <c r="I244" s="5">
        <v>0.05</v>
      </c>
      <c r="J244" s="4">
        <v>1217.52</v>
      </c>
      <c r="K244" s="4">
        <v>965.87</v>
      </c>
      <c r="L244" s="4">
        <v>251.65</v>
      </c>
    </row>
    <row r="245" spans="1:12" x14ac:dyDescent="0.35">
      <c r="A245" t="s">
        <v>281</v>
      </c>
      <c r="B245" s="3">
        <v>46009</v>
      </c>
      <c r="C245" t="s">
        <v>14</v>
      </c>
      <c r="D245" t="s">
        <v>55</v>
      </c>
      <c r="E245" t="s">
        <v>52</v>
      </c>
      <c r="F245" t="s">
        <v>4</v>
      </c>
      <c r="G245">
        <v>2</v>
      </c>
      <c r="H245" s="4">
        <v>475</v>
      </c>
      <c r="I245" s="5">
        <v>0</v>
      </c>
      <c r="J245" s="4">
        <v>950</v>
      </c>
      <c r="K245" s="4">
        <v>594.57000000000005</v>
      </c>
      <c r="L245" s="4">
        <v>355.43</v>
      </c>
    </row>
    <row r="246" spans="1:12" x14ac:dyDescent="0.35">
      <c r="A246" t="s">
        <v>282</v>
      </c>
      <c r="B246" s="3">
        <v>45879</v>
      </c>
      <c r="C246" t="s">
        <v>1</v>
      </c>
      <c r="D246" t="s">
        <v>6</v>
      </c>
      <c r="E246" t="s">
        <v>20</v>
      </c>
      <c r="F246" t="s">
        <v>8</v>
      </c>
      <c r="G246">
        <v>6</v>
      </c>
      <c r="H246" s="4">
        <v>39.729999999999997</v>
      </c>
      <c r="I246" s="5">
        <v>0.02</v>
      </c>
      <c r="J246" s="4">
        <v>233.61</v>
      </c>
      <c r="K246" s="4">
        <v>184.64</v>
      </c>
      <c r="L246" s="4">
        <v>48.97</v>
      </c>
    </row>
    <row r="247" spans="1:12" x14ac:dyDescent="0.35">
      <c r="A247" t="s">
        <v>283</v>
      </c>
      <c r="B247" s="3">
        <v>45688</v>
      </c>
      <c r="C247" t="s">
        <v>25</v>
      </c>
      <c r="D247" t="s">
        <v>37</v>
      </c>
      <c r="E247" t="s">
        <v>7</v>
      </c>
      <c r="F247" t="s">
        <v>8</v>
      </c>
      <c r="G247">
        <v>2</v>
      </c>
      <c r="H247" s="4">
        <v>44.4</v>
      </c>
      <c r="I247" s="5">
        <v>0.1</v>
      </c>
      <c r="J247" s="4">
        <v>79.92</v>
      </c>
      <c r="K247" s="4">
        <v>57.34</v>
      </c>
      <c r="L247" s="4">
        <v>22.58</v>
      </c>
    </row>
    <row r="248" spans="1:12" x14ac:dyDescent="0.35">
      <c r="A248" t="s">
        <v>284</v>
      </c>
      <c r="B248" s="3">
        <v>45998</v>
      </c>
      <c r="C248" t="s">
        <v>14</v>
      </c>
      <c r="D248" t="s">
        <v>66</v>
      </c>
      <c r="E248" t="s">
        <v>20</v>
      </c>
      <c r="F248" t="s">
        <v>8</v>
      </c>
      <c r="G248">
        <v>1</v>
      </c>
      <c r="H248" s="4">
        <v>32.659999999999997</v>
      </c>
      <c r="I248" s="5">
        <v>0.05</v>
      </c>
      <c r="J248" s="4">
        <v>31.03</v>
      </c>
      <c r="K248" s="4">
        <v>18.64</v>
      </c>
      <c r="L248" s="4">
        <v>12.39</v>
      </c>
    </row>
    <row r="249" spans="1:12" x14ac:dyDescent="0.35">
      <c r="A249" t="s">
        <v>285</v>
      </c>
      <c r="B249" s="3">
        <v>45817</v>
      </c>
      <c r="C249" t="s">
        <v>25</v>
      </c>
      <c r="D249" t="s">
        <v>31</v>
      </c>
      <c r="E249" t="s">
        <v>52</v>
      </c>
      <c r="F249" t="s">
        <v>4</v>
      </c>
      <c r="G249">
        <v>10</v>
      </c>
      <c r="H249" s="4">
        <v>544.01</v>
      </c>
      <c r="I249" s="5">
        <v>0.15</v>
      </c>
      <c r="J249" s="4">
        <v>4624.09</v>
      </c>
      <c r="K249" s="4">
        <v>2984.41</v>
      </c>
      <c r="L249" s="4">
        <v>1639.68</v>
      </c>
    </row>
    <row r="250" spans="1:12" x14ac:dyDescent="0.35">
      <c r="A250" t="s">
        <v>286</v>
      </c>
      <c r="B250" s="3">
        <v>45737</v>
      </c>
      <c r="C250" t="s">
        <v>14</v>
      </c>
      <c r="D250" t="s">
        <v>66</v>
      </c>
      <c r="E250" t="s">
        <v>16</v>
      </c>
      <c r="F250" t="s">
        <v>4</v>
      </c>
      <c r="G250">
        <v>2</v>
      </c>
      <c r="H250" s="4">
        <v>225.52</v>
      </c>
      <c r="I250" s="5">
        <v>0.05</v>
      </c>
      <c r="J250" s="4">
        <v>428.49</v>
      </c>
      <c r="K250" s="4">
        <v>244.66</v>
      </c>
      <c r="L250" s="4">
        <v>183.83</v>
      </c>
    </row>
    <row r="251" spans="1:12" x14ac:dyDescent="0.35">
      <c r="A251" t="s">
        <v>287</v>
      </c>
      <c r="B251" s="3">
        <v>45846</v>
      </c>
      <c r="C251" t="s">
        <v>1</v>
      </c>
      <c r="D251" t="s">
        <v>28</v>
      </c>
      <c r="E251" t="s">
        <v>35</v>
      </c>
      <c r="F251" t="s">
        <v>23</v>
      </c>
      <c r="G251">
        <v>10</v>
      </c>
      <c r="H251" s="4">
        <v>205.62</v>
      </c>
      <c r="I251" s="5">
        <v>0.02</v>
      </c>
      <c r="J251" s="4">
        <v>2015.08</v>
      </c>
      <c r="K251" s="4">
        <v>1644.86</v>
      </c>
      <c r="L251" s="4">
        <v>370.22</v>
      </c>
    </row>
    <row r="252" spans="1:12" x14ac:dyDescent="0.35">
      <c r="A252" t="s">
        <v>288</v>
      </c>
      <c r="B252" s="3">
        <v>45945</v>
      </c>
      <c r="C252" t="s">
        <v>1</v>
      </c>
      <c r="D252" t="s">
        <v>2</v>
      </c>
      <c r="E252" t="s">
        <v>32</v>
      </c>
      <c r="F252" t="s">
        <v>12</v>
      </c>
      <c r="G252">
        <v>5</v>
      </c>
      <c r="H252" s="4">
        <v>12.71</v>
      </c>
      <c r="I252" s="5">
        <v>0</v>
      </c>
      <c r="J252" s="4">
        <v>63.55</v>
      </c>
      <c r="K252" s="4">
        <v>44.15</v>
      </c>
      <c r="L252" s="4">
        <v>19.399999999999999</v>
      </c>
    </row>
    <row r="253" spans="1:12" x14ac:dyDescent="0.35">
      <c r="A253" t="s">
        <v>289</v>
      </c>
      <c r="B253" s="3">
        <v>45797</v>
      </c>
      <c r="C253" t="s">
        <v>290</v>
      </c>
      <c r="D253" t="s">
        <v>31</v>
      </c>
      <c r="E253" t="s">
        <v>22</v>
      </c>
      <c r="F253" t="s">
        <v>23</v>
      </c>
      <c r="G253">
        <v>6</v>
      </c>
      <c r="H253" s="4">
        <v>235.71</v>
      </c>
      <c r="I253" s="5">
        <v>0</v>
      </c>
      <c r="J253" s="4">
        <v>1414.26</v>
      </c>
      <c r="K253" s="4">
        <v>1088.5899999999999</v>
      </c>
      <c r="L253" s="4">
        <v>325.67</v>
      </c>
    </row>
    <row r="254" spans="1:12" x14ac:dyDescent="0.35">
      <c r="A254" t="s">
        <v>291</v>
      </c>
      <c r="B254" s="3">
        <v>45731</v>
      </c>
      <c r="C254" t="s">
        <v>14</v>
      </c>
      <c r="D254" t="s">
        <v>66</v>
      </c>
      <c r="E254" t="s">
        <v>52</v>
      </c>
      <c r="F254" t="s">
        <v>4</v>
      </c>
      <c r="G254">
        <v>3</v>
      </c>
      <c r="H254" s="4">
        <v>580.48</v>
      </c>
      <c r="I254" s="5">
        <v>0.2</v>
      </c>
      <c r="J254" s="4">
        <v>1393.15</v>
      </c>
      <c r="K254" s="4">
        <v>827.4</v>
      </c>
      <c r="L254" s="4">
        <v>565.75</v>
      </c>
    </row>
    <row r="255" spans="1:12" x14ac:dyDescent="0.35">
      <c r="A255" t="s">
        <v>292</v>
      </c>
      <c r="B255" s="3">
        <v>45673</v>
      </c>
      <c r="C255" t="s">
        <v>1</v>
      </c>
      <c r="D255" t="s">
        <v>28</v>
      </c>
      <c r="E255" t="s">
        <v>20</v>
      </c>
      <c r="F255" t="s">
        <v>8</v>
      </c>
      <c r="G255">
        <v>9</v>
      </c>
      <c r="H255" s="4">
        <v>39.31</v>
      </c>
      <c r="I255" s="5">
        <v>0.02</v>
      </c>
      <c r="J255" s="4">
        <v>346.71</v>
      </c>
      <c r="K255" s="4">
        <v>267.69</v>
      </c>
      <c r="L255" s="4">
        <v>79.02</v>
      </c>
    </row>
    <row r="256" spans="1:12" x14ac:dyDescent="0.35">
      <c r="A256" t="s">
        <v>293</v>
      </c>
      <c r="B256" s="3">
        <v>45872</v>
      </c>
      <c r="C256" t="s">
        <v>14</v>
      </c>
      <c r="D256" t="s">
        <v>15</v>
      </c>
      <c r="E256" t="s">
        <v>22</v>
      </c>
      <c r="F256" t="s">
        <v>23</v>
      </c>
      <c r="G256">
        <v>3</v>
      </c>
      <c r="H256" s="4">
        <v>283.73</v>
      </c>
      <c r="I256" s="5">
        <v>0.05</v>
      </c>
      <c r="J256" s="4">
        <v>808.63</v>
      </c>
      <c r="K256" s="4">
        <v>603.19000000000005</v>
      </c>
      <c r="L256" s="4">
        <v>205.44</v>
      </c>
    </row>
    <row r="257" spans="1:12" x14ac:dyDescent="0.35">
      <c r="A257" t="s">
        <v>294</v>
      </c>
      <c r="B257" s="3">
        <v>45824</v>
      </c>
      <c r="C257" t="s">
        <v>1</v>
      </c>
      <c r="D257" t="s">
        <v>6</v>
      </c>
      <c r="E257" t="s">
        <v>3</v>
      </c>
      <c r="F257" t="s">
        <v>4</v>
      </c>
      <c r="G257">
        <v>3</v>
      </c>
      <c r="H257" s="4">
        <v>878.92</v>
      </c>
      <c r="I257" s="5">
        <v>0.02</v>
      </c>
      <c r="J257" s="4">
        <v>2584.02</v>
      </c>
      <c r="K257" s="4">
        <v>1713.01</v>
      </c>
      <c r="L257" s="4">
        <v>871.01</v>
      </c>
    </row>
    <row r="258" spans="1:12" x14ac:dyDescent="0.35">
      <c r="A258" t="s">
        <v>295</v>
      </c>
      <c r="B258" s="3">
        <v>45683</v>
      </c>
      <c r="C258" t="s">
        <v>1</v>
      </c>
      <c r="D258" t="s">
        <v>28</v>
      </c>
      <c r="E258" t="s">
        <v>35</v>
      </c>
      <c r="F258" t="s">
        <v>23</v>
      </c>
      <c r="G258">
        <v>8</v>
      </c>
      <c r="H258" s="4">
        <v>203.37</v>
      </c>
      <c r="I258" s="5">
        <v>0.2</v>
      </c>
      <c r="J258" s="4">
        <v>1301.57</v>
      </c>
      <c r="K258" s="4">
        <v>1020.22</v>
      </c>
      <c r="L258" s="4">
        <v>281.35000000000002</v>
      </c>
    </row>
    <row r="259" spans="1:12" x14ac:dyDescent="0.35">
      <c r="A259" t="s">
        <v>296</v>
      </c>
      <c r="B259" s="3">
        <v>45906</v>
      </c>
      <c r="C259" t="s">
        <v>14</v>
      </c>
      <c r="D259" t="s">
        <v>66</v>
      </c>
      <c r="E259" t="s">
        <v>29</v>
      </c>
      <c r="F259" t="s">
        <v>23</v>
      </c>
      <c r="G259">
        <v>5</v>
      </c>
      <c r="H259" s="4">
        <v>120.9</v>
      </c>
      <c r="I259" s="5">
        <v>0.02</v>
      </c>
      <c r="J259" s="4">
        <v>592.41</v>
      </c>
      <c r="K259" s="4">
        <v>330.04</v>
      </c>
      <c r="L259" s="4">
        <v>262.37</v>
      </c>
    </row>
    <row r="260" spans="1:12" x14ac:dyDescent="0.35">
      <c r="A260" t="s">
        <v>297</v>
      </c>
      <c r="B260" s="3">
        <v>45716</v>
      </c>
      <c r="C260" t="s">
        <v>25</v>
      </c>
      <c r="D260" t="s">
        <v>46</v>
      </c>
      <c r="E260" t="s">
        <v>29</v>
      </c>
      <c r="F260" t="s">
        <v>23</v>
      </c>
      <c r="G260">
        <v>2</v>
      </c>
      <c r="H260" s="4">
        <v>134.81</v>
      </c>
      <c r="I260" s="5">
        <v>0.05</v>
      </c>
      <c r="J260" s="4">
        <v>256.14</v>
      </c>
      <c r="K260" s="4">
        <v>196.93</v>
      </c>
      <c r="L260" s="4">
        <v>59.21</v>
      </c>
    </row>
    <row r="261" spans="1:12" x14ac:dyDescent="0.35">
      <c r="A261" t="s">
        <v>298</v>
      </c>
      <c r="B261" s="3">
        <v>46005</v>
      </c>
      <c r="C261" t="s">
        <v>14</v>
      </c>
      <c r="D261" t="s">
        <v>55</v>
      </c>
      <c r="E261" t="s">
        <v>11</v>
      </c>
      <c r="F261" t="s">
        <v>12</v>
      </c>
      <c r="G261">
        <v>5</v>
      </c>
      <c r="H261" s="4">
        <v>9.17</v>
      </c>
      <c r="I261" s="5">
        <v>0</v>
      </c>
      <c r="J261" s="4">
        <v>45.85</v>
      </c>
      <c r="K261" s="4">
        <v>27.08</v>
      </c>
      <c r="L261" s="4">
        <v>18.77</v>
      </c>
    </row>
    <row r="262" spans="1:12" x14ac:dyDescent="0.35">
      <c r="A262" t="s">
        <v>299</v>
      </c>
      <c r="B262" s="3">
        <v>45860</v>
      </c>
      <c r="C262" t="s">
        <v>1</v>
      </c>
      <c r="D262" t="s">
        <v>2</v>
      </c>
      <c r="E262" t="s">
        <v>3</v>
      </c>
      <c r="F262" t="s">
        <v>4</v>
      </c>
      <c r="G262">
        <v>4</v>
      </c>
      <c r="H262" s="4">
        <v>874</v>
      </c>
      <c r="I262" s="5">
        <v>0.05</v>
      </c>
      <c r="J262" s="4">
        <v>3321.2</v>
      </c>
      <c r="K262" s="4">
        <v>2168.21</v>
      </c>
      <c r="L262" s="4">
        <v>1152.99</v>
      </c>
    </row>
    <row r="263" spans="1:12" x14ac:dyDescent="0.35">
      <c r="A263" t="s">
        <v>300</v>
      </c>
      <c r="B263" s="3">
        <v>45728</v>
      </c>
      <c r="C263" t="s">
        <v>25</v>
      </c>
      <c r="D263" t="s">
        <v>31</v>
      </c>
      <c r="E263" t="s">
        <v>35</v>
      </c>
      <c r="F263" t="s">
        <v>23</v>
      </c>
      <c r="G263">
        <v>6</v>
      </c>
      <c r="H263" s="4">
        <v>205.38</v>
      </c>
      <c r="I263" s="5">
        <v>0</v>
      </c>
      <c r="J263" s="4">
        <v>1232.28</v>
      </c>
      <c r="K263" s="4">
        <v>957.94</v>
      </c>
      <c r="L263" s="4">
        <v>274.33999999999997</v>
      </c>
    </row>
    <row r="264" spans="1:12" x14ac:dyDescent="0.35">
      <c r="A264" t="s">
        <v>301</v>
      </c>
      <c r="B264" s="3">
        <v>45912</v>
      </c>
      <c r="C264" t="s">
        <v>14</v>
      </c>
      <c r="D264" t="s">
        <v>66</v>
      </c>
      <c r="E264" t="s">
        <v>61</v>
      </c>
      <c r="F264" t="s">
        <v>4</v>
      </c>
      <c r="G264">
        <v>3</v>
      </c>
      <c r="H264" s="4">
        <v>88.12</v>
      </c>
      <c r="I264" s="5">
        <v>0.1</v>
      </c>
      <c r="J264" s="4">
        <v>237.92</v>
      </c>
      <c r="K264" s="4">
        <v>160.96</v>
      </c>
      <c r="L264" s="4">
        <v>76.959999999999994</v>
      </c>
    </row>
    <row r="265" spans="1:12" x14ac:dyDescent="0.35">
      <c r="A265" t="s">
        <v>302</v>
      </c>
      <c r="B265" s="3">
        <v>46018</v>
      </c>
      <c r="C265" t="s">
        <v>18</v>
      </c>
      <c r="D265" t="s">
        <v>19</v>
      </c>
      <c r="E265" t="s">
        <v>11</v>
      </c>
      <c r="F265" t="s">
        <v>12</v>
      </c>
      <c r="G265">
        <v>9</v>
      </c>
      <c r="H265" s="4">
        <v>7.8</v>
      </c>
      <c r="I265" s="5">
        <v>0.2</v>
      </c>
      <c r="J265" s="4">
        <v>56.16</v>
      </c>
      <c r="K265" s="4">
        <v>35.03</v>
      </c>
      <c r="L265" s="4">
        <v>21.13</v>
      </c>
    </row>
    <row r="266" spans="1:12" x14ac:dyDescent="0.35">
      <c r="A266" t="s">
        <v>303</v>
      </c>
      <c r="B266" s="3">
        <v>45694</v>
      </c>
      <c r="C266" t="s">
        <v>14</v>
      </c>
      <c r="D266" t="s">
        <v>55</v>
      </c>
      <c r="E266" t="s">
        <v>20</v>
      </c>
      <c r="F266" t="s">
        <v>8</v>
      </c>
      <c r="G266">
        <v>1</v>
      </c>
      <c r="H266" s="4">
        <v>30.34</v>
      </c>
      <c r="I266" s="5">
        <v>0.1</v>
      </c>
      <c r="J266" s="4">
        <v>27.31</v>
      </c>
      <c r="K266" s="4">
        <v>21.4</v>
      </c>
      <c r="L266" s="4">
        <v>5.91</v>
      </c>
    </row>
    <row r="267" spans="1:12" x14ac:dyDescent="0.35">
      <c r="A267" t="s">
        <v>304</v>
      </c>
      <c r="B267" s="3">
        <v>45893</v>
      </c>
      <c r="C267" t="s">
        <v>1</v>
      </c>
      <c r="D267" t="s">
        <v>6</v>
      </c>
      <c r="E267" t="s">
        <v>22</v>
      </c>
      <c r="F267" t="s">
        <v>23</v>
      </c>
      <c r="G267">
        <v>10</v>
      </c>
      <c r="H267" s="4">
        <v>273.47000000000003</v>
      </c>
      <c r="I267" s="5">
        <v>0.1</v>
      </c>
      <c r="J267" s="4">
        <v>2461.23</v>
      </c>
      <c r="K267" s="4">
        <v>2018.02</v>
      </c>
      <c r="L267" s="4">
        <v>443.21</v>
      </c>
    </row>
    <row r="268" spans="1:12" x14ac:dyDescent="0.35">
      <c r="A268" t="s">
        <v>305</v>
      </c>
      <c r="B268" s="3">
        <v>45865</v>
      </c>
      <c r="C268" t="s">
        <v>14</v>
      </c>
      <c r="D268" t="s">
        <v>55</v>
      </c>
      <c r="E268" t="s">
        <v>35</v>
      </c>
      <c r="F268" t="s">
        <v>23</v>
      </c>
      <c r="G268">
        <v>2</v>
      </c>
      <c r="H268" s="4">
        <v>206.82</v>
      </c>
      <c r="I268" s="5">
        <v>0.1</v>
      </c>
      <c r="J268" s="4">
        <v>372.28</v>
      </c>
      <c r="K268" s="4">
        <v>260.58</v>
      </c>
      <c r="L268" s="4">
        <v>111.7</v>
      </c>
    </row>
    <row r="269" spans="1:12" x14ac:dyDescent="0.35">
      <c r="A269" t="s">
        <v>306</v>
      </c>
      <c r="B269" s="3">
        <v>45824</v>
      </c>
      <c r="C269" t="s">
        <v>18</v>
      </c>
      <c r="D269" t="s">
        <v>19</v>
      </c>
      <c r="E269" t="s">
        <v>32</v>
      </c>
      <c r="F269" t="s">
        <v>12</v>
      </c>
      <c r="G269">
        <v>8</v>
      </c>
      <c r="H269" s="4">
        <v>12.97</v>
      </c>
      <c r="I269" s="5">
        <v>0.2</v>
      </c>
      <c r="J269" s="4">
        <v>83.01</v>
      </c>
      <c r="K269" s="4">
        <v>66.83</v>
      </c>
      <c r="L269" s="4">
        <v>16.18</v>
      </c>
    </row>
    <row r="270" spans="1:12" x14ac:dyDescent="0.35">
      <c r="A270" t="s">
        <v>307</v>
      </c>
      <c r="B270" s="3">
        <v>45703</v>
      </c>
      <c r="C270" t="s">
        <v>14</v>
      </c>
      <c r="D270" t="s">
        <v>66</v>
      </c>
      <c r="E270" t="s">
        <v>52</v>
      </c>
      <c r="F270" t="s">
        <v>4</v>
      </c>
      <c r="G270">
        <v>4</v>
      </c>
      <c r="H270" s="4">
        <v>607.69000000000005</v>
      </c>
      <c r="I270" s="5">
        <v>0.1</v>
      </c>
      <c r="J270" s="4">
        <v>2187.6799999999998</v>
      </c>
      <c r="K270" s="4">
        <v>1349.33</v>
      </c>
      <c r="L270" s="4">
        <v>838.35</v>
      </c>
    </row>
    <row r="271" spans="1:12" x14ac:dyDescent="0.35">
      <c r="A271" t="s">
        <v>308</v>
      </c>
      <c r="B271" s="3">
        <v>45863</v>
      </c>
      <c r="C271" t="s">
        <v>1</v>
      </c>
      <c r="D271" t="s">
        <v>28</v>
      </c>
      <c r="E271" t="s">
        <v>29</v>
      </c>
      <c r="F271" t="s">
        <v>23</v>
      </c>
      <c r="G271">
        <v>5</v>
      </c>
      <c r="H271" s="4">
        <v>137.91999999999999</v>
      </c>
      <c r="I271" s="5">
        <v>0.2</v>
      </c>
      <c r="J271" s="4">
        <v>551.67999999999995</v>
      </c>
      <c r="K271" s="4">
        <v>322.66000000000003</v>
      </c>
      <c r="L271" s="4">
        <v>229.02</v>
      </c>
    </row>
    <row r="272" spans="1:12" x14ac:dyDescent="0.35">
      <c r="A272" t="s">
        <v>309</v>
      </c>
      <c r="B272" s="3">
        <v>45771</v>
      </c>
      <c r="C272" t="s">
        <v>25</v>
      </c>
      <c r="D272" t="s">
        <v>46</v>
      </c>
      <c r="E272" t="s">
        <v>61</v>
      </c>
      <c r="F272" t="s">
        <v>4</v>
      </c>
      <c r="G272">
        <v>2</v>
      </c>
      <c r="H272" s="4">
        <v>90.9</v>
      </c>
      <c r="I272" s="5">
        <v>0.15</v>
      </c>
      <c r="J272" s="4">
        <v>154.53</v>
      </c>
      <c r="K272" s="4">
        <v>110.28</v>
      </c>
      <c r="L272" s="4">
        <v>44.25</v>
      </c>
    </row>
    <row r="273" spans="1:12" x14ac:dyDescent="0.35">
      <c r="A273" t="s">
        <v>310</v>
      </c>
      <c r="B273" s="3">
        <v>45716</v>
      </c>
      <c r="C273" t="s">
        <v>18</v>
      </c>
      <c r="D273" t="s">
        <v>40</v>
      </c>
      <c r="E273" t="s">
        <v>22</v>
      </c>
      <c r="F273" t="s">
        <v>23</v>
      </c>
      <c r="G273">
        <v>6</v>
      </c>
      <c r="H273" s="4">
        <v>229.65</v>
      </c>
      <c r="I273" s="5">
        <v>0.2</v>
      </c>
      <c r="J273" s="4">
        <v>1102.32</v>
      </c>
      <c r="K273" s="4">
        <v>806.19</v>
      </c>
      <c r="L273" s="4">
        <v>296.13</v>
      </c>
    </row>
    <row r="274" spans="1:12" x14ac:dyDescent="0.35">
      <c r="A274" t="s">
        <v>311</v>
      </c>
      <c r="B274" s="3">
        <v>45733</v>
      </c>
      <c r="C274" t="s">
        <v>18</v>
      </c>
      <c r="D274" t="s">
        <v>34</v>
      </c>
      <c r="E274" t="s">
        <v>52</v>
      </c>
      <c r="F274" t="s">
        <v>4</v>
      </c>
      <c r="G274">
        <v>3</v>
      </c>
      <c r="H274" s="4">
        <v>569.49</v>
      </c>
      <c r="I274" s="5">
        <v>0.05</v>
      </c>
      <c r="J274" s="4">
        <v>1623.05</v>
      </c>
      <c r="K274" s="4">
        <v>1049.6300000000001</v>
      </c>
      <c r="L274" s="4">
        <v>573.41999999999996</v>
      </c>
    </row>
    <row r="275" spans="1:12" x14ac:dyDescent="0.35">
      <c r="A275" t="s">
        <v>312</v>
      </c>
      <c r="B275" s="3">
        <v>45746</v>
      </c>
      <c r="C275" t="s">
        <v>18</v>
      </c>
      <c r="D275" t="s">
        <v>40</v>
      </c>
      <c r="E275" t="s">
        <v>7</v>
      </c>
      <c r="F275" t="s">
        <v>8</v>
      </c>
      <c r="G275">
        <v>2</v>
      </c>
      <c r="H275" s="4">
        <v>39.78</v>
      </c>
      <c r="I275" s="5">
        <v>0.02</v>
      </c>
      <c r="J275" s="4">
        <v>77.97</v>
      </c>
      <c r="K275" s="4">
        <v>57.02</v>
      </c>
      <c r="L275" s="4">
        <v>20.95</v>
      </c>
    </row>
    <row r="276" spans="1:12" x14ac:dyDescent="0.35">
      <c r="A276" t="s">
        <v>313</v>
      </c>
      <c r="B276" s="3">
        <v>45910</v>
      </c>
      <c r="C276" t="s">
        <v>14</v>
      </c>
      <c r="D276" t="s">
        <v>66</v>
      </c>
      <c r="E276" t="s">
        <v>32</v>
      </c>
      <c r="F276" t="s">
        <v>12</v>
      </c>
      <c r="G276">
        <v>10</v>
      </c>
      <c r="H276" s="4">
        <v>12.07</v>
      </c>
      <c r="I276" s="5">
        <v>0.1</v>
      </c>
      <c r="J276" s="4">
        <v>108.63</v>
      </c>
      <c r="K276" s="4">
        <v>82.4</v>
      </c>
      <c r="L276" s="4">
        <v>26.23</v>
      </c>
    </row>
    <row r="277" spans="1:12" x14ac:dyDescent="0.35">
      <c r="A277" t="s">
        <v>314</v>
      </c>
      <c r="B277" s="3">
        <v>45947</v>
      </c>
      <c r="C277" t="s">
        <v>25</v>
      </c>
      <c r="D277" t="s">
        <v>37</v>
      </c>
      <c r="E277" t="s">
        <v>7</v>
      </c>
      <c r="F277" t="s">
        <v>8</v>
      </c>
      <c r="G277">
        <v>6</v>
      </c>
      <c r="H277" s="4">
        <v>45.27</v>
      </c>
      <c r="I277" s="5">
        <v>0.02</v>
      </c>
      <c r="J277" s="4">
        <v>266.19</v>
      </c>
      <c r="K277" s="4">
        <v>207.65</v>
      </c>
      <c r="L277" s="4">
        <v>58.54</v>
      </c>
    </row>
    <row r="278" spans="1:12" x14ac:dyDescent="0.35">
      <c r="A278" t="s">
        <v>315</v>
      </c>
      <c r="B278" s="3">
        <v>45692</v>
      </c>
      <c r="C278" t="s">
        <v>14</v>
      </c>
      <c r="D278" t="s">
        <v>316</v>
      </c>
      <c r="E278" t="s">
        <v>38</v>
      </c>
      <c r="F278" t="s">
        <v>12</v>
      </c>
      <c r="G278">
        <v>5</v>
      </c>
      <c r="H278" s="4">
        <v>162.49</v>
      </c>
      <c r="I278" s="5">
        <v>0.05</v>
      </c>
      <c r="J278" s="4">
        <v>771.83</v>
      </c>
      <c r="K278" s="4">
        <v>541.4</v>
      </c>
      <c r="L278" s="4">
        <v>230.43</v>
      </c>
    </row>
    <row r="279" spans="1:12" x14ac:dyDescent="0.35">
      <c r="A279" t="s">
        <v>317</v>
      </c>
      <c r="B279" s="3">
        <v>45686</v>
      </c>
      <c r="C279" t="s">
        <v>25</v>
      </c>
      <c r="D279" t="s">
        <v>37</v>
      </c>
      <c r="E279" t="s">
        <v>11</v>
      </c>
      <c r="F279" t="s">
        <v>12</v>
      </c>
      <c r="G279">
        <v>2</v>
      </c>
      <c r="H279" s="4">
        <v>8.9</v>
      </c>
      <c r="I279" s="5">
        <v>0.05</v>
      </c>
      <c r="J279" s="4">
        <v>16.91</v>
      </c>
      <c r="K279" s="4">
        <v>11.14</v>
      </c>
      <c r="L279" s="4">
        <v>5.77</v>
      </c>
    </row>
    <row r="280" spans="1:12" x14ac:dyDescent="0.35">
      <c r="A280" t="s">
        <v>318</v>
      </c>
      <c r="B280" s="3">
        <v>45889</v>
      </c>
      <c r="C280" t="s">
        <v>1</v>
      </c>
      <c r="D280" t="s">
        <v>2</v>
      </c>
      <c r="E280" t="s">
        <v>3</v>
      </c>
      <c r="F280" t="s">
        <v>4</v>
      </c>
      <c r="G280">
        <v>6</v>
      </c>
      <c r="H280" s="4">
        <v>756.67</v>
      </c>
      <c r="I280" s="5">
        <v>0.05</v>
      </c>
      <c r="J280" s="4">
        <v>4313.0200000000004</v>
      </c>
      <c r="K280" s="4">
        <v>2405.6799999999998</v>
      </c>
      <c r="L280" s="4">
        <v>1907.34</v>
      </c>
    </row>
    <row r="281" spans="1:12" x14ac:dyDescent="0.35">
      <c r="A281" t="s">
        <v>319</v>
      </c>
      <c r="B281" s="3">
        <v>45988</v>
      </c>
      <c r="C281" t="s">
        <v>1</v>
      </c>
      <c r="D281" t="s">
        <v>28</v>
      </c>
      <c r="E281" t="s">
        <v>32</v>
      </c>
      <c r="F281" t="s">
        <v>12</v>
      </c>
      <c r="G281">
        <v>10</v>
      </c>
      <c r="H281" s="4">
        <v>12.92</v>
      </c>
      <c r="I281" s="5">
        <v>0.15</v>
      </c>
      <c r="J281" s="4">
        <v>109.82</v>
      </c>
      <c r="K281" s="4">
        <v>78.790000000000006</v>
      </c>
      <c r="L281" s="4">
        <v>31.03</v>
      </c>
    </row>
    <row r="282" spans="1:12" x14ac:dyDescent="0.35">
      <c r="A282" t="s">
        <v>320</v>
      </c>
      <c r="B282" s="3">
        <v>45894</v>
      </c>
      <c r="C282" t="s">
        <v>1</v>
      </c>
      <c r="D282" t="s">
        <v>2</v>
      </c>
      <c r="E282" t="s">
        <v>38</v>
      </c>
      <c r="F282" t="s">
        <v>12</v>
      </c>
      <c r="G282">
        <v>10</v>
      </c>
      <c r="H282" s="4">
        <v>169.8</v>
      </c>
      <c r="I282" s="5">
        <v>0.2</v>
      </c>
      <c r="J282" s="4">
        <v>1358.4</v>
      </c>
      <c r="K282" s="4">
        <v>825.23</v>
      </c>
      <c r="L282" s="4">
        <v>533.16999999999996</v>
      </c>
    </row>
    <row r="283" spans="1:12" x14ac:dyDescent="0.35">
      <c r="A283" t="s">
        <v>321</v>
      </c>
      <c r="B283" s="3">
        <v>45822</v>
      </c>
      <c r="C283" t="s">
        <v>14</v>
      </c>
      <c r="D283" t="s">
        <v>15</v>
      </c>
      <c r="E283" t="s">
        <v>11</v>
      </c>
      <c r="F283" t="s">
        <v>12</v>
      </c>
      <c r="G283">
        <v>3</v>
      </c>
      <c r="H283" s="4">
        <v>7.13</v>
      </c>
      <c r="I283" s="5">
        <v>0</v>
      </c>
      <c r="J283" s="4">
        <v>21.39</v>
      </c>
      <c r="K283" s="4">
        <v>11.85</v>
      </c>
      <c r="L283" s="4">
        <v>9.5399999999999991</v>
      </c>
    </row>
    <row r="284" spans="1:12" x14ac:dyDescent="0.35">
      <c r="A284" t="s">
        <v>322</v>
      </c>
      <c r="B284" s="3">
        <v>45710</v>
      </c>
      <c r="C284" t="s">
        <v>25</v>
      </c>
      <c r="D284" t="s">
        <v>46</v>
      </c>
      <c r="E284" t="s">
        <v>20</v>
      </c>
      <c r="F284" t="s">
        <v>8</v>
      </c>
      <c r="G284">
        <v>2</v>
      </c>
      <c r="H284" s="4">
        <v>33.43</v>
      </c>
      <c r="I284" s="5">
        <v>0.15</v>
      </c>
      <c r="J284" s="4">
        <v>56.83</v>
      </c>
      <c r="K284" s="4">
        <v>40.31</v>
      </c>
      <c r="L284" s="4">
        <v>16.52</v>
      </c>
    </row>
    <row r="285" spans="1:12" x14ac:dyDescent="0.35">
      <c r="A285" t="s">
        <v>323</v>
      </c>
      <c r="B285" s="3">
        <v>45746</v>
      </c>
      <c r="C285" t="s">
        <v>1</v>
      </c>
      <c r="D285" t="s">
        <v>6</v>
      </c>
      <c r="E285" t="s">
        <v>16</v>
      </c>
      <c r="F285" t="s">
        <v>4</v>
      </c>
      <c r="G285">
        <v>8</v>
      </c>
      <c r="H285" s="4">
        <v>212.89</v>
      </c>
      <c r="I285" s="5">
        <v>0.1</v>
      </c>
      <c r="J285" s="4">
        <v>1532.81</v>
      </c>
      <c r="K285" s="4">
        <v>1024.0999999999999</v>
      </c>
      <c r="L285" s="4">
        <v>508.71</v>
      </c>
    </row>
    <row r="286" spans="1:12" x14ac:dyDescent="0.35">
      <c r="A286" t="s">
        <v>324</v>
      </c>
      <c r="B286" s="3">
        <v>45925</v>
      </c>
      <c r="C286" t="s">
        <v>18</v>
      </c>
      <c r="D286" t="s">
        <v>19</v>
      </c>
      <c r="E286" t="s">
        <v>22</v>
      </c>
      <c r="F286" t="s">
        <v>23</v>
      </c>
      <c r="G286">
        <v>6</v>
      </c>
      <c r="H286" s="4">
        <v>280.31</v>
      </c>
      <c r="I286" s="5">
        <v>0.05</v>
      </c>
      <c r="J286" s="4">
        <v>1597.77</v>
      </c>
      <c r="K286" s="4">
        <v>1029.01</v>
      </c>
      <c r="L286" s="4">
        <v>568.76</v>
      </c>
    </row>
    <row r="287" spans="1:12" x14ac:dyDescent="0.35">
      <c r="A287" t="s">
        <v>325</v>
      </c>
      <c r="B287" s="3">
        <v>45867</v>
      </c>
      <c r="C287" t="s">
        <v>25</v>
      </c>
      <c r="D287" t="s">
        <v>46</v>
      </c>
      <c r="E287" t="s">
        <v>7</v>
      </c>
      <c r="F287" t="s">
        <v>8</v>
      </c>
      <c r="G287">
        <v>10</v>
      </c>
      <c r="H287" s="4">
        <v>45.19</v>
      </c>
      <c r="I287" s="5">
        <v>0</v>
      </c>
      <c r="J287" s="4">
        <v>451.9</v>
      </c>
      <c r="K287" s="4">
        <v>344.16</v>
      </c>
      <c r="L287" s="4">
        <v>107.74</v>
      </c>
    </row>
    <row r="288" spans="1:12" x14ac:dyDescent="0.35">
      <c r="A288" t="s">
        <v>326</v>
      </c>
      <c r="B288" s="3">
        <v>45989</v>
      </c>
      <c r="C288" t="s">
        <v>25</v>
      </c>
      <c r="D288" t="s">
        <v>46</v>
      </c>
      <c r="E288" t="s">
        <v>52</v>
      </c>
      <c r="F288" t="s">
        <v>4</v>
      </c>
      <c r="G288">
        <v>6</v>
      </c>
      <c r="H288" s="4">
        <v>532.92999999999995</v>
      </c>
      <c r="I288" s="5">
        <v>0</v>
      </c>
      <c r="J288" s="4">
        <v>3197.58</v>
      </c>
      <c r="K288" s="4">
        <v>2295.75</v>
      </c>
      <c r="L288" s="4">
        <v>901.83</v>
      </c>
    </row>
    <row r="289" spans="1:12" x14ac:dyDescent="0.35">
      <c r="A289" t="s">
        <v>327</v>
      </c>
      <c r="B289" s="3">
        <v>46005</v>
      </c>
      <c r="C289" t="s">
        <v>14</v>
      </c>
      <c r="D289" t="s">
        <v>66</v>
      </c>
      <c r="E289" t="s">
        <v>35</v>
      </c>
      <c r="F289" t="s">
        <v>23</v>
      </c>
      <c r="G289">
        <v>5</v>
      </c>
      <c r="H289" s="4">
        <v>199.57</v>
      </c>
      <c r="I289" s="5">
        <v>0.2</v>
      </c>
      <c r="J289" s="4">
        <v>798.28</v>
      </c>
      <c r="K289" s="4">
        <v>643.71</v>
      </c>
      <c r="L289" s="4">
        <v>154.57</v>
      </c>
    </row>
    <row r="290" spans="1:12" x14ac:dyDescent="0.35">
      <c r="A290" t="s">
        <v>328</v>
      </c>
      <c r="B290" s="3">
        <v>45966</v>
      </c>
      <c r="C290" t="s">
        <v>18</v>
      </c>
      <c r="D290" t="s">
        <v>40</v>
      </c>
      <c r="E290" t="s">
        <v>22</v>
      </c>
      <c r="F290" t="s">
        <v>23</v>
      </c>
      <c r="G290">
        <v>2</v>
      </c>
      <c r="H290" s="4">
        <v>223.53</v>
      </c>
      <c r="I290" s="5">
        <v>0.15</v>
      </c>
      <c r="J290" s="4">
        <v>380</v>
      </c>
      <c r="K290" s="4">
        <v>304.07</v>
      </c>
      <c r="L290" s="4">
        <v>75.930000000000007</v>
      </c>
    </row>
    <row r="291" spans="1:12" x14ac:dyDescent="0.35">
      <c r="A291" t="s">
        <v>329</v>
      </c>
      <c r="B291" s="3">
        <v>45730</v>
      </c>
      <c r="C291" t="s">
        <v>25</v>
      </c>
      <c r="D291" t="s">
        <v>46</v>
      </c>
      <c r="E291" t="s">
        <v>35</v>
      </c>
      <c r="F291" t="s">
        <v>23</v>
      </c>
      <c r="G291">
        <v>7</v>
      </c>
      <c r="H291" s="4">
        <v>179.57</v>
      </c>
      <c r="I291" s="5">
        <v>0.02</v>
      </c>
      <c r="J291" s="4">
        <v>1231.8499999999999</v>
      </c>
      <c r="K291" s="4">
        <v>763.41</v>
      </c>
      <c r="L291" s="4">
        <v>468.44</v>
      </c>
    </row>
    <row r="292" spans="1:12" x14ac:dyDescent="0.35">
      <c r="A292" t="s">
        <v>330</v>
      </c>
      <c r="B292" s="3">
        <v>46020</v>
      </c>
      <c r="C292" t="s">
        <v>1</v>
      </c>
      <c r="D292" t="s">
        <v>6</v>
      </c>
      <c r="E292" t="s">
        <v>35</v>
      </c>
      <c r="F292" t="s">
        <v>23</v>
      </c>
      <c r="G292">
        <v>9</v>
      </c>
      <c r="H292" s="4">
        <v>177.79</v>
      </c>
      <c r="I292" s="5">
        <v>0.1</v>
      </c>
      <c r="J292" s="4">
        <v>1440.1</v>
      </c>
      <c r="K292" s="4">
        <v>1173.1199999999999</v>
      </c>
      <c r="L292" s="4">
        <v>266.98</v>
      </c>
    </row>
    <row r="293" spans="1:12" x14ac:dyDescent="0.35">
      <c r="A293" t="s">
        <v>331</v>
      </c>
      <c r="B293" s="3">
        <v>45826</v>
      </c>
      <c r="C293" t="s">
        <v>18</v>
      </c>
      <c r="D293" t="s">
        <v>40</v>
      </c>
      <c r="E293" t="s">
        <v>7</v>
      </c>
      <c r="F293" t="s">
        <v>8</v>
      </c>
      <c r="G293">
        <v>9</v>
      </c>
      <c r="H293" s="4">
        <v>44.9</v>
      </c>
      <c r="I293" s="5">
        <v>0</v>
      </c>
      <c r="J293" s="4">
        <v>404.1</v>
      </c>
      <c r="K293" s="4">
        <v>258.12</v>
      </c>
      <c r="L293" s="4">
        <v>145.97999999999999</v>
      </c>
    </row>
    <row r="294" spans="1:12" x14ac:dyDescent="0.35">
      <c r="A294" t="s">
        <v>332</v>
      </c>
      <c r="B294" s="3">
        <v>46001</v>
      </c>
      <c r="C294" t="s">
        <v>14</v>
      </c>
      <c r="D294" t="s">
        <v>15</v>
      </c>
      <c r="E294" t="s">
        <v>11</v>
      </c>
      <c r="F294" t="s">
        <v>12</v>
      </c>
      <c r="G294">
        <v>6</v>
      </c>
      <c r="H294" s="4">
        <v>8.32</v>
      </c>
      <c r="I294" s="5">
        <v>0</v>
      </c>
      <c r="J294" s="4">
        <v>49.92</v>
      </c>
      <c r="K294" s="4">
        <v>30.69</v>
      </c>
      <c r="L294" s="4">
        <v>19.23</v>
      </c>
    </row>
    <row r="295" spans="1:12" x14ac:dyDescent="0.35">
      <c r="A295" t="s">
        <v>333</v>
      </c>
      <c r="B295" s="3">
        <v>45816</v>
      </c>
      <c r="C295" t="s">
        <v>18</v>
      </c>
      <c r="D295" t="s">
        <v>34</v>
      </c>
      <c r="E295" t="s">
        <v>16</v>
      </c>
      <c r="F295" t="s">
        <v>4</v>
      </c>
      <c r="G295">
        <v>6</v>
      </c>
      <c r="H295" s="4">
        <v>192.01</v>
      </c>
      <c r="I295" s="5">
        <v>0.1</v>
      </c>
      <c r="J295" s="4">
        <v>1036.8499999999999</v>
      </c>
      <c r="K295" s="4">
        <v>606.35</v>
      </c>
      <c r="L295" s="4">
        <v>430.5</v>
      </c>
    </row>
    <row r="296" spans="1:12" x14ac:dyDescent="0.35">
      <c r="A296" t="s">
        <v>334</v>
      </c>
      <c r="B296" s="3">
        <v>45773</v>
      </c>
      <c r="C296" t="s">
        <v>18</v>
      </c>
      <c r="D296" t="s">
        <v>34</v>
      </c>
      <c r="E296" t="s">
        <v>61</v>
      </c>
      <c r="F296" t="s">
        <v>4</v>
      </c>
      <c r="G296">
        <v>2</v>
      </c>
      <c r="H296" s="4">
        <v>71.069999999999993</v>
      </c>
      <c r="I296" s="5">
        <v>0.05</v>
      </c>
      <c r="J296" s="4">
        <v>135.03</v>
      </c>
      <c r="K296" s="4">
        <v>79.8</v>
      </c>
      <c r="L296" s="4">
        <v>55.23</v>
      </c>
    </row>
    <row r="297" spans="1:12" x14ac:dyDescent="0.35">
      <c r="A297" t="s">
        <v>335</v>
      </c>
      <c r="B297" s="3">
        <v>45917</v>
      </c>
      <c r="C297" t="s">
        <v>1</v>
      </c>
      <c r="D297" t="s">
        <v>2</v>
      </c>
      <c r="E297" t="s">
        <v>7</v>
      </c>
      <c r="F297" t="s">
        <v>8</v>
      </c>
      <c r="G297">
        <v>6</v>
      </c>
      <c r="H297" s="4">
        <v>40.119999999999997</v>
      </c>
      <c r="I297" s="5">
        <v>0.15</v>
      </c>
      <c r="J297" s="4">
        <v>204.61</v>
      </c>
      <c r="K297" s="4">
        <v>147.94</v>
      </c>
      <c r="L297" s="4">
        <v>56.67</v>
      </c>
    </row>
    <row r="298" spans="1:12" x14ac:dyDescent="0.35">
      <c r="A298" t="s">
        <v>336</v>
      </c>
      <c r="B298" s="3">
        <v>45963</v>
      </c>
      <c r="C298" t="s">
        <v>14</v>
      </c>
      <c r="D298" t="s">
        <v>66</v>
      </c>
      <c r="E298" t="s">
        <v>61</v>
      </c>
      <c r="F298" t="s">
        <v>4</v>
      </c>
      <c r="G298">
        <v>3</v>
      </c>
      <c r="H298" s="4">
        <v>72.37</v>
      </c>
      <c r="I298" s="5">
        <v>0.02</v>
      </c>
      <c r="J298" s="4">
        <v>212.77</v>
      </c>
      <c r="K298" s="4">
        <v>136.88</v>
      </c>
      <c r="L298" s="4">
        <v>75.89</v>
      </c>
    </row>
    <row r="299" spans="1:12" x14ac:dyDescent="0.35">
      <c r="A299" t="s">
        <v>337</v>
      </c>
      <c r="B299" s="3">
        <v>45977</v>
      </c>
      <c r="C299" t="s">
        <v>18</v>
      </c>
      <c r="D299" t="s">
        <v>19</v>
      </c>
      <c r="E299" t="s">
        <v>20</v>
      </c>
      <c r="F299" t="s">
        <v>8</v>
      </c>
      <c r="G299">
        <v>8</v>
      </c>
      <c r="H299" s="4">
        <v>39.17</v>
      </c>
      <c r="I299" s="5">
        <v>0</v>
      </c>
      <c r="J299" s="4">
        <v>313.36</v>
      </c>
      <c r="K299" s="4">
        <v>212.45</v>
      </c>
      <c r="L299" s="4">
        <v>100.91</v>
      </c>
    </row>
    <row r="300" spans="1:12" x14ac:dyDescent="0.35">
      <c r="A300" t="s">
        <v>338</v>
      </c>
      <c r="B300" s="3">
        <v>45844</v>
      </c>
      <c r="C300" t="s">
        <v>18</v>
      </c>
      <c r="D300" t="s">
        <v>40</v>
      </c>
      <c r="E300" t="s">
        <v>38</v>
      </c>
      <c r="F300" t="s">
        <v>12</v>
      </c>
      <c r="G300">
        <v>10</v>
      </c>
      <c r="H300" s="4">
        <v>168.04</v>
      </c>
      <c r="I300" s="5">
        <v>0.05</v>
      </c>
      <c r="J300" s="4">
        <v>1596.38</v>
      </c>
      <c r="K300" s="4">
        <v>952.28</v>
      </c>
      <c r="L300" s="4">
        <v>644.1</v>
      </c>
    </row>
    <row r="301" spans="1:12" x14ac:dyDescent="0.35">
      <c r="A301" t="s">
        <v>339</v>
      </c>
      <c r="B301" s="3">
        <v>45887</v>
      </c>
      <c r="C301" t="s">
        <v>18</v>
      </c>
      <c r="D301" t="s">
        <v>19</v>
      </c>
      <c r="E301" t="s">
        <v>11</v>
      </c>
      <c r="F301" t="s">
        <v>12</v>
      </c>
      <c r="G301">
        <v>4</v>
      </c>
      <c r="H301" s="4">
        <v>7.26</v>
      </c>
      <c r="I301" s="5">
        <v>0.05</v>
      </c>
      <c r="J301" s="4">
        <v>27.59</v>
      </c>
      <c r="K301" s="4">
        <v>15.48</v>
      </c>
      <c r="L301" s="4">
        <v>12.11</v>
      </c>
    </row>
    <row r="302" spans="1:12" x14ac:dyDescent="0.35">
      <c r="A302" t="s">
        <v>340</v>
      </c>
      <c r="B302" s="3">
        <v>45757</v>
      </c>
      <c r="C302" t="s">
        <v>25</v>
      </c>
      <c r="D302" t="s">
        <v>37</v>
      </c>
      <c r="E302" t="s">
        <v>7</v>
      </c>
      <c r="F302" t="s">
        <v>8</v>
      </c>
      <c r="G302">
        <v>10</v>
      </c>
      <c r="H302" s="4">
        <v>40.53</v>
      </c>
      <c r="I302" s="5">
        <v>0.1</v>
      </c>
      <c r="J302" s="4">
        <v>364.77</v>
      </c>
      <c r="K302" s="4">
        <v>228.06</v>
      </c>
      <c r="L302" s="4">
        <v>136.71</v>
      </c>
    </row>
    <row r="303" spans="1:12" x14ac:dyDescent="0.35">
      <c r="A303" t="s">
        <v>341</v>
      </c>
      <c r="B303" s="3">
        <v>45802</v>
      </c>
      <c r="C303" t="s">
        <v>14</v>
      </c>
      <c r="D303" t="s">
        <v>55</v>
      </c>
      <c r="E303" t="s">
        <v>11</v>
      </c>
      <c r="F303" t="s">
        <v>12</v>
      </c>
      <c r="G303">
        <v>9</v>
      </c>
      <c r="H303" s="4">
        <v>7.22</v>
      </c>
      <c r="I303" s="5">
        <v>0.1</v>
      </c>
      <c r="J303" s="4">
        <v>58.48</v>
      </c>
      <c r="K303" s="4">
        <v>33.56</v>
      </c>
      <c r="L303" s="4">
        <v>24.92</v>
      </c>
    </row>
    <row r="304" spans="1:12" x14ac:dyDescent="0.35">
      <c r="A304" t="s">
        <v>342</v>
      </c>
      <c r="B304" s="3">
        <v>45760</v>
      </c>
      <c r="C304" t="s">
        <v>18</v>
      </c>
      <c r="D304" t="s">
        <v>19</v>
      </c>
      <c r="E304" t="s">
        <v>35</v>
      </c>
      <c r="F304" t="s">
        <v>23</v>
      </c>
      <c r="G304">
        <v>0</v>
      </c>
      <c r="H304" s="4">
        <v>159.51</v>
      </c>
      <c r="I304" s="5">
        <v>0.2</v>
      </c>
      <c r="J304" s="4">
        <v>127.61</v>
      </c>
      <c r="K304" s="4">
        <v>86.06</v>
      </c>
      <c r="L304" s="4">
        <v>41.55</v>
      </c>
    </row>
    <row r="305" spans="1:12" x14ac:dyDescent="0.35">
      <c r="A305" t="s">
        <v>343</v>
      </c>
      <c r="B305" s="3">
        <v>45848</v>
      </c>
      <c r="C305" t="s">
        <v>1</v>
      </c>
      <c r="D305" t="s">
        <v>28</v>
      </c>
      <c r="E305" t="s">
        <v>20</v>
      </c>
      <c r="F305" t="s">
        <v>8</v>
      </c>
      <c r="G305">
        <v>9</v>
      </c>
      <c r="H305" s="4">
        <v>31.92</v>
      </c>
      <c r="I305" s="5">
        <v>0</v>
      </c>
      <c r="J305" s="4">
        <v>287.27999999999997</v>
      </c>
      <c r="K305" s="4">
        <v>186.26</v>
      </c>
      <c r="L305" s="4">
        <v>101.02</v>
      </c>
    </row>
    <row r="306" spans="1:12" x14ac:dyDescent="0.35">
      <c r="A306" t="s">
        <v>344</v>
      </c>
      <c r="B306" s="3">
        <v>45700</v>
      </c>
      <c r="C306" t="s">
        <v>18</v>
      </c>
      <c r="D306" t="s">
        <v>34</v>
      </c>
      <c r="E306" t="s">
        <v>35</v>
      </c>
      <c r="F306" t="s">
        <v>23</v>
      </c>
      <c r="G306">
        <v>8</v>
      </c>
      <c r="H306" s="4">
        <v>180.18</v>
      </c>
      <c r="I306" s="5">
        <v>0.15</v>
      </c>
      <c r="J306" s="4">
        <v>1225.22</v>
      </c>
      <c r="K306" s="4">
        <v>902.26</v>
      </c>
      <c r="L306" s="4">
        <v>322.95999999999998</v>
      </c>
    </row>
    <row r="307" spans="1:12" x14ac:dyDescent="0.35">
      <c r="A307" t="s">
        <v>345</v>
      </c>
      <c r="B307" s="3">
        <v>45881</v>
      </c>
      <c r="C307" t="s">
        <v>1</v>
      </c>
      <c r="D307" t="s">
        <v>2</v>
      </c>
      <c r="E307" t="s">
        <v>16</v>
      </c>
      <c r="F307" t="s">
        <v>4</v>
      </c>
      <c r="G307">
        <v>8</v>
      </c>
      <c r="H307" s="4">
        <v>189.59</v>
      </c>
      <c r="I307" s="5">
        <v>0.05</v>
      </c>
      <c r="J307" s="4">
        <v>1440.88</v>
      </c>
      <c r="K307" s="4">
        <v>1103.48</v>
      </c>
      <c r="L307" s="4">
        <v>337.4</v>
      </c>
    </row>
    <row r="308" spans="1:12" x14ac:dyDescent="0.35">
      <c r="A308" t="s">
        <v>346</v>
      </c>
      <c r="B308" s="3">
        <v>45870</v>
      </c>
      <c r="C308" t="s">
        <v>1</v>
      </c>
      <c r="D308" t="s">
        <v>2</v>
      </c>
      <c r="E308" t="s">
        <v>29</v>
      </c>
      <c r="F308" t="s">
        <v>23</v>
      </c>
      <c r="G308">
        <v>9</v>
      </c>
      <c r="H308" s="4">
        <v>145.37</v>
      </c>
      <c r="I308" s="5">
        <v>0.05</v>
      </c>
      <c r="J308" s="4">
        <v>1242.9100000000001</v>
      </c>
      <c r="K308" s="4">
        <v>711.04</v>
      </c>
      <c r="L308" s="4">
        <v>531.87</v>
      </c>
    </row>
    <row r="309" spans="1:12" x14ac:dyDescent="0.35">
      <c r="A309" t="s">
        <v>347</v>
      </c>
      <c r="B309" s="3">
        <v>45855</v>
      </c>
      <c r="C309" t="s">
        <v>1</v>
      </c>
      <c r="D309" t="s">
        <v>28</v>
      </c>
      <c r="E309" t="s">
        <v>22</v>
      </c>
      <c r="F309" t="s">
        <v>23</v>
      </c>
      <c r="G309">
        <v>4</v>
      </c>
      <c r="H309" s="4">
        <v>278.02</v>
      </c>
      <c r="I309" s="5">
        <v>0</v>
      </c>
      <c r="J309" s="4">
        <v>1112.08</v>
      </c>
      <c r="K309" s="4">
        <v>888.15</v>
      </c>
      <c r="L309" s="4">
        <v>223.93</v>
      </c>
    </row>
    <row r="310" spans="1:12" x14ac:dyDescent="0.35">
      <c r="A310" t="s">
        <v>348</v>
      </c>
      <c r="B310" s="3">
        <v>45708</v>
      </c>
      <c r="C310" t="s">
        <v>25</v>
      </c>
      <c r="D310" t="s">
        <v>37</v>
      </c>
      <c r="E310" t="s">
        <v>61</v>
      </c>
      <c r="F310" t="s">
        <v>4</v>
      </c>
      <c r="G310">
        <v>3</v>
      </c>
      <c r="H310" s="4">
        <v>69.47</v>
      </c>
      <c r="I310" s="5">
        <v>0</v>
      </c>
      <c r="J310" s="4">
        <v>208.41</v>
      </c>
      <c r="K310" s="4">
        <v>130.21</v>
      </c>
      <c r="L310" s="4">
        <v>78.2</v>
      </c>
    </row>
    <row r="311" spans="1:12" x14ac:dyDescent="0.35">
      <c r="A311" t="s">
        <v>349</v>
      </c>
      <c r="B311" s="3">
        <v>45899</v>
      </c>
      <c r="C311" t="s">
        <v>18</v>
      </c>
      <c r="D311" t="s">
        <v>40</v>
      </c>
      <c r="E311" t="s">
        <v>20</v>
      </c>
      <c r="F311" t="s">
        <v>8</v>
      </c>
      <c r="G311">
        <v>8</v>
      </c>
      <c r="H311" s="4">
        <v>38.22</v>
      </c>
      <c r="I311" s="5">
        <v>0.1</v>
      </c>
      <c r="J311" s="4">
        <v>275.18</v>
      </c>
      <c r="K311" s="4">
        <v>206.94</v>
      </c>
      <c r="L311" s="4">
        <v>68.239999999999995</v>
      </c>
    </row>
    <row r="312" spans="1:12" x14ac:dyDescent="0.35">
      <c r="A312" t="s">
        <v>350</v>
      </c>
      <c r="B312" s="3">
        <v>45660</v>
      </c>
      <c r="C312" t="s">
        <v>1</v>
      </c>
      <c r="D312" t="s">
        <v>2</v>
      </c>
      <c r="E312" t="s">
        <v>3</v>
      </c>
      <c r="F312" t="s">
        <v>4</v>
      </c>
      <c r="G312">
        <v>5</v>
      </c>
      <c r="H312" s="4">
        <v>769.55</v>
      </c>
      <c r="I312" s="5">
        <v>0.02</v>
      </c>
      <c r="J312" s="4">
        <v>3770.8</v>
      </c>
      <c r="K312" s="4">
        <v>2287.08</v>
      </c>
      <c r="L312" s="4">
        <v>1483.72</v>
      </c>
    </row>
    <row r="313" spans="1:12" x14ac:dyDescent="0.35">
      <c r="A313" t="s">
        <v>351</v>
      </c>
      <c r="B313" s="3">
        <v>45938</v>
      </c>
      <c r="C313" t="s">
        <v>14</v>
      </c>
      <c r="D313" t="s">
        <v>15</v>
      </c>
      <c r="E313" t="s">
        <v>52</v>
      </c>
      <c r="F313" t="s">
        <v>4</v>
      </c>
      <c r="G313">
        <v>5</v>
      </c>
      <c r="H313" s="4">
        <v>528.63</v>
      </c>
      <c r="I313" s="5">
        <v>0.02</v>
      </c>
      <c r="J313" s="4">
        <v>2590.29</v>
      </c>
      <c r="K313" s="4">
        <v>1763.52</v>
      </c>
      <c r="L313" s="4">
        <v>826.77</v>
      </c>
    </row>
    <row r="314" spans="1:12" x14ac:dyDescent="0.35">
      <c r="A314" t="s">
        <v>352</v>
      </c>
      <c r="B314" s="3">
        <v>45720</v>
      </c>
      <c r="C314" t="s">
        <v>1</v>
      </c>
      <c r="D314" t="s">
        <v>6</v>
      </c>
      <c r="E314" t="s">
        <v>16</v>
      </c>
      <c r="F314" t="s">
        <v>4</v>
      </c>
      <c r="G314">
        <v>7</v>
      </c>
      <c r="H314" s="4">
        <v>227.8</v>
      </c>
      <c r="I314" s="5">
        <v>0.2</v>
      </c>
      <c r="J314" s="4">
        <v>1275.68</v>
      </c>
      <c r="K314" s="4">
        <v>828.69</v>
      </c>
      <c r="L314" s="4">
        <v>446.99</v>
      </c>
    </row>
    <row r="315" spans="1:12" x14ac:dyDescent="0.35">
      <c r="A315" t="s">
        <v>353</v>
      </c>
      <c r="B315" s="3">
        <v>45892</v>
      </c>
      <c r="C315" t="s">
        <v>1</v>
      </c>
      <c r="D315" t="s">
        <v>6</v>
      </c>
      <c r="E315" t="s">
        <v>52</v>
      </c>
      <c r="F315" t="s">
        <v>4</v>
      </c>
      <c r="G315">
        <v>8</v>
      </c>
      <c r="H315" s="4">
        <v>543.82000000000005</v>
      </c>
      <c r="I315" s="5">
        <v>0.15</v>
      </c>
      <c r="J315" s="4">
        <v>3697.98</v>
      </c>
      <c r="K315" s="4">
        <v>2780.2</v>
      </c>
      <c r="L315" s="4">
        <v>917.78</v>
      </c>
    </row>
    <row r="316" spans="1:12" x14ac:dyDescent="0.35">
      <c r="A316" t="s">
        <v>354</v>
      </c>
      <c r="B316" s="3">
        <v>45666</v>
      </c>
      <c r="C316" t="s">
        <v>18</v>
      </c>
      <c r="D316" t="s">
        <v>19</v>
      </c>
      <c r="E316" t="s">
        <v>20</v>
      </c>
      <c r="F316" t="s">
        <v>8</v>
      </c>
      <c r="G316">
        <v>3</v>
      </c>
      <c r="H316" s="4">
        <v>30.14</v>
      </c>
      <c r="I316" s="5">
        <v>0.05</v>
      </c>
      <c r="J316" s="4">
        <v>85.9</v>
      </c>
      <c r="K316" s="4">
        <v>53.1</v>
      </c>
      <c r="L316" s="4">
        <v>32.799999999999997</v>
      </c>
    </row>
    <row r="317" spans="1:12" x14ac:dyDescent="0.35">
      <c r="A317" t="s">
        <v>355</v>
      </c>
      <c r="B317" s="3">
        <v>45658</v>
      </c>
      <c r="C317" t="s">
        <v>25</v>
      </c>
      <c r="D317" t="s">
        <v>31</v>
      </c>
      <c r="E317" t="s">
        <v>16</v>
      </c>
      <c r="F317" t="s">
        <v>4</v>
      </c>
      <c r="G317">
        <v>10</v>
      </c>
      <c r="H317" s="4">
        <v>234.08</v>
      </c>
      <c r="I317" s="5">
        <v>0.1</v>
      </c>
      <c r="J317" s="4">
        <v>2106.7199999999998</v>
      </c>
      <c r="K317" s="4">
        <v>1667.9</v>
      </c>
      <c r="L317" s="4">
        <v>438.82</v>
      </c>
    </row>
    <row r="318" spans="1:12" x14ac:dyDescent="0.35">
      <c r="A318" t="s">
        <v>356</v>
      </c>
      <c r="B318" s="3">
        <v>45998</v>
      </c>
      <c r="C318" t="s">
        <v>1</v>
      </c>
      <c r="D318" t="s">
        <v>6</v>
      </c>
      <c r="E318" t="s">
        <v>11</v>
      </c>
      <c r="F318" t="s">
        <v>12</v>
      </c>
      <c r="G318">
        <v>6</v>
      </c>
      <c r="H318" s="4">
        <v>8.0299999999999994</v>
      </c>
      <c r="I318" s="5">
        <v>0</v>
      </c>
      <c r="J318" s="4">
        <v>48.18</v>
      </c>
      <c r="K318" s="4">
        <v>33.42</v>
      </c>
      <c r="L318" s="4">
        <v>14.76</v>
      </c>
    </row>
    <row r="319" spans="1:12" x14ac:dyDescent="0.35">
      <c r="A319" t="s">
        <v>357</v>
      </c>
      <c r="B319" s="3">
        <v>45936</v>
      </c>
      <c r="C319" t="s">
        <v>1</v>
      </c>
      <c r="D319" t="s">
        <v>6</v>
      </c>
      <c r="E319" t="s">
        <v>29</v>
      </c>
      <c r="F319" t="s">
        <v>23</v>
      </c>
      <c r="G319">
        <v>8</v>
      </c>
      <c r="H319" s="4">
        <v>123.5</v>
      </c>
      <c r="I319" s="5">
        <v>0</v>
      </c>
      <c r="J319" s="4">
        <v>988</v>
      </c>
      <c r="K319" s="4">
        <v>662.75</v>
      </c>
      <c r="L319" s="4">
        <v>325.25</v>
      </c>
    </row>
    <row r="320" spans="1:12" x14ac:dyDescent="0.35">
      <c r="A320" t="s">
        <v>358</v>
      </c>
      <c r="B320" s="3">
        <v>45856</v>
      </c>
      <c r="C320" t="s">
        <v>25</v>
      </c>
      <c r="D320" t="s">
        <v>31</v>
      </c>
      <c r="E320" t="s">
        <v>35</v>
      </c>
      <c r="F320" t="s">
        <v>23</v>
      </c>
      <c r="G320">
        <v>1</v>
      </c>
      <c r="H320" s="4">
        <v>181.76</v>
      </c>
      <c r="I320" s="5">
        <v>0.05</v>
      </c>
      <c r="J320" s="4">
        <v>172.67</v>
      </c>
      <c r="K320" s="4">
        <v>106.27</v>
      </c>
      <c r="L320" s="4">
        <v>66.400000000000006</v>
      </c>
    </row>
    <row r="321" spans="1:12" x14ac:dyDescent="0.35">
      <c r="A321" t="s">
        <v>359</v>
      </c>
      <c r="B321" s="3">
        <v>45834</v>
      </c>
      <c r="C321" t="s">
        <v>18</v>
      </c>
      <c r="D321" t="s">
        <v>40</v>
      </c>
      <c r="E321" t="s">
        <v>20</v>
      </c>
      <c r="F321" t="s">
        <v>8</v>
      </c>
      <c r="G321">
        <v>2</v>
      </c>
      <c r="H321" s="4">
        <v>32.58</v>
      </c>
      <c r="I321" s="5">
        <v>0.15</v>
      </c>
      <c r="J321" s="4">
        <v>55.39</v>
      </c>
      <c r="K321" s="4">
        <v>36.11</v>
      </c>
      <c r="L321" s="4">
        <v>19.28</v>
      </c>
    </row>
    <row r="322" spans="1:12" x14ac:dyDescent="0.35">
      <c r="A322" t="s">
        <v>360</v>
      </c>
      <c r="B322" s="3">
        <v>45828</v>
      </c>
      <c r="C322" t="s">
        <v>18</v>
      </c>
      <c r="D322" t="s">
        <v>19</v>
      </c>
      <c r="E322" t="s">
        <v>3</v>
      </c>
      <c r="F322" t="s">
        <v>4</v>
      </c>
      <c r="G322">
        <v>6</v>
      </c>
      <c r="H322" s="4">
        <v>727.62</v>
      </c>
      <c r="I322" s="5">
        <v>0.15</v>
      </c>
      <c r="J322" s="4">
        <v>3710.86</v>
      </c>
      <c r="K322" s="4">
        <v>2363.67</v>
      </c>
      <c r="L322" s="4">
        <v>1347.19</v>
      </c>
    </row>
    <row r="323" spans="1:12" x14ac:dyDescent="0.35">
      <c r="A323" t="s">
        <v>361</v>
      </c>
      <c r="B323" s="3">
        <v>45987</v>
      </c>
      <c r="C323" t="s">
        <v>18</v>
      </c>
      <c r="D323" t="s">
        <v>19</v>
      </c>
      <c r="E323" t="s">
        <v>7</v>
      </c>
      <c r="F323" t="s">
        <v>8</v>
      </c>
      <c r="G323">
        <v>8</v>
      </c>
      <c r="H323" s="4">
        <v>41.1</v>
      </c>
      <c r="I323" s="5">
        <v>0.2</v>
      </c>
      <c r="J323" s="4">
        <v>263.04000000000002</v>
      </c>
      <c r="K323" s="4">
        <v>167.93</v>
      </c>
      <c r="L323" s="4">
        <v>95.11</v>
      </c>
    </row>
    <row r="324" spans="1:12" x14ac:dyDescent="0.35">
      <c r="A324" t="s">
        <v>362</v>
      </c>
      <c r="B324" s="3">
        <v>45981</v>
      </c>
      <c r="C324" t="s">
        <v>18</v>
      </c>
      <c r="D324" t="s">
        <v>19</v>
      </c>
      <c r="E324" t="s">
        <v>61</v>
      </c>
      <c r="F324" t="s">
        <v>4</v>
      </c>
      <c r="G324">
        <v>2</v>
      </c>
      <c r="H324" s="4">
        <v>70.87</v>
      </c>
      <c r="I324" s="5">
        <v>0.2</v>
      </c>
      <c r="J324" s="4">
        <v>113.39</v>
      </c>
      <c r="K324" s="4">
        <v>89.63</v>
      </c>
      <c r="L324" s="4">
        <v>23.76</v>
      </c>
    </row>
    <row r="325" spans="1:12" x14ac:dyDescent="0.35">
      <c r="A325" t="s">
        <v>363</v>
      </c>
      <c r="B325" s="3">
        <v>45676</v>
      </c>
      <c r="C325" t="s">
        <v>25</v>
      </c>
      <c r="D325" t="s">
        <v>31</v>
      </c>
      <c r="E325" t="s">
        <v>16</v>
      </c>
      <c r="F325" t="s">
        <v>4</v>
      </c>
      <c r="G325">
        <v>1</v>
      </c>
      <c r="H325" s="4">
        <v>226.18</v>
      </c>
      <c r="I325" s="5">
        <v>0.02</v>
      </c>
      <c r="J325" s="4">
        <v>221.66</v>
      </c>
      <c r="K325" s="4">
        <v>162.56</v>
      </c>
      <c r="L325" s="4">
        <v>59.1</v>
      </c>
    </row>
    <row r="326" spans="1:12" x14ac:dyDescent="0.35">
      <c r="A326" t="s">
        <v>364</v>
      </c>
      <c r="B326" s="3">
        <v>45819</v>
      </c>
      <c r="C326" t="s">
        <v>25</v>
      </c>
      <c r="D326" t="s">
        <v>37</v>
      </c>
      <c r="E326" t="s">
        <v>11</v>
      </c>
      <c r="F326" t="s">
        <v>12</v>
      </c>
      <c r="G326">
        <v>7</v>
      </c>
      <c r="H326" s="4">
        <v>8.69</v>
      </c>
      <c r="I326" s="5">
        <v>0.15</v>
      </c>
      <c r="J326" s="4">
        <v>51.71</v>
      </c>
      <c r="K326" s="4">
        <v>35.4</v>
      </c>
      <c r="L326" s="4">
        <v>16.309999999999999</v>
      </c>
    </row>
    <row r="327" spans="1:12" x14ac:dyDescent="0.35">
      <c r="A327" t="s">
        <v>365</v>
      </c>
      <c r="B327" s="3">
        <v>45787</v>
      </c>
      <c r="C327" t="s">
        <v>1</v>
      </c>
      <c r="D327" t="s">
        <v>28</v>
      </c>
      <c r="E327" t="s">
        <v>7</v>
      </c>
      <c r="F327" t="s">
        <v>8</v>
      </c>
      <c r="G327">
        <v>4</v>
      </c>
      <c r="H327" s="4">
        <v>39.42</v>
      </c>
      <c r="I327" s="5">
        <v>0.05</v>
      </c>
      <c r="J327" s="4">
        <v>149.80000000000001</v>
      </c>
      <c r="K327" s="4">
        <v>104.11</v>
      </c>
      <c r="L327" s="4">
        <v>45.69</v>
      </c>
    </row>
    <row r="328" spans="1:12" x14ac:dyDescent="0.35">
      <c r="A328" t="s">
        <v>366</v>
      </c>
      <c r="B328" s="3">
        <v>45682</v>
      </c>
      <c r="C328" t="s">
        <v>25</v>
      </c>
      <c r="D328" t="s">
        <v>37</v>
      </c>
      <c r="E328" t="s">
        <v>35</v>
      </c>
      <c r="F328" t="s">
        <v>23</v>
      </c>
      <c r="G328">
        <v>2</v>
      </c>
      <c r="H328" s="4">
        <v>184.69</v>
      </c>
      <c r="I328" s="5">
        <v>0.05</v>
      </c>
      <c r="J328" s="4">
        <v>350.91</v>
      </c>
      <c r="K328" s="4">
        <v>263.63</v>
      </c>
      <c r="L328" s="4">
        <v>87.28</v>
      </c>
    </row>
    <row r="329" spans="1:12" x14ac:dyDescent="0.35">
      <c r="A329" t="s">
        <v>367</v>
      </c>
      <c r="B329" s="3">
        <v>45862</v>
      </c>
      <c r="C329" t="s">
        <v>14</v>
      </c>
      <c r="D329" t="s">
        <v>15</v>
      </c>
      <c r="E329" t="s">
        <v>29</v>
      </c>
      <c r="F329" t="s">
        <v>23</v>
      </c>
      <c r="G329">
        <v>6</v>
      </c>
      <c r="H329" s="4">
        <v>137.13</v>
      </c>
      <c r="I329" s="5">
        <v>0.02</v>
      </c>
      <c r="J329" s="4">
        <v>806.32</v>
      </c>
      <c r="K329" s="4">
        <v>471.25</v>
      </c>
      <c r="L329" s="4">
        <v>335.07</v>
      </c>
    </row>
    <row r="330" spans="1:12" x14ac:dyDescent="0.35">
      <c r="A330" t="s">
        <v>368</v>
      </c>
      <c r="B330" s="3">
        <v>46012</v>
      </c>
      <c r="C330" t="s">
        <v>14</v>
      </c>
      <c r="D330" t="s">
        <v>55</v>
      </c>
      <c r="E330" t="s">
        <v>22</v>
      </c>
      <c r="F330" t="s">
        <v>23</v>
      </c>
      <c r="G330">
        <v>9</v>
      </c>
      <c r="H330" s="4">
        <v>233.78</v>
      </c>
      <c r="I330" s="5">
        <v>0.05</v>
      </c>
      <c r="J330" s="4">
        <v>1998.82</v>
      </c>
      <c r="K330" s="4">
        <v>1295.3</v>
      </c>
      <c r="L330" s="4">
        <v>703.52</v>
      </c>
    </row>
    <row r="331" spans="1:12" x14ac:dyDescent="0.35">
      <c r="A331" t="s">
        <v>369</v>
      </c>
      <c r="B331" s="3">
        <v>45875</v>
      </c>
      <c r="C331" t="s">
        <v>1</v>
      </c>
      <c r="D331" t="s">
        <v>6</v>
      </c>
      <c r="E331" t="s">
        <v>29</v>
      </c>
      <c r="F331" t="s">
        <v>23</v>
      </c>
      <c r="G331">
        <v>10</v>
      </c>
      <c r="H331" s="4">
        <v>146.13</v>
      </c>
      <c r="I331" s="5">
        <v>0.02</v>
      </c>
      <c r="J331" s="4">
        <v>1432.07</v>
      </c>
      <c r="K331" s="4">
        <v>1008.34</v>
      </c>
      <c r="L331" s="4">
        <v>423.73</v>
      </c>
    </row>
    <row r="332" spans="1:12" x14ac:dyDescent="0.35">
      <c r="A332" t="s">
        <v>370</v>
      </c>
      <c r="B332" s="3">
        <v>45808</v>
      </c>
      <c r="C332" t="s">
        <v>25</v>
      </c>
      <c r="D332" t="s">
        <v>46</v>
      </c>
      <c r="E332" t="s">
        <v>52</v>
      </c>
      <c r="F332" t="s">
        <v>4</v>
      </c>
      <c r="G332">
        <v>2</v>
      </c>
      <c r="H332" s="4">
        <v>526.26</v>
      </c>
      <c r="I332" s="5">
        <v>0.05</v>
      </c>
      <c r="J332" s="4">
        <v>999.89</v>
      </c>
      <c r="K332" s="4">
        <v>816.27</v>
      </c>
      <c r="L332" s="4">
        <v>183.62</v>
      </c>
    </row>
    <row r="333" spans="1:12" x14ac:dyDescent="0.35">
      <c r="A333" t="s">
        <v>371</v>
      </c>
      <c r="B333" s="3">
        <v>45809</v>
      </c>
      <c r="C333" t="s">
        <v>25</v>
      </c>
      <c r="D333" t="s">
        <v>37</v>
      </c>
      <c r="E333" t="s">
        <v>38</v>
      </c>
      <c r="F333" t="s">
        <v>12</v>
      </c>
      <c r="G333">
        <v>10</v>
      </c>
      <c r="H333" s="4">
        <v>165.08</v>
      </c>
      <c r="I333" s="5">
        <v>0.2</v>
      </c>
      <c r="J333" s="4">
        <v>1320.64</v>
      </c>
      <c r="K333" s="4">
        <v>810.94</v>
      </c>
      <c r="L333" s="4">
        <v>509.7</v>
      </c>
    </row>
    <row r="334" spans="1:12" x14ac:dyDescent="0.35">
      <c r="A334" t="s">
        <v>372</v>
      </c>
      <c r="B334" s="3">
        <v>45743</v>
      </c>
      <c r="C334" t="s">
        <v>14</v>
      </c>
      <c r="D334" t="s">
        <v>66</v>
      </c>
      <c r="E334" t="s">
        <v>22</v>
      </c>
      <c r="F334" t="s">
        <v>23</v>
      </c>
      <c r="G334">
        <v>8</v>
      </c>
      <c r="H334" s="4">
        <v>220.13</v>
      </c>
      <c r="I334" s="5">
        <v>0</v>
      </c>
      <c r="J334" s="4">
        <v>1761.04</v>
      </c>
      <c r="K334" s="4">
        <v>1041.25</v>
      </c>
      <c r="L334" s="4">
        <v>719.79</v>
      </c>
    </row>
    <row r="335" spans="1:12" x14ac:dyDescent="0.35">
      <c r="A335" t="s">
        <v>373</v>
      </c>
      <c r="B335" s="3">
        <v>45838</v>
      </c>
      <c r="C335" t="s">
        <v>14</v>
      </c>
      <c r="D335" t="s">
        <v>66</v>
      </c>
      <c r="E335" t="s">
        <v>374</v>
      </c>
      <c r="F335" t="s">
        <v>23</v>
      </c>
      <c r="G335">
        <v>1</v>
      </c>
      <c r="H335" s="4">
        <v>166.28</v>
      </c>
      <c r="I335" s="5">
        <v>0</v>
      </c>
      <c r="J335" s="4">
        <v>166.28</v>
      </c>
      <c r="K335" s="4">
        <v>98.67</v>
      </c>
      <c r="L335" s="4">
        <v>67.61</v>
      </c>
    </row>
    <row r="336" spans="1:12" x14ac:dyDescent="0.35">
      <c r="A336" t="s">
        <v>375</v>
      </c>
      <c r="B336" s="3">
        <v>45984</v>
      </c>
      <c r="C336" t="s">
        <v>14</v>
      </c>
      <c r="D336" t="s">
        <v>66</v>
      </c>
      <c r="E336" t="s">
        <v>22</v>
      </c>
      <c r="F336" t="s">
        <v>23</v>
      </c>
      <c r="G336">
        <v>9</v>
      </c>
      <c r="H336" s="4">
        <v>226.49</v>
      </c>
      <c r="I336" s="5">
        <v>0.2</v>
      </c>
      <c r="J336" s="4">
        <v>1630.73</v>
      </c>
      <c r="K336" s="4">
        <v>1022.43</v>
      </c>
      <c r="L336" s="4">
        <v>608.29999999999995</v>
      </c>
    </row>
    <row r="337" spans="1:12" x14ac:dyDescent="0.35">
      <c r="A337" t="s">
        <v>376</v>
      </c>
      <c r="B337" s="3">
        <v>45739</v>
      </c>
      <c r="C337" t="s">
        <v>1</v>
      </c>
      <c r="D337" t="s">
        <v>28</v>
      </c>
      <c r="E337" t="s">
        <v>61</v>
      </c>
      <c r="F337" t="s">
        <v>4</v>
      </c>
      <c r="G337">
        <v>10</v>
      </c>
      <c r="H337" s="4">
        <v>72.16</v>
      </c>
      <c r="I337" s="5">
        <v>0.2</v>
      </c>
      <c r="J337" s="4">
        <v>577.28</v>
      </c>
      <c r="K337" s="4">
        <v>457.28</v>
      </c>
      <c r="L337" s="4">
        <v>120</v>
      </c>
    </row>
    <row r="338" spans="1:12" x14ac:dyDescent="0.35">
      <c r="A338" t="s">
        <v>377</v>
      </c>
      <c r="B338" s="3">
        <v>45675</v>
      </c>
      <c r="C338" t="s">
        <v>18</v>
      </c>
      <c r="D338" t="s">
        <v>19</v>
      </c>
      <c r="E338" t="s">
        <v>52</v>
      </c>
      <c r="F338" t="s">
        <v>4</v>
      </c>
      <c r="G338">
        <v>4</v>
      </c>
      <c r="H338" s="4">
        <v>480.74</v>
      </c>
      <c r="I338" s="5">
        <v>0.2</v>
      </c>
      <c r="J338" s="4">
        <v>1538.37</v>
      </c>
      <c r="K338" s="4">
        <v>1063.96</v>
      </c>
      <c r="L338" s="4">
        <v>474.41</v>
      </c>
    </row>
    <row r="339" spans="1:12" x14ac:dyDescent="0.35">
      <c r="A339" t="s">
        <v>378</v>
      </c>
      <c r="B339" s="3">
        <v>45843</v>
      </c>
      <c r="C339" t="s">
        <v>14</v>
      </c>
      <c r="D339" t="s">
        <v>55</v>
      </c>
      <c r="E339" t="s">
        <v>32</v>
      </c>
      <c r="F339" t="s">
        <v>12</v>
      </c>
      <c r="G339">
        <v>1</v>
      </c>
      <c r="H339" s="4">
        <v>11.68</v>
      </c>
      <c r="I339" s="5">
        <v>0.15</v>
      </c>
      <c r="J339" s="4">
        <v>9.93</v>
      </c>
      <c r="K339" s="4">
        <v>8.1</v>
      </c>
      <c r="L339" s="4">
        <v>1.83</v>
      </c>
    </row>
    <row r="340" spans="1:12" x14ac:dyDescent="0.35">
      <c r="A340" t="s">
        <v>379</v>
      </c>
      <c r="B340" s="3">
        <v>46005</v>
      </c>
      <c r="C340" t="s">
        <v>14</v>
      </c>
      <c r="D340" t="s">
        <v>55</v>
      </c>
      <c r="E340" t="s">
        <v>22</v>
      </c>
      <c r="F340" t="s">
        <v>23</v>
      </c>
      <c r="G340">
        <v>6</v>
      </c>
      <c r="H340" s="4">
        <v>220.9</v>
      </c>
      <c r="I340" s="5">
        <v>0.1</v>
      </c>
      <c r="J340" s="4">
        <v>1192.8599999999999</v>
      </c>
      <c r="K340" s="4">
        <v>784.21</v>
      </c>
      <c r="L340" s="4">
        <v>408.65</v>
      </c>
    </row>
    <row r="341" spans="1:12" x14ac:dyDescent="0.35">
      <c r="A341" t="s">
        <v>380</v>
      </c>
      <c r="B341" s="3">
        <v>45951</v>
      </c>
      <c r="C341" t="s">
        <v>18</v>
      </c>
      <c r="D341" t="s">
        <v>19</v>
      </c>
      <c r="E341" t="s">
        <v>11</v>
      </c>
      <c r="F341" t="s">
        <v>12</v>
      </c>
      <c r="G341">
        <v>6</v>
      </c>
      <c r="H341" s="4">
        <v>9.1300000000000008</v>
      </c>
      <c r="I341" s="5">
        <v>0.1</v>
      </c>
      <c r="J341" s="4">
        <v>49.3</v>
      </c>
      <c r="K341" s="4">
        <v>38.64</v>
      </c>
      <c r="L341" s="4">
        <v>10.66</v>
      </c>
    </row>
    <row r="342" spans="1:12" x14ac:dyDescent="0.35">
      <c r="A342" t="s">
        <v>381</v>
      </c>
      <c r="B342" s="3">
        <v>45990</v>
      </c>
      <c r="C342" t="s">
        <v>25</v>
      </c>
      <c r="D342" t="s">
        <v>46</v>
      </c>
      <c r="E342" t="s">
        <v>16</v>
      </c>
      <c r="F342" t="s">
        <v>4</v>
      </c>
      <c r="G342">
        <v>2</v>
      </c>
      <c r="H342" s="4">
        <v>240.93</v>
      </c>
      <c r="I342" s="5">
        <v>0</v>
      </c>
      <c r="J342" s="4">
        <v>481.86</v>
      </c>
      <c r="K342" s="4">
        <v>298.58</v>
      </c>
      <c r="L342" s="4">
        <v>183.28</v>
      </c>
    </row>
    <row r="343" spans="1:12" x14ac:dyDescent="0.35">
      <c r="A343" t="s">
        <v>382</v>
      </c>
      <c r="B343" s="3">
        <v>45753</v>
      </c>
      <c r="C343" t="s">
        <v>14</v>
      </c>
      <c r="D343" t="s">
        <v>55</v>
      </c>
      <c r="E343" t="s">
        <v>11</v>
      </c>
      <c r="F343" t="s">
        <v>12</v>
      </c>
      <c r="G343">
        <v>7</v>
      </c>
      <c r="H343" s="4">
        <v>7.21</v>
      </c>
      <c r="I343" s="5">
        <v>0.15</v>
      </c>
      <c r="J343" s="4">
        <v>42.9</v>
      </c>
      <c r="K343" s="4">
        <v>31.34</v>
      </c>
      <c r="L343" s="4">
        <v>11.56</v>
      </c>
    </row>
    <row r="344" spans="1:12" x14ac:dyDescent="0.35">
      <c r="A344" t="s">
        <v>383</v>
      </c>
      <c r="B344" s="3">
        <v>45792</v>
      </c>
      <c r="C344" t="s">
        <v>25</v>
      </c>
      <c r="D344" t="s">
        <v>46</v>
      </c>
      <c r="E344" t="s">
        <v>20</v>
      </c>
      <c r="F344" t="s">
        <v>8</v>
      </c>
      <c r="G344">
        <v>8</v>
      </c>
      <c r="H344" s="4">
        <v>39.51</v>
      </c>
      <c r="I344" s="5">
        <v>0.02</v>
      </c>
      <c r="J344" s="4">
        <v>309.76</v>
      </c>
      <c r="K344" s="4">
        <v>216.93</v>
      </c>
      <c r="L344" s="4">
        <v>92.83</v>
      </c>
    </row>
    <row r="345" spans="1:12" x14ac:dyDescent="0.35">
      <c r="A345" t="s">
        <v>384</v>
      </c>
      <c r="B345" s="3">
        <v>45804</v>
      </c>
      <c r="C345" t="s">
        <v>14</v>
      </c>
      <c r="D345" t="s">
        <v>55</v>
      </c>
      <c r="E345" t="s">
        <v>16</v>
      </c>
      <c r="F345" t="s">
        <v>4</v>
      </c>
      <c r="G345">
        <v>2</v>
      </c>
      <c r="H345" s="4">
        <v>224.73</v>
      </c>
      <c r="I345" s="5">
        <v>0.02</v>
      </c>
      <c r="J345" s="4">
        <v>440.47</v>
      </c>
      <c r="K345" s="4">
        <v>275.56</v>
      </c>
      <c r="L345" s="4">
        <v>164.91</v>
      </c>
    </row>
    <row r="346" spans="1:12" x14ac:dyDescent="0.35">
      <c r="A346" t="s">
        <v>385</v>
      </c>
      <c r="B346" s="3">
        <v>45889</v>
      </c>
      <c r="C346" t="s">
        <v>18</v>
      </c>
      <c r="D346" t="s">
        <v>40</v>
      </c>
      <c r="E346" t="s">
        <v>20</v>
      </c>
      <c r="F346" t="s">
        <v>8</v>
      </c>
      <c r="G346">
        <v>8</v>
      </c>
      <c r="H346" s="4">
        <v>37.83</v>
      </c>
      <c r="I346" s="5">
        <v>0</v>
      </c>
      <c r="J346" s="4">
        <v>302.64</v>
      </c>
      <c r="K346" s="4">
        <v>181.74</v>
      </c>
      <c r="L346" s="4">
        <v>120.9</v>
      </c>
    </row>
    <row r="347" spans="1:12" x14ac:dyDescent="0.35">
      <c r="A347" t="s">
        <v>386</v>
      </c>
      <c r="B347" s="3">
        <v>45821</v>
      </c>
      <c r="C347" t="s">
        <v>25</v>
      </c>
      <c r="D347" t="s">
        <v>46</v>
      </c>
      <c r="E347" t="s">
        <v>20</v>
      </c>
      <c r="F347" t="s">
        <v>8</v>
      </c>
      <c r="G347">
        <v>2</v>
      </c>
      <c r="H347" s="4">
        <v>33.15</v>
      </c>
      <c r="I347" s="5">
        <v>0.15</v>
      </c>
      <c r="J347" s="4">
        <v>56.35</v>
      </c>
      <c r="K347" s="4">
        <v>37.47</v>
      </c>
      <c r="L347" s="4">
        <v>18.88</v>
      </c>
    </row>
    <row r="348" spans="1:12" x14ac:dyDescent="0.35">
      <c r="A348" t="s">
        <v>387</v>
      </c>
      <c r="B348" s="3">
        <v>45806</v>
      </c>
      <c r="C348" t="s">
        <v>25</v>
      </c>
      <c r="D348" t="s">
        <v>46</v>
      </c>
      <c r="E348" t="s">
        <v>61</v>
      </c>
      <c r="F348" t="s">
        <v>4</v>
      </c>
      <c r="G348">
        <v>3</v>
      </c>
      <c r="H348" s="4">
        <v>80.180000000000007</v>
      </c>
      <c r="I348" s="5">
        <v>0.05</v>
      </c>
      <c r="J348" s="4">
        <v>228.51</v>
      </c>
      <c r="K348" s="4">
        <v>140.63999999999999</v>
      </c>
      <c r="L348" s="4">
        <v>87.87</v>
      </c>
    </row>
    <row r="349" spans="1:12" x14ac:dyDescent="0.35">
      <c r="A349" t="s">
        <v>388</v>
      </c>
      <c r="B349" s="3">
        <v>45772</v>
      </c>
      <c r="C349" t="s">
        <v>1</v>
      </c>
      <c r="D349" t="s">
        <v>28</v>
      </c>
      <c r="E349" t="s">
        <v>16</v>
      </c>
      <c r="F349" t="s">
        <v>4</v>
      </c>
      <c r="G349">
        <v>3</v>
      </c>
      <c r="H349" s="4">
        <v>194.58</v>
      </c>
      <c r="I349" s="5">
        <v>0.02</v>
      </c>
      <c r="J349" s="4">
        <v>572.07000000000005</v>
      </c>
      <c r="K349" s="4">
        <v>408.95</v>
      </c>
      <c r="L349" s="4">
        <v>163.12</v>
      </c>
    </row>
    <row r="350" spans="1:12" x14ac:dyDescent="0.35">
      <c r="A350" t="s">
        <v>389</v>
      </c>
      <c r="B350" s="3">
        <v>45671</v>
      </c>
      <c r="C350" t="s">
        <v>25</v>
      </c>
      <c r="D350" t="s">
        <v>37</v>
      </c>
      <c r="E350" t="s">
        <v>11</v>
      </c>
      <c r="F350" t="s">
        <v>12</v>
      </c>
      <c r="G350">
        <v>10</v>
      </c>
      <c r="H350" s="4">
        <v>7.49</v>
      </c>
      <c r="I350" s="5">
        <v>0.05</v>
      </c>
      <c r="J350" s="4">
        <v>71.16</v>
      </c>
      <c r="K350" s="4">
        <v>50.31</v>
      </c>
      <c r="L350" s="4">
        <v>20.85</v>
      </c>
    </row>
    <row r="351" spans="1:12" x14ac:dyDescent="0.35">
      <c r="A351" t="s">
        <v>390</v>
      </c>
      <c r="B351" s="3">
        <v>45940</v>
      </c>
      <c r="C351" t="s">
        <v>18</v>
      </c>
      <c r="D351" t="s">
        <v>19</v>
      </c>
      <c r="E351" t="s">
        <v>32</v>
      </c>
      <c r="F351" t="s">
        <v>12</v>
      </c>
      <c r="G351">
        <v>2</v>
      </c>
      <c r="H351" s="4">
        <v>10.76</v>
      </c>
      <c r="I351" s="5">
        <v>0</v>
      </c>
      <c r="J351" s="4">
        <v>21.52</v>
      </c>
      <c r="K351" s="4">
        <v>14.63</v>
      </c>
      <c r="L351" s="4">
        <v>6.89</v>
      </c>
    </row>
    <row r="352" spans="1:12" x14ac:dyDescent="0.35">
      <c r="A352" t="s">
        <v>391</v>
      </c>
      <c r="B352" s="3">
        <v>45861</v>
      </c>
      <c r="C352" t="s">
        <v>14</v>
      </c>
      <c r="D352" t="s">
        <v>66</v>
      </c>
      <c r="E352" t="s">
        <v>11</v>
      </c>
      <c r="F352" t="s">
        <v>12</v>
      </c>
      <c r="G352">
        <v>7</v>
      </c>
      <c r="H352" s="4">
        <v>8.08</v>
      </c>
      <c r="I352" s="5">
        <v>0.1</v>
      </c>
      <c r="J352" s="4">
        <v>50.9</v>
      </c>
      <c r="K352" s="4">
        <v>28.71</v>
      </c>
      <c r="L352" s="4">
        <v>22.19</v>
      </c>
    </row>
    <row r="353" spans="1:12" x14ac:dyDescent="0.35">
      <c r="A353" t="s">
        <v>392</v>
      </c>
      <c r="B353" s="3">
        <v>45695</v>
      </c>
      <c r="C353" t="s">
        <v>18</v>
      </c>
      <c r="D353" t="s">
        <v>19</v>
      </c>
      <c r="E353" t="s">
        <v>22</v>
      </c>
      <c r="F353" t="s">
        <v>23</v>
      </c>
      <c r="G353">
        <v>2</v>
      </c>
      <c r="H353" s="4">
        <v>237.75</v>
      </c>
      <c r="I353" s="5">
        <v>0.1</v>
      </c>
      <c r="J353" s="4">
        <v>427.95</v>
      </c>
      <c r="K353" s="4">
        <v>250.9</v>
      </c>
      <c r="L353" s="4">
        <v>177.05</v>
      </c>
    </row>
    <row r="354" spans="1:12" x14ac:dyDescent="0.35">
      <c r="A354" t="s">
        <v>393</v>
      </c>
      <c r="B354" s="3">
        <v>46006</v>
      </c>
      <c r="C354" t="s">
        <v>25</v>
      </c>
      <c r="D354" t="s">
        <v>46</v>
      </c>
      <c r="E354" t="s">
        <v>61</v>
      </c>
      <c r="F354" t="s">
        <v>4</v>
      </c>
      <c r="G354">
        <v>9</v>
      </c>
      <c r="H354" s="4">
        <v>69.52</v>
      </c>
      <c r="I354" s="5">
        <v>0.2</v>
      </c>
      <c r="J354" s="4">
        <v>500.54</v>
      </c>
      <c r="K354" s="4">
        <v>409.09</v>
      </c>
      <c r="L354" s="4">
        <v>91.45</v>
      </c>
    </row>
    <row r="355" spans="1:12" x14ac:dyDescent="0.35">
      <c r="A355" t="s">
        <v>394</v>
      </c>
      <c r="B355" s="3">
        <v>45751</v>
      </c>
      <c r="C355" t="s">
        <v>18</v>
      </c>
      <c r="D355" t="s">
        <v>34</v>
      </c>
      <c r="E355" t="s">
        <v>29</v>
      </c>
      <c r="F355" t="s">
        <v>23</v>
      </c>
      <c r="G355">
        <v>9</v>
      </c>
      <c r="H355" s="4">
        <v>132.54</v>
      </c>
      <c r="I355" s="5">
        <v>0</v>
      </c>
      <c r="J355" s="4">
        <v>1192.8599999999999</v>
      </c>
      <c r="K355" s="4">
        <v>916.91</v>
      </c>
      <c r="L355" s="4">
        <v>275.95</v>
      </c>
    </row>
    <row r="356" spans="1:12" x14ac:dyDescent="0.35">
      <c r="A356" t="s">
        <v>395</v>
      </c>
      <c r="B356" s="3">
        <v>45923</v>
      </c>
      <c r="C356" t="s">
        <v>18</v>
      </c>
      <c r="D356" t="s">
        <v>19</v>
      </c>
      <c r="E356" t="s">
        <v>35</v>
      </c>
      <c r="F356" t="s">
        <v>23</v>
      </c>
      <c r="G356">
        <v>3</v>
      </c>
      <c r="H356" s="4">
        <v>166.75</v>
      </c>
      <c r="I356" s="5">
        <v>0.02</v>
      </c>
      <c r="J356" s="4">
        <v>490.25</v>
      </c>
      <c r="K356" s="4">
        <v>359.85</v>
      </c>
      <c r="L356" s="4">
        <v>130.4</v>
      </c>
    </row>
    <row r="357" spans="1:12" x14ac:dyDescent="0.35">
      <c r="A357" t="s">
        <v>396</v>
      </c>
      <c r="B357" s="3">
        <v>46021</v>
      </c>
      <c r="C357" t="s">
        <v>18</v>
      </c>
      <c r="D357" t="s">
        <v>34</v>
      </c>
      <c r="E357" t="s">
        <v>22</v>
      </c>
      <c r="F357" t="s">
        <v>23</v>
      </c>
      <c r="G357">
        <v>9</v>
      </c>
      <c r="H357" s="4">
        <v>269.52</v>
      </c>
      <c r="I357" s="5">
        <v>0.05</v>
      </c>
      <c r="J357" s="4">
        <v>2304.4</v>
      </c>
      <c r="K357" s="4">
        <v>1638.02</v>
      </c>
      <c r="L357" s="4">
        <v>666.38</v>
      </c>
    </row>
    <row r="358" spans="1:12" x14ac:dyDescent="0.35">
      <c r="A358" t="s">
        <v>397</v>
      </c>
      <c r="B358" s="3">
        <v>45786</v>
      </c>
      <c r="C358" t="s">
        <v>18</v>
      </c>
      <c r="D358" t="s">
        <v>34</v>
      </c>
      <c r="E358" t="s">
        <v>7</v>
      </c>
      <c r="F358" t="s">
        <v>8</v>
      </c>
      <c r="G358">
        <v>9</v>
      </c>
      <c r="H358" s="4">
        <v>44.62</v>
      </c>
      <c r="I358" s="5">
        <v>0.05</v>
      </c>
      <c r="J358" s="4">
        <v>381.5</v>
      </c>
      <c r="K358" s="4">
        <v>252.25</v>
      </c>
      <c r="L358" s="4">
        <v>129.25</v>
      </c>
    </row>
    <row r="359" spans="1:12" x14ac:dyDescent="0.35">
      <c r="A359" t="s">
        <v>398</v>
      </c>
      <c r="B359" s="3">
        <v>45978</v>
      </c>
      <c r="C359" t="s">
        <v>25</v>
      </c>
      <c r="D359" t="s">
        <v>46</v>
      </c>
      <c r="E359" t="s">
        <v>32</v>
      </c>
      <c r="F359" t="s">
        <v>12</v>
      </c>
      <c r="G359">
        <v>9</v>
      </c>
      <c r="H359" s="4">
        <v>11.46</v>
      </c>
      <c r="I359" s="5">
        <v>0</v>
      </c>
      <c r="J359" s="4">
        <v>103.14</v>
      </c>
      <c r="K359" s="4">
        <v>82.61</v>
      </c>
      <c r="L359" s="4">
        <v>20.53</v>
      </c>
    </row>
    <row r="360" spans="1:12" x14ac:dyDescent="0.35">
      <c r="A360" t="s">
        <v>399</v>
      </c>
      <c r="B360" s="3">
        <v>45986</v>
      </c>
      <c r="C360" t="s">
        <v>18</v>
      </c>
      <c r="D360" t="s">
        <v>34</v>
      </c>
      <c r="E360" t="s">
        <v>32</v>
      </c>
      <c r="F360" t="s">
        <v>12</v>
      </c>
      <c r="G360">
        <v>10</v>
      </c>
      <c r="H360" s="4">
        <v>13.19</v>
      </c>
      <c r="I360" s="5">
        <v>0.02</v>
      </c>
      <c r="J360" s="4">
        <v>129.26</v>
      </c>
      <c r="K360" s="4">
        <v>104.77</v>
      </c>
      <c r="L360" s="4">
        <v>24.49</v>
      </c>
    </row>
    <row r="361" spans="1:12" x14ac:dyDescent="0.35">
      <c r="A361" t="s">
        <v>400</v>
      </c>
      <c r="B361" s="3">
        <v>45995</v>
      </c>
      <c r="C361" t="s">
        <v>25</v>
      </c>
      <c r="D361" t="s">
        <v>31</v>
      </c>
      <c r="E361" t="s">
        <v>32</v>
      </c>
      <c r="F361" t="s">
        <v>12</v>
      </c>
      <c r="G361">
        <v>1</v>
      </c>
      <c r="H361" s="4">
        <v>10.65</v>
      </c>
      <c r="I361" s="5">
        <v>0</v>
      </c>
      <c r="J361" s="4">
        <v>10.65</v>
      </c>
      <c r="K361" s="4">
        <v>7.96</v>
      </c>
      <c r="L361" s="4">
        <v>2.69</v>
      </c>
    </row>
    <row r="362" spans="1:12" x14ac:dyDescent="0.35">
      <c r="A362" t="s">
        <v>401</v>
      </c>
      <c r="B362" s="3">
        <v>45681</v>
      </c>
      <c r="C362" t="s">
        <v>25</v>
      </c>
      <c r="D362" t="s">
        <v>37</v>
      </c>
      <c r="E362" t="s">
        <v>7</v>
      </c>
      <c r="F362" t="s">
        <v>8</v>
      </c>
      <c r="G362">
        <v>4</v>
      </c>
      <c r="H362" s="4">
        <v>50.92</v>
      </c>
      <c r="I362" s="5">
        <v>0.15</v>
      </c>
      <c r="J362" s="4">
        <v>173.13</v>
      </c>
      <c r="K362" s="4">
        <v>103.69</v>
      </c>
      <c r="L362" s="4">
        <v>69.44</v>
      </c>
    </row>
    <row r="363" spans="1:12" x14ac:dyDescent="0.35">
      <c r="A363" t="s">
        <v>402</v>
      </c>
      <c r="B363" s="3">
        <v>45974</v>
      </c>
      <c r="C363" t="s">
        <v>1</v>
      </c>
      <c r="D363" t="s">
        <v>6</v>
      </c>
      <c r="E363" t="s">
        <v>38</v>
      </c>
      <c r="F363" t="s">
        <v>12</v>
      </c>
      <c r="G363">
        <v>9</v>
      </c>
      <c r="H363" s="4">
        <v>139.19</v>
      </c>
      <c r="I363" s="5">
        <v>-0.05</v>
      </c>
      <c r="J363" s="4">
        <v>1190.07</v>
      </c>
      <c r="K363" s="4">
        <v>892.67</v>
      </c>
      <c r="L363" s="4">
        <v>297.39999999999998</v>
      </c>
    </row>
    <row r="364" spans="1:12" x14ac:dyDescent="0.35">
      <c r="A364" t="s">
        <v>403</v>
      </c>
      <c r="B364" s="3">
        <v>45812</v>
      </c>
      <c r="C364" t="s">
        <v>14</v>
      </c>
      <c r="D364" t="s">
        <v>15</v>
      </c>
      <c r="E364" t="s">
        <v>16</v>
      </c>
      <c r="F364" t="s">
        <v>4</v>
      </c>
      <c r="G364">
        <v>7</v>
      </c>
      <c r="H364" s="4">
        <v>224.92</v>
      </c>
      <c r="I364" s="5">
        <v>0.05</v>
      </c>
      <c r="J364" s="4">
        <v>1495.72</v>
      </c>
      <c r="K364" s="4">
        <v>1162.6099999999999</v>
      </c>
      <c r="L364" s="4">
        <v>333.11</v>
      </c>
    </row>
    <row r="365" spans="1:12" x14ac:dyDescent="0.35">
      <c r="A365" t="s">
        <v>404</v>
      </c>
      <c r="B365" s="3">
        <v>45695</v>
      </c>
      <c r="C365" t="s">
        <v>1</v>
      </c>
      <c r="D365" t="s">
        <v>28</v>
      </c>
      <c r="E365" t="s">
        <v>61</v>
      </c>
      <c r="F365" t="s">
        <v>4</v>
      </c>
      <c r="G365">
        <v>8</v>
      </c>
      <c r="H365" s="4">
        <v>71.349999999999994</v>
      </c>
      <c r="I365" s="5">
        <v>0.1</v>
      </c>
      <c r="J365" s="4">
        <v>513.72</v>
      </c>
      <c r="K365" s="4">
        <v>392.85</v>
      </c>
      <c r="L365" s="4">
        <v>120.87</v>
      </c>
    </row>
    <row r="366" spans="1:12" x14ac:dyDescent="0.35">
      <c r="A366" t="s">
        <v>405</v>
      </c>
      <c r="B366" s="3">
        <v>45895</v>
      </c>
      <c r="C366" t="s">
        <v>18</v>
      </c>
      <c r="D366" t="s">
        <v>19</v>
      </c>
      <c r="E366" t="s">
        <v>22</v>
      </c>
      <c r="F366" t="s">
        <v>23</v>
      </c>
      <c r="G366">
        <v>10</v>
      </c>
      <c r="H366" s="4">
        <v>227.62</v>
      </c>
      <c r="I366" s="5">
        <v>0.02</v>
      </c>
      <c r="J366" s="4">
        <v>2230.6799999999998</v>
      </c>
      <c r="K366" s="4">
        <v>1325.44</v>
      </c>
      <c r="L366" s="4">
        <v>905.24</v>
      </c>
    </row>
    <row r="367" spans="1:12" x14ac:dyDescent="0.35">
      <c r="A367" t="s">
        <v>406</v>
      </c>
      <c r="B367" s="3">
        <v>45821</v>
      </c>
      <c r="C367" t="s">
        <v>25</v>
      </c>
      <c r="D367" t="s">
        <v>46</v>
      </c>
      <c r="E367" t="s">
        <v>29</v>
      </c>
      <c r="F367" t="s">
        <v>23</v>
      </c>
      <c r="G367">
        <v>3</v>
      </c>
      <c r="H367" s="4">
        <v>125.9</v>
      </c>
      <c r="I367" s="5">
        <v>0.05</v>
      </c>
      <c r="J367" s="4">
        <v>358.82</v>
      </c>
      <c r="K367" s="4">
        <v>276.27</v>
      </c>
      <c r="L367" s="4">
        <v>82.55</v>
      </c>
    </row>
    <row r="368" spans="1:12" x14ac:dyDescent="0.35">
      <c r="A368" t="s">
        <v>407</v>
      </c>
      <c r="B368" s="3">
        <v>45945</v>
      </c>
      <c r="C368" t="s">
        <v>1</v>
      </c>
      <c r="D368" t="s">
        <v>2</v>
      </c>
      <c r="E368" t="s">
        <v>22</v>
      </c>
      <c r="F368" t="s">
        <v>23</v>
      </c>
      <c r="G368">
        <v>4</v>
      </c>
      <c r="H368" s="4">
        <v>262.39</v>
      </c>
      <c r="I368" s="5">
        <v>0.1</v>
      </c>
      <c r="J368" s="4">
        <v>944.6</v>
      </c>
      <c r="K368" s="4">
        <v>652.92999999999995</v>
      </c>
      <c r="L368" s="4">
        <v>291.67</v>
      </c>
    </row>
    <row r="369" spans="1:12" x14ac:dyDescent="0.35">
      <c r="A369" t="s">
        <v>408</v>
      </c>
      <c r="B369" s="3">
        <v>45794</v>
      </c>
      <c r="C369" t="s">
        <v>14</v>
      </c>
      <c r="D369" t="s">
        <v>55</v>
      </c>
      <c r="E369" t="s">
        <v>16</v>
      </c>
      <c r="F369" t="s">
        <v>4</v>
      </c>
      <c r="G369">
        <v>3</v>
      </c>
      <c r="H369" s="4">
        <v>210.68</v>
      </c>
      <c r="I369" s="5">
        <v>0</v>
      </c>
      <c r="J369" s="4">
        <v>632.04</v>
      </c>
      <c r="K369" s="4">
        <v>497.32</v>
      </c>
      <c r="L369" s="4">
        <v>134.72</v>
      </c>
    </row>
    <row r="370" spans="1:12" x14ac:dyDescent="0.35">
      <c r="A370" t="s">
        <v>409</v>
      </c>
      <c r="B370" s="3">
        <v>45806</v>
      </c>
      <c r="C370" t="s">
        <v>14</v>
      </c>
      <c r="D370" t="s">
        <v>55</v>
      </c>
      <c r="E370" t="s">
        <v>32</v>
      </c>
      <c r="F370" t="s">
        <v>12</v>
      </c>
      <c r="G370">
        <v>7</v>
      </c>
      <c r="H370" s="4">
        <v>11.61</v>
      </c>
      <c r="I370" s="5">
        <v>0.02</v>
      </c>
      <c r="J370" s="4">
        <v>79.64</v>
      </c>
      <c r="K370" s="4">
        <v>61.36</v>
      </c>
      <c r="L370" s="4">
        <v>18.28</v>
      </c>
    </row>
    <row r="371" spans="1:12" x14ac:dyDescent="0.35">
      <c r="A371" t="s">
        <v>410</v>
      </c>
      <c r="B371" s="3">
        <v>45825</v>
      </c>
      <c r="C371" t="s">
        <v>25</v>
      </c>
      <c r="D371" t="s">
        <v>46</v>
      </c>
      <c r="E371" t="s">
        <v>16</v>
      </c>
      <c r="F371" t="s">
        <v>4</v>
      </c>
      <c r="G371">
        <v>3</v>
      </c>
      <c r="H371" s="4">
        <v>215.98</v>
      </c>
      <c r="I371" s="5">
        <v>0.1</v>
      </c>
      <c r="J371" s="4">
        <v>583.15</v>
      </c>
      <c r="K371" s="4">
        <v>380.08</v>
      </c>
      <c r="L371" s="4">
        <v>203.07</v>
      </c>
    </row>
    <row r="372" spans="1:12" x14ac:dyDescent="0.35">
      <c r="A372" t="s">
        <v>411</v>
      </c>
      <c r="B372" s="3">
        <v>45897</v>
      </c>
      <c r="C372" t="s">
        <v>14</v>
      </c>
      <c r="D372" t="s">
        <v>55</v>
      </c>
      <c r="E372" t="s">
        <v>35</v>
      </c>
      <c r="F372" t="s">
        <v>23</v>
      </c>
      <c r="G372">
        <v>8</v>
      </c>
      <c r="H372" s="4">
        <v>177.98</v>
      </c>
      <c r="I372" s="5">
        <v>0</v>
      </c>
      <c r="J372" s="4">
        <v>1423.84</v>
      </c>
      <c r="K372" s="4">
        <v>898.97</v>
      </c>
      <c r="L372" s="4">
        <v>524.87</v>
      </c>
    </row>
    <row r="373" spans="1:12" x14ac:dyDescent="0.35">
      <c r="A373" t="s">
        <v>412</v>
      </c>
      <c r="B373" s="3">
        <v>45859</v>
      </c>
      <c r="C373" t="s">
        <v>14</v>
      </c>
      <c r="D373" t="s">
        <v>15</v>
      </c>
      <c r="E373" t="s">
        <v>16</v>
      </c>
      <c r="F373" t="s">
        <v>4</v>
      </c>
      <c r="G373">
        <v>4</v>
      </c>
      <c r="H373" s="4">
        <v>236.34</v>
      </c>
      <c r="I373" s="5">
        <v>0.15</v>
      </c>
      <c r="J373" s="4">
        <v>803.56</v>
      </c>
      <c r="K373" s="4">
        <v>551.03</v>
      </c>
      <c r="L373" s="4">
        <v>252.53</v>
      </c>
    </row>
    <row r="374" spans="1:12" x14ac:dyDescent="0.35">
      <c r="A374" t="s">
        <v>413</v>
      </c>
      <c r="B374" s="3">
        <v>45682</v>
      </c>
      <c r="C374" t="s">
        <v>1</v>
      </c>
      <c r="D374" t="s">
        <v>6</v>
      </c>
      <c r="E374" t="s">
        <v>35</v>
      </c>
      <c r="F374" t="s">
        <v>23</v>
      </c>
      <c r="G374">
        <v>8</v>
      </c>
      <c r="H374" s="4">
        <v>165.54</v>
      </c>
      <c r="I374" s="5">
        <v>0.15</v>
      </c>
      <c r="J374" s="4">
        <v>1125.67</v>
      </c>
      <c r="K374" s="4">
        <v>892.53</v>
      </c>
      <c r="L374" s="4">
        <v>233.14</v>
      </c>
    </row>
    <row r="375" spans="1:12" x14ac:dyDescent="0.35">
      <c r="A375" t="s">
        <v>414</v>
      </c>
      <c r="B375" s="3">
        <v>46002</v>
      </c>
      <c r="C375" t="s">
        <v>14</v>
      </c>
      <c r="D375" t="s">
        <v>55</v>
      </c>
      <c r="E375" t="s">
        <v>35</v>
      </c>
      <c r="F375" t="s">
        <v>23</v>
      </c>
      <c r="G375">
        <v>9</v>
      </c>
      <c r="H375" s="4">
        <v>173.73</v>
      </c>
      <c r="I375" s="5">
        <v>0</v>
      </c>
      <c r="J375" s="4">
        <v>1563.57</v>
      </c>
      <c r="K375" s="4">
        <v>1089.43</v>
      </c>
      <c r="L375" s="4">
        <v>474.14</v>
      </c>
    </row>
    <row r="376" spans="1:12" x14ac:dyDescent="0.35">
      <c r="A376" t="s">
        <v>415</v>
      </c>
      <c r="B376" s="3">
        <v>45878</v>
      </c>
      <c r="C376" t="s">
        <v>18</v>
      </c>
      <c r="D376" t="s">
        <v>19</v>
      </c>
      <c r="E376" t="s">
        <v>35</v>
      </c>
      <c r="F376" t="s">
        <v>23</v>
      </c>
      <c r="G376">
        <v>6</v>
      </c>
      <c r="H376" s="4">
        <v>201.95</v>
      </c>
      <c r="I376" s="5">
        <v>0.1</v>
      </c>
      <c r="J376" s="4">
        <v>1090.53</v>
      </c>
      <c r="K376" s="4">
        <v>783.59</v>
      </c>
      <c r="L376" s="4">
        <v>306.94</v>
      </c>
    </row>
    <row r="377" spans="1:12" x14ac:dyDescent="0.35">
      <c r="A377" t="s">
        <v>416</v>
      </c>
      <c r="B377" s="3">
        <v>45681</v>
      </c>
      <c r="C377" t="s">
        <v>14</v>
      </c>
      <c r="D377" t="s">
        <v>55</v>
      </c>
      <c r="E377" t="s">
        <v>3</v>
      </c>
      <c r="F377" t="s">
        <v>4</v>
      </c>
      <c r="G377">
        <v>10</v>
      </c>
      <c r="H377" s="4">
        <v>752.31</v>
      </c>
      <c r="I377" s="5">
        <v>0.15</v>
      </c>
      <c r="J377" s="4">
        <v>6394.63</v>
      </c>
      <c r="K377" s="4">
        <v>5139.71</v>
      </c>
      <c r="L377" s="4">
        <v>1254.92</v>
      </c>
    </row>
    <row r="378" spans="1:12" x14ac:dyDescent="0.35">
      <c r="A378" t="s">
        <v>417</v>
      </c>
      <c r="B378" s="3">
        <v>45843</v>
      </c>
      <c r="C378" t="s">
        <v>25</v>
      </c>
      <c r="D378" t="s">
        <v>37</v>
      </c>
      <c r="E378" t="s">
        <v>52</v>
      </c>
      <c r="F378" t="s">
        <v>4</v>
      </c>
      <c r="G378">
        <v>7</v>
      </c>
      <c r="H378" s="4">
        <v>571.07000000000005</v>
      </c>
      <c r="I378" s="5">
        <v>0.15</v>
      </c>
      <c r="J378" s="4">
        <v>3397.87</v>
      </c>
      <c r="K378" s="4">
        <v>2176.08</v>
      </c>
      <c r="L378" s="4">
        <v>1221.79</v>
      </c>
    </row>
    <row r="379" spans="1:12" x14ac:dyDescent="0.35">
      <c r="A379" t="s">
        <v>418</v>
      </c>
      <c r="B379" s="3">
        <v>45939</v>
      </c>
      <c r="C379" t="s">
        <v>25</v>
      </c>
      <c r="D379" t="s">
        <v>31</v>
      </c>
      <c r="E379" t="s">
        <v>32</v>
      </c>
      <c r="F379" t="s">
        <v>12</v>
      </c>
      <c r="G379">
        <v>10</v>
      </c>
      <c r="H379" s="4">
        <v>10.7</v>
      </c>
      <c r="I379" s="5">
        <v>0</v>
      </c>
      <c r="J379" s="4">
        <v>107</v>
      </c>
      <c r="K379" s="4">
        <v>81.790000000000006</v>
      </c>
      <c r="L379" s="4">
        <v>25.21</v>
      </c>
    </row>
    <row r="380" spans="1:12" x14ac:dyDescent="0.35">
      <c r="A380" t="s">
        <v>419</v>
      </c>
      <c r="B380" s="3">
        <v>45707</v>
      </c>
      <c r="C380" t="s">
        <v>14</v>
      </c>
      <c r="D380" t="s">
        <v>15</v>
      </c>
      <c r="E380" t="s">
        <v>22</v>
      </c>
      <c r="F380" t="s">
        <v>23</v>
      </c>
      <c r="G380">
        <v>6</v>
      </c>
      <c r="H380" s="4">
        <v>259.01</v>
      </c>
      <c r="I380" s="5">
        <v>0.15</v>
      </c>
      <c r="J380" s="4">
        <v>1320.95</v>
      </c>
      <c r="K380" s="4">
        <v>916.78</v>
      </c>
      <c r="L380" s="4">
        <v>404.17</v>
      </c>
    </row>
    <row r="381" spans="1:12" x14ac:dyDescent="0.35">
      <c r="A381" t="s">
        <v>420</v>
      </c>
      <c r="B381" s="3">
        <v>45731</v>
      </c>
      <c r="C381" t="s">
        <v>18</v>
      </c>
      <c r="D381" t="s">
        <v>40</v>
      </c>
      <c r="E381" t="s">
        <v>32</v>
      </c>
      <c r="F381" t="s">
        <v>12</v>
      </c>
      <c r="G381">
        <v>9</v>
      </c>
      <c r="H381" s="4">
        <v>13.42</v>
      </c>
      <c r="I381" s="5">
        <v>0.1</v>
      </c>
      <c r="J381" s="4">
        <v>108.7</v>
      </c>
      <c r="K381" s="4">
        <v>82.93</v>
      </c>
      <c r="L381" s="4">
        <v>25.77</v>
      </c>
    </row>
    <row r="382" spans="1:12" x14ac:dyDescent="0.35">
      <c r="A382" t="s">
        <v>421</v>
      </c>
      <c r="B382" s="3">
        <v>45678</v>
      </c>
      <c r="C382" t="s">
        <v>1</v>
      </c>
      <c r="D382" t="s">
        <v>28</v>
      </c>
      <c r="E382" t="s">
        <v>3</v>
      </c>
      <c r="F382" t="s">
        <v>4</v>
      </c>
      <c r="G382">
        <v>3</v>
      </c>
      <c r="H382" s="4">
        <v>761.18</v>
      </c>
      <c r="I382" s="5">
        <v>0.2</v>
      </c>
      <c r="J382" s="4">
        <v>1826.83</v>
      </c>
      <c r="K382" s="4">
        <v>1158.51</v>
      </c>
      <c r="L382" s="4">
        <v>668.32</v>
      </c>
    </row>
    <row r="383" spans="1:12" x14ac:dyDescent="0.35">
      <c r="A383" t="s">
        <v>422</v>
      </c>
      <c r="B383" s="3">
        <v>45900</v>
      </c>
      <c r="C383" t="s">
        <v>14</v>
      </c>
      <c r="D383" t="s">
        <v>55</v>
      </c>
      <c r="E383" t="s">
        <v>61</v>
      </c>
      <c r="F383" t="s">
        <v>4</v>
      </c>
      <c r="G383">
        <v>10</v>
      </c>
      <c r="H383" s="4">
        <v>73.959999999999994</v>
      </c>
      <c r="I383" s="5">
        <v>0.15</v>
      </c>
      <c r="J383" s="4">
        <v>628.66</v>
      </c>
      <c r="K383" s="4">
        <v>472.04</v>
      </c>
      <c r="L383" s="4">
        <v>156.62</v>
      </c>
    </row>
    <row r="384" spans="1:12" x14ac:dyDescent="0.35">
      <c r="A384" t="s">
        <v>423</v>
      </c>
      <c r="B384" s="3">
        <v>45825</v>
      </c>
      <c r="C384" t="s">
        <v>25</v>
      </c>
      <c r="D384" t="s">
        <v>46</v>
      </c>
      <c r="E384" t="s">
        <v>61</v>
      </c>
      <c r="F384" t="s">
        <v>4</v>
      </c>
      <c r="G384">
        <v>7</v>
      </c>
      <c r="H384" s="4">
        <v>68.8</v>
      </c>
      <c r="I384" s="5">
        <v>0.15</v>
      </c>
      <c r="J384" s="4">
        <v>409.36</v>
      </c>
      <c r="K384" s="4">
        <v>288.14</v>
      </c>
      <c r="L384" s="4">
        <v>121.22</v>
      </c>
    </row>
    <row r="385" spans="1:12" x14ac:dyDescent="0.35">
      <c r="A385" t="s">
        <v>424</v>
      </c>
      <c r="B385" s="3">
        <v>45811</v>
      </c>
      <c r="C385" t="s">
        <v>25</v>
      </c>
      <c r="D385" t="s">
        <v>37</v>
      </c>
      <c r="E385" t="s">
        <v>11</v>
      </c>
      <c r="F385" t="s">
        <v>12</v>
      </c>
      <c r="G385">
        <v>9</v>
      </c>
      <c r="H385" s="4">
        <v>8.6300000000000008</v>
      </c>
      <c r="I385" s="5">
        <v>0.15</v>
      </c>
      <c r="J385" s="4">
        <v>66.02</v>
      </c>
      <c r="K385" s="4">
        <v>51.94</v>
      </c>
      <c r="L385" s="4">
        <v>14.08</v>
      </c>
    </row>
    <row r="386" spans="1:12" x14ac:dyDescent="0.35">
      <c r="A386" t="s">
        <v>425</v>
      </c>
      <c r="B386" s="3">
        <v>46020</v>
      </c>
      <c r="C386" t="s">
        <v>25</v>
      </c>
      <c r="D386" t="s">
        <v>37</v>
      </c>
      <c r="E386" t="s">
        <v>38</v>
      </c>
      <c r="F386" t="s">
        <v>12</v>
      </c>
      <c r="G386">
        <v>1</v>
      </c>
      <c r="H386" s="4">
        <v>152.41999999999999</v>
      </c>
      <c r="I386" s="5">
        <v>0.05</v>
      </c>
      <c r="J386" s="4">
        <v>144.80000000000001</v>
      </c>
      <c r="K386" s="4">
        <v>111.75</v>
      </c>
      <c r="L386" s="4">
        <v>33.049999999999997</v>
      </c>
    </row>
    <row r="387" spans="1:12" x14ac:dyDescent="0.35">
      <c r="A387" t="s">
        <v>426</v>
      </c>
      <c r="B387" s="3">
        <v>46002</v>
      </c>
      <c r="C387" t="s">
        <v>1</v>
      </c>
      <c r="D387" t="s">
        <v>6</v>
      </c>
      <c r="E387" t="s">
        <v>29</v>
      </c>
      <c r="F387" t="s">
        <v>23</v>
      </c>
      <c r="G387">
        <v>10</v>
      </c>
      <c r="H387" s="4">
        <v>123.65</v>
      </c>
      <c r="I387" s="5">
        <v>0.05</v>
      </c>
      <c r="J387" s="4">
        <v>1174.67</v>
      </c>
      <c r="K387" s="4">
        <v>914.53</v>
      </c>
      <c r="L387" s="4">
        <v>260.14</v>
      </c>
    </row>
    <row r="388" spans="1:12" x14ac:dyDescent="0.35">
      <c r="A388" t="s">
        <v>427</v>
      </c>
      <c r="B388" s="3">
        <v>46010</v>
      </c>
      <c r="C388" t="s">
        <v>1</v>
      </c>
      <c r="D388" t="s">
        <v>6</v>
      </c>
      <c r="E388" t="s">
        <v>32</v>
      </c>
      <c r="F388" t="s">
        <v>12</v>
      </c>
      <c r="G388">
        <v>8</v>
      </c>
      <c r="H388" s="4">
        <v>10.66</v>
      </c>
      <c r="I388" s="5">
        <v>0.05</v>
      </c>
      <c r="J388" s="4">
        <v>81.02</v>
      </c>
      <c r="K388" s="4">
        <v>53.25</v>
      </c>
      <c r="L388" s="4">
        <v>27.77</v>
      </c>
    </row>
    <row r="389" spans="1:12" x14ac:dyDescent="0.35">
      <c r="A389" t="s">
        <v>428</v>
      </c>
      <c r="B389" s="3">
        <v>45954</v>
      </c>
      <c r="C389" t="s">
        <v>18</v>
      </c>
      <c r="D389" t="s">
        <v>19</v>
      </c>
      <c r="E389" t="s">
        <v>20</v>
      </c>
      <c r="F389" t="s">
        <v>8</v>
      </c>
      <c r="G389">
        <v>1</v>
      </c>
      <c r="H389" s="4">
        <v>38.119999999999997</v>
      </c>
      <c r="I389" s="5">
        <v>0.15</v>
      </c>
      <c r="J389" s="4">
        <v>32.4</v>
      </c>
      <c r="K389" s="4">
        <v>19.13</v>
      </c>
      <c r="L389" s="4">
        <v>13.27</v>
      </c>
    </row>
    <row r="390" spans="1:12" x14ac:dyDescent="0.35">
      <c r="A390" t="s">
        <v>429</v>
      </c>
      <c r="B390" s="3">
        <v>45745</v>
      </c>
      <c r="C390" t="s">
        <v>14</v>
      </c>
      <c r="D390" t="s">
        <v>66</v>
      </c>
      <c r="E390" t="s">
        <v>61</v>
      </c>
      <c r="F390" t="s">
        <v>4</v>
      </c>
      <c r="G390">
        <v>4</v>
      </c>
      <c r="H390" s="4">
        <v>73.5</v>
      </c>
      <c r="I390" s="5">
        <v>0</v>
      </c>
      <c r="J390" s="4">
        <v>294</v>
      </c>
      <c r="K390" s="4">
        <v>219.03</v>
      </c>
      <c r="L390" s="4">
        <v>74.97</v>
      </c>
    </row>
    <row r="391" spans="1:12" x14ac:dyDescent="0.35">
      <c r="A391" t="s">
        <v>430</v>
      </c>
      <c r="B391" s="3">
        <v>46016</v>
      </c>
      <c r="C391" t="s">
        <v>1</v>
      </c>
      <c r="D391" t="s">
        <v>28</v>
      </c>
      <c r="E391" t="s">
        <v>16</v>
      </c>
      <c r="F391" t="s">
        <v>4</v>
      </c>
      <c r="G391">
        <v>1</v>
      </c>
      <c r="H391" s="4">
        <v>234.52</v>
      </c>
      <c r="I391" s="5">
        <v>0.1</v>
      </c>
      <c r="J391" s="4">
        <v>211.07</v>
      </c>
      <c r="K391" s="4">
        <v>152.63</v>
      </c>
      <c r="L391" s="4">
        <v>58.44</v>
      </c>
    </row>
    <row r="392" spans="1:12" x14ac:dyDescent="0.35">
      <c r="A392" t="s">
        <v>431</v>
      </c>
      <c r="B392" s="3">
        <v>45872</v>
      </c>
      <c r="C392" t="s">
        <v>18</v>
      </c>
      <c r="D392" t="s">
        <v>40</v>
      </c>
      <c r="E392" t="s">
        <v>29</v>
      </c>
      <c r="F392" t="s">
        <v>23</v>
      </c>
      <c r="G392">
        <v>4</v>
      </c>
      <c r="H392" s="4">
        <v>148.15</v>
      </c>
      <c r="I392" s="5">
        <v>0.1</v>
      </c>
      <c r="J392" s="4">
        <v>533.34</v>
      </c>
      <c r="K392" s="4">
        <v>371.49</v>
      </c>
      <c r="L392" s="4">
        <v>161.85</v>
      </c>
    </row>
    <row r="393" spans="1:12" x14ac:dyDescent="0.35">
      <c r="A393" t="s">
        <v>432</v>
      </c>
      <c r="B393" s="3">
        <v>45971</v>
      </c>
      <c r="C393" t="s">
        <v>14</v>
      </c>
      <c r="D393" t="s">
        <v>55</v>
      </c>
      <c r="E393" t="s">
        <v>20</v>
      </c>
      <c r="F393" t="s">
        <v>8</v>
      </c>
      <c r="G393">
        <v>1</v>
      </c>
      <c r="H393" s="4">
        <v>32.39</v>
      </c>
      <c r="I393" s="5">
        <v>0.2</v>
      </c>
      <c r="J393" s="4">
        <v>25.91</v>
      </c>
      <c r="K393" s="4">
        <v>16.670000000000002</v>
      </c>
      <c r="L393" s="4">
        <v>9.24</v>
      </c>
    </row>
    <row r="394" spans="1:12" x14ac:dyDescent="0.35">
      <c r="A394" t="s">
        <v>433</v>
      </c>
      <c r="B394" s="3">
        <v>45923</v>
      </c>
      <c r="C394" t="s">
        <v>18</v>
      </c>
      <c r="D394" t="s">
        <v>19</v>
      </c>
      <c r="E394" t="s">
        <v>11</v>
      </c>
      <c r="F394" t="s">
        <v>12</v>
      </c>
      <c r="G394">
        <v>6</v>
      </c>
      <c r="H394" s="4">
        <v>7.24</v>
      </c>
      <c r="I394" s="5">
        <v>0.2</v>
      </c>
      <c r="J394" s="4">
        <v>34.75</v>
      </c>
      <c r="K394" s="4">
        <v>27.64</v>
      </c>
      <c r="L394" s="4">
        <v>7.11</v>
      </c>
    </row>
    <row r="395" spans="1:12" x14ac:dyDescent="0.35">
      <c r="A395" t="s">
        <v>434</v>
      </c>
      <c r="B395" s="3">
        <v>45927</v>
      </c>
      <c r="C395" t="s">
        <v>14</v>
      </c>
      <c r="D395" t="s">
        <v>66</v>
      </c>
      <c r="E395" t="s">
        <v>22</v>
      </c>
      <c r="F395" t="s">
        <v>23</v>
      </c>
      <c r="G395">
        <v>3</v>
      </c>
      <c r="H395" s="4">
        <v>256.25</v>
      </c>
      <c r="I395" s="5">
        <v>0.1</v>
      </c>
      <c r="J395" s="4">
        <v>691.88</v>
      </c>
      <c r="K395" s="4">
        <v>455.42</v>
      </c>
      <c r="L395" s="4">
        <v>236.46</v>
      </c>
    </row>
    <row r="396" spans="1:12" x14ac:dyDescent="0.35">
      <c r="A396" t="s">
        <v>435</v>
      </c>
      <c r="B396" s="3">
        <v>45833</v>
      </c>
      <c r="C396" t="s">
        <v>25</v>
      </c>
      <c r="D396" t="s">
        <v>37</v>
      </c>
      <c r="E396" t="s">
        <v>7</v>
      </c>
      <c r="F396" t="s">
        <v>8</v>
      </c>
      <c r="G396">
        <v>5</v>
      </c>
      <c r="H396" s="4">
        <v>44.49</v>
      </c>
      <c r="I396" s="5">
        <v>0.15</v>
      </c>
      <c r="J396" s="4">
        <v>189.08</v>
      </c>
      <c r="K396" s="4">
        <v>152.35</v>
      </c>
      <c r="L396" s="4">
        <v>36.729999999999997</v>
      </c>
    </row>
    <row r="397" spans="1:12" x14ac:dyDescent="0.35">
      <c r="A397" t="s">
        <v>436</v>
      </c>
      <c r="B397" s="3">
        <v>45756</v>
      </c>
      <c r="C397" t="s">
        <v>18</v>
      </c>
      <c r="D397" t="s">
        <v>34</v>
      </c>
      <c r="E397" t="s">
        <v>35</v>
      </c>
      <c r="F397" t="s">
        <v>23</v>
      </c>
      <c r="G397">
        <v>9</v>
      </c>
      <c r="H397" s="4">
        <v>161.28</v>
      </c>
      <c r="I397" s="5">
        <v>0.05</v>
      </c>
      <c r="J397" s="4">
        <v>1378.94</v>
      </c>
      <c r="K397" s="4">
        <v>976.68</v>
      </c>
      <c r="L397" s="4">
        <v>402.26</v>
      </c>
    </row>
    <row r="398" spans="1:12" x14ac:dyDescent="0.35">
      <c r="A398" t="s">
        <v>437</v>
      </c>
      <c r="B398" s="3">
        <v>45810</v>
      </c>
      <c r="C398" t="s">
        <v>25</v>
      </c>
      <c r="D398" t="s">
        <v>46</v>
      </c>
      <c r="E398" t="s">
        <v>20</v>
      </c>
      <c r="F398" t="s">
        <v>8</v>
      </c>
      <c r="G398">
        <v>4</v>
      </c>
      <c r="H398" s="4">
        <v>35.06</v>
      </c>
      <c r="I398" s="5">
        <v>0.2</v>
      </c>
      <c r="J398" s="4">
        <v>112.19</v>
      </c>
      <c r="K398" s="4">
        <v>80.23</v>
      </c>
      <c r="L398" s="4">
        <v>31.96</v>
      </c>
    </row>
    <row r="399" spans="1:12" x14ac:dyDescent="0.35">
      <c r="A399" t="s">
        <v>438</v>
      </c>
      <c r="B399" s="3">
        <v>45908</v>
      </c>
      <c r="C399" t="s">
        <v>25</v>
      </c>
      <c r="D399" t="s">
        <v>46</v>
      </c>
      <c r="E399" t="s">
        <v>38</v>
      </c>
      <c r="F399" t="s">
        <v>12</v>
      </c>
      <c r="G399">
        <v>6</v>
      </c>
      <c r="H399" s="4">
        <v>136.87</v>
      </c>
      <c r="I399" s="5">
        <v>0.15</v>
      </c>
      <c r="J399" s="4">
        <v>698.04</v>
      </c>
      <c r="K399" s="4">
        <v>548.29</v>
      </c>
      <c r="L399" s="4">
        <v>149.75</v>
      </c>
    </row>
    <row r="400" spans="1:12" x14ac:dyDescent="0.35">
      <c r="A400" t="s">
        <v>439</v>
      </c>
      <c r="B400" s="3">
        <v>45798</v>
      </c>
      <c r="C400" t="s">
        <v>25</v>
      </c>
      <c r="D400" t="s">
        <v>46</v>
      </c>
      <c r="E400" t="s">
        <v>52</v>
      </c>
      <c r="F400" t="s">
        <v>4</v>
      </c>
      <c r="G400">
        <v>10</v>
      </c>
      <c r="H400" s="4">
        <v>621.29999999999995</v>
      </c>
      <c r="I400" s="5">
        <v>0.2</v>
      </c>
      <c r="J400" s="4">
        <v>4970.3999999999996</v>
      </c>
      <c r="K400" s="4">
        <v>3492.13</v>
      </c>
      <c r="L400" s="4">
        <v>1478.27</v>
      </c>
    </row>
    <row r="401" spans="1:12" x14ac:dyDescent="0.35">
      <c r="A401" t="s">
        <v>440</v>
      </c>
      <c r="B401" s="3">
        <v>45852</v>
      </c>
      <c r="C401" t="s">
        <v>14</v>
      </c>
      <c r="D401" t="s">
        <v>55</v>
      </c>
      <c r="E401" t="s">
        <v>22</v>
      </c>
      <c r="F401" t="s">
        <v>23</v>
      </c>
      <c r="G401">
        <v>3</v>
      </c>
      <c r="H401" s="4">
        <v>264.75</v>
      </c>
      <c r="I401" s="5">
        <v>0.05</v>
      </c>
      <c r="J401" s="4">
        <v>754.54</v>
      </c>
      <c r="K401" s="4">
        <v>602.92999999999995</v>
      </c>
      <c r="L401" s="4">
        <v>151.61000000000001</v>
      </c>
    </row>
    <row r="402" spans="1:12" x14ac:dyDescent="0.35">
      <c r="A402" t="s">
        <v>441</v>
      </c>
      <c r="B402" s="3">
        <v>45805</v>
      </c>
      <c r="C402" t="s">
        <v>1</v>
      </c>
      <c r="D402" t="s">
        <v>28</v>
      </c>
      <c r="E402" t="s">
        <v>22</v>
      </c>
      <c r="F402" t="s">
        <v>23</v>
      </c>
      <c r="G402">
        <v>8</v>
      </c>
      <c r="H402" s="4">
        <v>265.54000000000002</v>
      </c>
      <c r="I402" s="5">
        <v>0.2</v>
      </c>
      <c r="J402" s="4">
        <v>1699.46</v>
      </c>
      <c r="K402" s="4">
        <v>1004.7</v>
      </c>
      <c r="L402" s="4">
        <v>694.76</v>
      </c>
    </row>
    <row r="403" spans="1:12" x14ac:dyDescent="0.35">
      <c r="A403" t="s">
        <v>442</v>
      </c>
      <c r="B403" s="3">
        <v>45903</v>
      </c>
      <c r="C403" t="s">
        <v>18</v>
      </c>
      <c r="D403" t="s">
        <v>40</v>
      </c>
      <c r="E403" t="s">
        <v>16</v>
      </c>
      <c r="F403" t="s">
        <v>4</v>
      </c>
      <c r="G403">
        <v>9</v>
      </c>
      <c r="H403" s="4">
        <v>225.04</v>
      </c>
      <c r="I403" s="5">
        <v>0.05</v>
      </c>
      <c r="J403" s="4">
        <v>1924.09</v>
      </c>
      <c r="K403" s="4">
        <v>1373.44</v>
      </c>
      <c r="L403" s="4">
        <v>550.65</v>
      </c>
    </row>
    <row r="404" spans="1:12" x14ac:dyDescent="0.35">
      <c r="A404" t="s">
        <v>443</v>
      </c>
      <c r="B404" s="3">
        <v>46014</v>
      </c>
      <c r="C404" t="s">
        <v>25</v>
      </c>
      <c r="D404" t="s">
        <v>444</v>
      </c>
      <c r="E404" t="s">
        <v>61</v>
      </c>
      <c r="F404" t="s">
        <v>4</v>
      </c>
      <c r="G404">
        <v>2</v>
      </c>
      <c r="H404" s="4">
        <v>78.180000000000007</v>
      </c>
      <c r="I404" s="5">
        <v>0.15</v>
      </c>
      <c r="J404" s="4">
        <v>132.91</v>
      </c>
      <c r="K404" s="4">
        <v>99.53</v>
      </c>
      <c r="L404" s="4">
        <v>33.380000000000003</v>
      </c>
    </row>
    <row r="405" spans="1:12" x14ac:dyDescent="0.35">
      <c r="A405" t="s">
        <v>445</v>
      </c>
      <c r="B405" s="3">
        <v>45958</v>
      </c>
      <c r="C405" t="s">
        <v>18</v>
      </c>
      <c r="D405" t="s">
        <v>40</v>
      </c>
      <c r="E405" t="s">
        <v>16</v>
      </c>
      <c r="F405" t="s">
        <v>4</v>
      </c>
      <c r="G405">
        <v>1</v>
      </c>
      <c r="H405" s="4">
        <v>248.67</v>
      </c>
      <c r="I405" s="5">
        <v>0.2</v>
      </c>
      <c r="J405" s="4">
        <v>198.94</v>
      </c>
      <c r="K405" s="4">
        <v>159.13</v>
      </c>
      <c r="L405" s="4">
        <v>39.81</v>
      </c>
    </row>
    <row r="406" spans="1:12" x14ac:dyDescent="0.35">
      <c r="A406" t="s">
        <v>446</v>
      </c>
      <c r="B406" s="3">
        <v>45773</v>
      </c>
      <c r="C406" t="s">
        <v>18</v>
      </c>
      <c r="D406" t="s">
        <v>19</v>
      </c>
      <c r="E406" t="s">
        <v>3</v>
      </c>
      <c r="F406" t="s">
        <v>4</v>
      </c>
      <c r="G406">
        <v>2</v>
      </c>
      <c r="H406" s="4">
        <v>837.46</v>
      </c>
      <c r="I406" s="5">
        <v>0.1</v>
      </c>
      <c r="J406" s="4">
        <v>1507.43</v>
      </c>
      <c r="K406" s="4">
        <v>875.18</v>
      </c>
      <c r="L406" s="4">
        <v>632.25</v>
      </c>
    </row>
    <row r="407" spans="1:12" x14ac:dyDescent="0.35">
      <c r="A407" t="s">
        <v>447</v>
      </c>
      <c r="B407" s="3">
        <v>45899</v>
      </c>
      <c r="C407" t="s">
        <v>1</v>
      </c>
      <c r="D407" t="s">
        <v>6</v>
      </c>
      <c r="E407" t="s">
        <v>7</v>
      </c>
      <c r="F407" t="s">
        <v>8</v>
      </c>
      <c r="G407">
        <v>3</v>
      </c>
      <c r="H407" s="4">
        <v>51.55</v>
      </c>
      <c r="I407" s="5">
        <v>0</v>
      </c>
      <c r="J407" s="4">
        <v>154.65</v>
      </c>
      <c r="K407" s="4">
        <v>120.09</v>
      </c>
      <c r="L407" s="4">
        <v>34.56</v>
      </c>
    </row>
    <row r="408" spans="1:12" x14ac:dyDescent="0.35">
      <c r="A408" t="s">
        <v>448</v>
      </c>
      <c r="B408" s="3">
        <v>45738</v>
      </c>
      <c r="C408" t="s">
        <v>14</v>
      </c>
      <c r="D408" t="s">
        <v>66</v>
      </c>
      <c r="E408" t="s">
        <v>7</v>
      </c>
      <c r="F408" t="s">
        <v>8</v>
      </c>
      <c r="G408">
        <v>8</v>
      </c>
      <c r="H408" s="4">
        <v>39.93</v>
      </c>
      <c r="I408" s="5">
        <v>0.1</v>
      </c>
      <c r="J408" s="4">
        <v>287.5</v>
      </c>
      <c r="K408" s="4">
        <v>229.61</v>
      </c>
      <c r="L408" s="4">
        <v>57.89</v>
      </c>
    </row>
    <row r="409" spans="1:12" x14ac:dyDescent="0.35">
      <c r="A409" t="s">
        <v>449</v>
      </c>
      <c r="B409" s="3">
        <v>45760</v>
      </c>
      <c r="C409" t="s">
        <v>25</v>
      </c>
      <c r="D409" t="s">
        <v>31</v>
      </c>
      <c r="E409" t="s">
        <v>22</v>
      </c>
      <c r="F409" t="s">
        <v>23</v>
      </c>
      <c r="G409">
        <v>5</v>
      </c>
      <c r="H409" s="4">
        <v>277.74</v>
      </c>
      <c r="I409" s="5">
        <v>0.2</v>
      </c>
      <c r="J409" s="4">
        <v>1110.96</v>
      </c>
      <c r="K409" s="4">
        <v>766.66</v>
      </c>
      <c r="L409" s="4">
        <v>344.3</v>
      </c>
    </row>
    <row r="410" spans="1:12" x14ac:dyDescent="0.35">
      <c r="A410" t="s">
        <v>450</v>
      </c>
      <c r="B410" s="3">
        <v>45703</v>
      </c>
      <c r="C410" t="s">
        <v>18</v>
      </c>
      <c r="D410" t="s">
        <v>19</v>
      </c>
      <c r="E410" t="s">
        <v>11</v>
      </c>
      <c r="F410" t="s">
        <v>12</v>
      </c>
      <c r="G410">
        <v>1</v>
      </c>
      <c r="H410" s="4">
        <v>8.2200000000000006</v>
      </c>
      <c r="I410" s="5">
        <v>0.02</v>
      </c>
      <c r="J410" s="4">
        <v>8.06</v>
      </c>
      <c r="K410" s="4">
        <v>5.3</v>
      </c>
      <c r="L410" s="4">
        <v>2.76</v>
      </c>
    </row>
    <row r="411" spans="1:12" x14ac:dyDescent="0.35">
      <c r="A411" t="s">
        <v>451</v>
      </c>
      <c r="B411" s="3">
        <v>45748</v>
      </c>
      <c r="C411" t="s">
        <v>1</v>
      </c>
      <c r="D411" t="s">
        <v>6</v>
      </c>
      <c r="E411" t="s">
        <v>29</v>
      </c>
      <c r="F411" t="s">
        <v>23</v>
      </c>
      <c r="G411">
        <v>8</v>
      </c>
      <c r="H411" s="4">
        <v>121.3</v>
      </c>
      <c r="I411" s="5">
        <v>0.02</v>
      </c>
      <c r="J411" s="4">
        <v>950.99</v>
      </c>
      <c r="K411" s="4">
        <v>609.11</v>
      </c>
      <c r="L411" s="4">
        <v>341.88</v>
      </c>
    </row>
    <row r="412" spans="1:12" x14ac:dyDescent="0.35">
      <c r="A412" t="s">
        <v>452</v>
      </c>
      <c r="B412" s="3">
        <v>45806</v>
      </c>
      <c r="C412" t="s">
        <v>1</v>
      </c>
      <c r="D412" t="s">
        <v>6</v>
      </c>
      <c r="E412" t="s">
        <v>3</v>
      </c>
      <c r="F412" t="s">
        <v>4</v>
      </c>
      <c r="G412">
        <v>5</v>
      </c>
      <c r="H412" s="4">
        <v>927.23</v>
      </c>
      <c r="I412" s="5">
        <v>0.15</v>
      </c>
      <c r="J412" s="4">
        <v>3940.73</v>
      </c>
      <c r="K412" s="4">
        <v>2172.33</v>
      </c>
      <c r="L412" s="4">
        <v>1768.4</v>
      </c>
    </row>
    <row r="413" spans="1:12" x14ac:dyDescent="0.35">
      <c r="A413" t="s">
        <v>453</v>
      </c>
      <c r="B413" s="3">
        <v>45712</v>
      </c>
      <c r="C413" t="s">
        <v>25</v>
      </c>
      <c r="D413" t="s">
        <v>46</v>
      </c>
      <c r="E413" t="s">
        <v>35</v>
      </c>
      <c r="F413" t="s">
        <v>23</v>
      </c>
      <c r="G413">
        <v>8</v>
      </c>
      <c r="H413" s="4">
        <v>171.01</v>
      </c>
      <c r="I413" s="5">
        <v>0.2</v>
      </c>
      <c r="J413" s="4">
        <v>1094.46</v>
      </c>
      <c r="K413" s="4">
        <v>719.61</v>
      </c>
      <c r="L413" s="4">
        <v>374.85</v>
      </c>
    </row>
    <row r="414" spans="1:12" x14ac:dyDescent="0.35">
      <c r="A414" t="s">
        <v>454</v>
      </c>
      <c r="B414" s="3">
        <v>45926</v>
      </c>
      <c r="C414" t="s">
        <v>14</v>
      </c>
      <c r="D414" t="s">
        <v>15</v>
      </c>
      <c r="E414" t="s">
        <v>61</v>
      </c>
      <c r="F414" t="s">
        <v>4</v>
      </c>
      <c r="G414">
        <v>9</v>
      </c>
      <c r="H414" s="4">
        <v>80.900000000000006</v>
      </c>
      <c r="I414" s="5">
        <v>0.1</v>
      </c>
      <c r="J414" s="4">
        <v>655.29</v>
      </c>
      <c r="K414" s="4">
        <v>523.16</v>
      </c>
      <c r="L414" s="4">
        <v>132.13</v>
      </c>
    </row>
    <row r="415" spans="1:12" x14ac:dyDescent="0.35">
      <c r="A415" t="s">
        <v>455</v>
      </c>
      <c r="B415" s="3">
        <v>45756</v>
      </c>
      <c r="C415" t="s">
        <v>1</v>
      </c>
      <c r="D415" t="s">
        <v>28</v>
      </c>
      <c r="E415" t="s">
        <v>22</v>
      </c>
      <c r="F415" t="s">
        <v>23</v>
      </c>
      <c r="G415">
        <v>3</v>
      </c>
      <c r="H415" s="4">
        <v>238.48</v>
      </c>
      <c r="I415" s="5">
        <v>0.2</v>
      </c>
      <c r="J415" s="4">
        <v>572.35</v>
      </c>
      <c r="K415" s="4">
        <v>368.41</v>
      </c>
      <c r="L415" s="4">
        <v>203.94</v>
      </c>
    </row>
    <row r="416" spans="1:12" x14ac:dyDescent="0.35">
      <c r="A416" t="s">
        <v>456</v>
      </c>
      <c r="B416" s="3">
        <v>45989</v>
      </c>
      <c r="C416" t="s">
        <v>25</v>
      </c>
      <c r="D416" t="s">
        <v>46</v>
      </c>
      <c r="E416" t="s">
        <v>20</v>
      </c>
      <c r="F416" t="s">
        <v>8</v>
      </c>
      <c r="G416">
        <v>3</v>
      </c>
      <c r="H416" s="4">
        <v>37.49</v>
      </c>
      <c r="I416" s="5">
        <v>0</v>
      </c>
      <c r="J416" s="4">
        <v>112.47</v>
      </c>
      <c r="K416" s="4">
        <v>75.59</v>
      </c>
      <c r="L416" s="4">
        <v>36.880000000000003</v>
      </c>
    </row>
    <row r="417" spans="1:12" x14ac:dyDescent="0.35">
      <c r="A417" t="s">
        <v>457</v>
      </c>
      <c r="B417" s="3">
        <v>45830</v>
      </c>
      <c r="C417" t="s">
        <v>25</v>
      </c>
      <c r="D417" t="s">
        <v>46</v>
      </c>
      <c r="E417" t="s">
        <v>32</v>
      </c>
      <c r="F417" t="s">
        <v>12</v>
      </c>
      <c r="G417">
        <v>4</v>
      </c>
      <c r="H417" s="4">
        <v>11.01</v>
      </c>
      <c r="I417" s="5">
        <v>0.02</v>
      </c>
      <c r="J417" s="4">
        <v>43.16</v>
      </c>
      <c r="K417" s="4">
        <v>29.01</v>
      </c>
      <c r="L417" s="4">
        <v>14.15</v>
      </c>
    </row>
    <row r="418" spans="1:12" x14ac:dyDescent="0.35">
      <c r="A418" t="s">
        <v>458</v>
      </c>
      <c r="B418" s="3">
        <v>45985</v>
      </c>
      <c r="C418" t="s">
        <v>14</v>
      </c>
      <c r="D418" t="s">
        <v>55</v>
      </c>
      <c r="E418" t="s">
        <v>29</v>
      </c>
      <c r="F418" t="s">
        <v>23</v>
      </c>
      <c r="G418">
        <v>9</v>
      </c>
      <c r="H418" s="4">
        <v>124.92</v>
      </c>
      <c r="I418" s="5">
        <v>0.05</v>
      </c>
      <c r="J418" s="4">
        <v>1068.07</v>
      </c>
      <c r="K418" s="4">
        <v>638.29999999999995</v>
      </c>
      <c r="L418" s="4">
        <v>429.77</v>
      </c>
    </row>
    <row r="419" spans="1:12" x14ac:dyDescent="0.35">
      <c r="A419" t="s">
        <v>459</v>
      </c>
      <c r="B419" s="3">
        <v>45863</v>
      </c>
      <c r="C419" t="s">
        <v>1</v>
      </c>
      <c r="D419" t="s">
        <v>28</v>
      </c>
      <c r="E419" t="s">
        <v>61</v>
      </c>
      <c r="F419" t="s">
        <v>4</v>
      </c>
      <c r="G419">
        <v>3</v>
      </c>
      <c r="H419" s="4">
        <v>79.959999999999994</v>
      </c>
      <c r="I419" s="5">
        <v>0.1</v>
      </c>
      <c r="J419" s="4">
        <v>215.89</v>
      </c>
      <c r="K419" s="4">
        <v>143.16</v>
      </c>
      <c r="L419" s="4">
        <v>72.73</v>
      </c>
    </row>
    <row r="420" spans="1:12" x14ac:dyDescent="0.35">
      <c r="A420" t="s">
        <v>460</v>
      </c>
      <c r="B420" s="3">
        <v>45785</v>
      </c>
      <c r="C420" t="s">
        <v>1</v>
      </c>
      <c r="D420" t="s">
        <v>28</v>
      </c>
      <c r="E420" t="s">
        <v>35</v>
      </c>
      <c r="F420" t="s">
        <v>23</v>
      </c>
      <c r="G420">
        <v>7</v>
      </c>
      <c r="H420" s="4">
        <v>202.4</v>
      </c>
      <c r="I420" s="5">
        <v>0.02</v>
      </c>
      <c r="J420" s="4">
        <v>1388.46</v>
      </c>
      <c r="K420" s="4">
        <v>899.51</v>
      </c>
      <c r="L420" s="4">
        <v>488.95</v>
      </c>
    </row>
    <row r="421" spans="1:12" x14ac:dyDescent="0.35">
      <c r="A421" t="s">
        <v>461</v>
      </c>
      <c r="B421" s="3">
        <v>45794</v>
      </c>
      <c r="C421" t="s">
        <v>25</v>
      </c>
      <c r="D421" t="s">
        <v>46</v>
      </c>
      <c r="E421" t="s">
        <v>35</v>
      </c>
      <c r="F421" t="s">
        <v>23</v>
      </c>
      <c r="G421">
        <v>10</v>
      </c>
      <c r="H421" s="4">
        <v>184.35</v>
      </c>
      <c r="I421" s="5">
        <v>0.2</v>
      </c>
      <c r="J421" s="4">
        <v>1474.8</v>
      </c>
      <c r="K421" s="4">
        <v>1062.9100000000001</v>
      </c>
      <c r="L421" s="4">
        <v>411.89</v>
      </c>
    </row>
    <row r="422" spans="1:12" x14ac:dyDescent="0.35">
      <c r="A422" t="s">
        <v>462</v>
      </c>
      <c r="B422" s="3">
        <v>45663</v>
      </c>
      <c r="C422" t="s">
        <v>25</v>
      </c>
      <c r="D422" t="s">
        <v>31</v>
      </c>
      <c r="E422" t="s">
        <v>7</v>
      </c>
      <c r="F422" t="s">
        <v>8</v>
      </c>
      <c r="G422">
        <v>6</v>
      </c>
      <c r="H422" s="4">
        <v>38.43</v>
      </c>
      <c r="I422" s="5">
        <v>0.2</v>
      </c>
      <c r="J422" s="4">
        <v>184.46</v>
      </c>
      <c r="K422" s="4">
        <v>134.5</v>
      </c>
      <c r="L422" s="4">
        <v>49.96</v>
      </c>
    </row>
    <row r="423" spans="1:12" x14ac:dyDescent="0.35">
      <c r="A423" t="s">
        <v>463</v>
      </c>
      <c r="B423" s="3">
        <v>45689</v>
      </c>
      <c r="C423" t="s">
        <v>1</v>
      </c>
      <c r="D423" t="s">
        <v>28</v>
      </c>
      <c r="E423" t="s">
        <v>38</v>
      </c>
      <c r="F423" t="s">
        <v>12</v>
      </c>
      <c r="G423">
        <v>5</v>
      </c>
      <c r="H423" s="4">
        <v>144.55000000000001</v>
      </c>
      <c r="I423" s="5">
        <v>0.02</v>
      </c>
      <c r="J423" s="4">
        <v>708.29</v>
      </c>
      <c r="K423" s="4">
        <v>573.35</v>
      </c>
      <c r="L423" s="4">
        <v>134.94</v>
      </c>
    </row>
    <row r="424" spans="1:12" x14ac:dyDescent="0.35">
      <c r="A424" t="s">
        <v>464</v>
      </c>
      <c r="B424" s="3">
        <v>46009</v>
      </c>
      <c r="C424" t="s">
        <v>25</v>
      </c>
      <c r="D424" t="s">
        <v>37</v>
      </c>
      <c r="E424" t="s">
        <v>20</v>
      </c>
      <c r="F424" t="s">
        <v>8</v>
      </c>
      <c r="G424">
        <v>2</v>
      </c>
      <c r="H424" s="4">
        <v>31.31</v>
      </c>
      <c r="I424" s="5">
        <v>0.2</v>
      </c>
      <c r="J424" s="4">
        <v>50.1</v>
      </c>
      <c r="K424" s="4">
        <v>33.159999999999997</v>
      </c>
      <c r="L424" s="4">
        <v>16.940000000000001</v>
      </c>
    </row>
    <row r="425" spans="1:12" x14ac:dyDescent="0.35">
      <c r="A425" t="s">
        <v>465</v>
      </c>
      <c r="B425" s="3">
        <v>45846</v>
      </c>
      <c r="C425" t="s">
        <v>18</v>
      </c>
      <c r="D425" t="s">
        <v>34</v>
      </c>
      <c r="E425" t="s">
        <v>16</v>
      </c>
      <c r="F425" t="s">
        <v>4</v>
      </c>
      <c r="G425">
        <v>3</v>
      </c>
      <c r="H425" s="4">
        <v>192.63</v>
      </c>
      <c r="I425" s="5">
        <v>0.1</v>
      </c>
      <c r="J425" s="4">
        <v>520.1</v>
      </c>
      <c r="K425" s="4">
        <v>426.04</v>
      </c>
      <c r="L425" s="4">
        <v>94.06</v>
      </c>
    </row>
    <row r="426" spans="1:12" x14ac:dyDescent="0.35">
      <c r="A426" t="s">
        <v>466</v>
      </c>
      <c r="B426" s="3">
        <v>45890</v>
      </c>
      <c r="C426" t="s">
        <v>25</v>
      </c>
      <c r="D426" t="s">
        <v>46</v>
      </c>
      <c r="E426" t="s">
        <v>29</v>
      </c>
      <c r="F426" t="s">
        <v>23</v>
      </c>
      <c r="G426">
        <v>9</v>
      </c>
      <c r="H426" s="4">
        <v>140.09</v>
      </c>
      <c r="I426" s="5">
        <v>0.1</v>
      </c>
      <c r="J426" s="4">
        <v>1134.73</v>
      </c>
      <c r="K426" s="4">
        <v>806.51</v>
      </c>
      <c r="L426" s="4">
        <v>328.22</v>
      </c>
    </row>
    <row r="427" spans="1:12" x14ac:dyDescent="0.35">
      <c r="A427" t="s">
        <v>467</v>
      </c>
      <c r="B427" s="3">
        <v>45998</v>
      </c>
      <c r="C427" t="s">
        <v>18</v>
      </c>
      <c r="D427" t="s">
        <v>40</v>
      </c>
      <c r="E427" t="s">
        <v>16</v>
      </c>
      <c r="F427" t="s">
        <v>4</v>
      </c>
      <c r="G427">
        <v>10</v>
      </c>
      <c r="H427" s="4">
        <v>191.43</v>
      </c>
      <c r="I427" s="5">
        <v>0</v>
      </c>
      <c r="J427" s="4">
        <v>1914.3</v>
      </c>
      <c r="K427" s="4">
        <v>1440.49</v>
      </c>
      <c r="L427" s="4">
        <v>473.81</v>
      </c>
    </row>
    <row r="428" spans="1:12" x14ac:dyDescent="0.35">
      <c r="A428" t="s">
        <v>468</v>
      </c>
      <c r="B428" s="3">
        <v>45886</v>
      </c>
      <c r="C428" t="s">
        <v>25</v>
      </c>
      <c r="D428" t="s">
        <v>31</v>
      </c>
      <c r="E428" t="s">
        <v>52</v>
      </c>
      <c r="F428" t="s">
        <v>4</v>
      </c>
      <c r="G428">
        <v>10</v>
      </c>
      <c r="H428" s="4">
        <v>502.13</v>
      </c>
      <c r="I428" s="5">
        <v>0</v>
      </c>
      <c r="J428" s="4">
        <v>5021.3</v>
      </c>
      <c r="K428" s="4">
        <v>3979.25</v>
      </c>
      <c r="L428" s="4">
        <v>1042.05</v>
      </c>
    </row>
    <row r="429" spans="1:12" x14ac:dyDescent="0.35">
      <c r="A429" t="s">
        <v>469</v>
      </c>
      <c r="B429" s="3">
        <v>45938</v>
      </c>
      <c r="C429" t="s">
        <v>18</v>
      </c>
      <c r="D429" t="s">
        <v>34</v>
      </c>
      <c r="E429" t="s">
        <v>32</v>
      </c>
      <c r="F429" t="s">
        <v>12</v>
      </c>
      <c r="G429">
        <v>9</v>
      </c>
      <c r="H429" s="4">
        <v>10.94</v>
      </c>
      <c r="I429" s="5">
        <v>0.02</v>
      </c>
      <c r="J429" s="4">
        <v>96.49</v>
      </c>
      <c r="K429" s="4">
        <v>58.04</v>
      </c>
      <c r="L429" s="4">
        <v>38.450000000000003</v>
      </c>
    </row>
    <row r="430" spans="1:12" x14ac:dyDescent="0.35">
      <c r="A430" t="s">
        <v>470</v>
      </c>
      <c r="B430" s="3">
        <v>45825</v>
      </c>
      <c r="C430" t="s">
        <v>14</v>
      </c>
      <c r="D430" t="s">
        <v>66</v>
      </c>
      <c r="E430" t="s">
        <v>52</v>
      </c>
      <c r="F430" t="s">
        <v>4</v>
      </c>
      <c r="G430">
        <v>4</v>
      </c>
      <c r="H430" s="4">
        <v>473.53</v>
      </c>
      <c r="I430" s="5">
        <v>0.2</v>
      </c>
      <c r="J430" s="4">
        <v>1515.3</v>
      </c>
      <c r="K430" s="4">
        <v>1026.55</v>
      </c>
      <c r="L430" s="4">
        <v>488.75</v>
      </c>
    </row>
    <row r="431" spans="1:12" x14ac:dyDescent="0.35">
      <c r="A431" t="s">
        <v>471</v>
      </c>
      <c r="B431" s="3">
        <v>45908</v>
      </c>
      <c r="C431" t="s">
        <v>1</v>
      </c>
      <c r="D431" t="s">
        <v>28</v>
      </c>
      <c r="E431" t="s">
        <v>11</v>
      </c>
      <c r="F431" t="s">
        <v>12</v>
      </c>
      <c r="G431">
        <v>8</v>
      </c>
      <c r="H431" s="4">
        <v>8.16</v>
      </c>
      <c r="I431" s="5">
        <v>0</v>
      </c>
      <c r="J431" s="4">
        <v>65.28</v>
      </c>
      <c r="K431" s="4">
        <v>37.06</v>
      </c>
      <c r="L431" s="4">
        <v>28.22</v>
      </c>
    </row>
    <row r="432" spans="1:12" x14ac:dyDescent="0.35">
      <c r="A432" t="s">
        <v>472</v>
      </c>
      <c r="B432" s="3">
        <v>45725</v>
      </c>
      <c r="C432" t="s">
        <v>14</v>
      </c>
      <c r="D432" t="s">
        <v>66</v>
      </c>
      <c r="E432" t="s">
        <v>38</v>
      </c>
      <c r="F432" t="s">
        <v>12</v>
      </c>
      <c r="G432">
        <v>10</v>
      </c>
      <c r="H432" s="4">
        <v>173.23</v>
      </c>
      <c r="I432" s="5">
        <v>0</v>
      </c>
      <c r="J432" s="4">
        <v>1732.3</v>
      </c>
      <c r="K432" s="4">
        <v>1164.78</v>
      </c>
      <c r="L432" s="4">
        <v>567.52</v>
      </c>
    </row>
    <row r="433" spans="1:12" x14ac:dyDescent="0.35">
      <c r="A433" t="s">
        <v>473</v>
      </c>
      <c r="B433" s="3">
        <v>45894</v>
      </c>
      <c r="C433" t="s">
        <v>25</v>
      </c>
      <c r="D433" t="s">
        <v>37</v>
      </c>
      <c r="E433" t="s">
        <v>20</v>
      </c>
      <c r="F433" t="s">
        <v>8</v>
      </c>
      <c r="G433">
        <v>1</v>
      </c>
      <c r="H433" s="4">
        <v>35.26</v>
      </c>
      <c r="I433" s="5">
        <v>0.1</v>
      </c>
      <c r="J433" s="4">
        <v>31.73</v>
      </c>
      <c r="K433" s="4">
        <v>21.23</v>
      </c>
      <c r="L433" s="4">
        <v>10.5</v>
      </c>
    </row>
    <row r="434" spans="1:12" x14ac:dyDescent="0.35">
      <c r="A434" t="s">
        <v>474</v>
      </c>
      <c r="B434" s="3">
        <v>45659</v>
      </c>
      <c r="C434" t="s">
        <v>18</v>
      </c>
      <c r="D434" t="s">
        <v>19</v>
      </c>
      <c r="E434" t="s">
        <v>32</v>
      </c>
      <c r="F434" t="s">
        <v>12</v>
      </c>
      <c r="G434">
        <v>2</v>
      </c>
      <c r="H434" s="4">
        <v>11.64</v>
      </c>
      <c r="I434" s="5">
        <v>0</v>
      </c>
      <c r="J434" s="4">
        <v>23.28</v>
      </c>
      <c r="K434" s="4">
        <v>16.32</v>
      </c>
      <c r="L434" s="4">
        <v>6.96</v>
      </c>
    </row>
    <row r="435" spans="1:12" x14ac:dyDescent="0.35">
      <c r="A435" t="s">
        <v>475</v>
      </c>
      <c r="B435" s="3">
        <v>45834</v>
      </c>
      <c r="C435" t="s">
        <v>1</v>
      </c>
      <c r="D435" t="s">
        <v>28</v>
      </c>
      <c r="E435" t="s">
        <v>11</v>
      </c>
      <c r="F435" t="s">
        <v>12</v>
      </c>
      <c r="G435">
        <v>1</v>
      </c>
      <c r="H435" s="4">
        <v>7.17</v>
      </c>
      <c r="I435" s="5">
        <v>0</v>
      </c>
      <c r="J435" s="4">
        <v>7.17</v>
      </c>
      <c r="K435" s="4">
        <v>4.3</v>
      </c>
      <c r="L435" s="4">
        <v>2.87</v>
      </c>
    </row>
    <row r="436" spans="1:12" x14ac:dyDescent="0.35">
      <c r="A436" t="s">
        <v>476</v>
      </c>
      <c r="B436" s="3">
        <v>45674</v>
      </c>
      <c r="C436" t="s">
        <v>25</v>
      </c>
      <c r="D436" t="s">
        <v>46</v>
      </c>
      <c r="E436" t="s">
        <v>29</v>
      </c>
      <c r="F436" t="s">
        <v>23</v>
      </c>
      <c r="G436">
        <v>3</v>
      </c>
      <c r="H436" s="4">
        <v>155.19</v>
      </c>
      <c r="I436" s="5">
        <v>0.02</v>
      </c>
      <c r="J436" s="4">
        <v>456.26</v>
      </c>
      <c r="K436" s="4">
        <v>367.5</v>
      </c>
      <c r="L436" s="4">
        <v>88.76</v>
      </c>
    </row>
    <row r="437" spans="1:12" x14ac:dyDescent="0.35">
      <c r="A437" t="s">
        <v>477</v>
      </c>
      <c r="B437" s="3">
        <v>45988</v>
      </c>
      <c r="C437" t="s">
        <v>14</v>
      </c>
      <c r="D437" t="s">
        <v>15</v>
      </c>
      <c r="E437" t="s">
        <v>22</v>
      </c>
      <c r="F437" t="s">
        <v>23</v>
      </c>
      <c r="G437">
        <v>7</v>
      </c>
      <c r="H437" s="4">
        <v>240.5</v>
      </c>
      <c r="I437" s="5">
        <v>0.1</v>
      </c>
      <c r="J437" s="4">
        <v>1515.15</v>
      </c>
      <c r="K437" s="4">
        <v>944.09</v>
      </c>
      <c r="L437" s="4">
        <v>571.05999999999995</v>
      </c>
    </row>
    <row r="438" spans="1:12" x14ac:dyDescent="0.35">
      <c r="A438" t="s">
        <v>478</v>
      </c>
      <c r="B438" s="3">
        <v>45850</v>
      </c>
      <c r="C438" t="s">
        <v>1</v>
      </c>
      <c r="D438" t="s">
        <v>6</v>
      </c>
      <c r="E438" t="s">
        <v>7</v>
      </c>
      <c r="F438" t="s">
        <v>8</v>
      </c>
      <c r="G438">
        <v>9</v>
      </c>
      <c r="H438" s="4">
        <v>46.94</v>
      </c>
      <c r="I438" s="5">
        <v>0.02</v>
      </c>
      <c r="J438" s="4">
        <v>414.01</v>
      </c>
      <c r="K438" s="4">
        <v>273.39</v>
      </c>
      <c r="L438" s="4">
        <v>140.62</v>
      </c>
    </row>
    <row r="439" spans="1:12" x14ac:dyDescent="0.35">
      <c r="A439" t="s">
        <v>479</v>
      </c>
      <c r="B439" s="3">
        <v>45836</v>
      </c>
      <c r="C439" t="s">
        <v>1</v>
      </c>
      <c r="D439" t="s">
        <v>6</v>
      </c>
      <c r="E439" t="s">
        <v>61</v>
      </c>
      <c r="F439" t="s">
        <v>4</v>
      </c>
      <c r="G439">
        <v>9</v>
      </c>
      <c r="H439" s="4">
        <v>68.61</v>
      </c>
      <c r="I439" s="5">
        <v>0.1</v>
      </c>
      <c r="J439" s="4">
        <v>555.74</v>
      </c>
      <c r="K439" s="4">
        <v>329.09</v>
      </c>
      <c r="L439" s="4">
        <v>226.65</v>
      </c>
    </row>
    <row r="440" spans="1:12" x14ac:dyDescent="0.35">
      <c r="A440" t="s">
        <v>480</v>
      </c>
      <c r="B440" s="3">
        <v>45723</v>
      </c>
      <c r="C440" t="s">
        <v>18</v>
      </c>
      <c r="D440" t="s">
        <v>19</v>
      </c>
      <c r="E440" t="s">
        <v>3</v>
      </c>
      <c r="F440" t="s">
        <v>4</v>
      </c>
      <c r="G440">
        <v>1</v>
      </c>
      <c r="H440" s="4">
        <v>905.07</v>
      </c>
      <c r="I440" s="5">
        <v>0.05</v>
      </c>
      <c r="J440" s="4">
        <v>859.82</v>
      </c>
      <c r="K440" s="4">
        <v>625.87</v>
      </c>
      <c r="L440" s="4">
        <v>233.95</v>
      </c>
    </row>
    <row r="441" spans="1:12" x14ac:dyDescent="0.35">
      <c r="A441" t="s">
        <v>481</v>
      </c>
      <c r="B441" s="3">
        <v>46002</v>
      </c>
      <c r="C441" t="s">
        <v>14</v>
      </c>
      <c r="D441" t="s">
        <v>55</v>
      </c>
      <c r="E441" t="s">
        <v>11</v>
      </c>
      <c r="F441" t="s">
        <v>12</v>
      </c>
      <c r="G441">
        <v>7</v>
      </c>
      <c r="H441" s="4">
        <v>6.87</v>
      </c>
      <c r="I441" s="5">
        <v>0.02</v>
      </c>
      <c r="J441" s="4">
        <v>47.13</v>
      </c>
      <c r="K441" s="4">
        <v>28.75</v>
      </c>
      <c r="L441" s="4">
        <v>18.38</v>
      </c>
    </row>
    <row r="442" spans="1:12" x14ac:dyDescent="0.35">
      <c r="A442" t="s">
        <v>482</v>
      </c>
      <c r="B442" s="3">
        <v>45893</v>
      </c>
      <c r="C442" t="s">
        <v>25</v>
      </c>
      <c r="D442" t="s">
        <v>46</v>
      </c>
      <c r="E442" t="s">
        <v>61</v>
      </c>
      <c r="F442" t="s">
        <v>4</v>
      </c>
      <c r="G442">
        <v>5</v>
      </c>
      <c r="H442" s="4">
        <v>73.55</v>
      </c>
      <c r="I442" s="5">
        <v>0.02</v>
      </c>
      <c r="J442" s="4">
        <v>360.39</v>
      </c>
      <c r="K442" s="4">
        <v>263.58999999999997</v>
      </c>
      <c r="L442" s="4">
        <v>96.8</v>
      </c>
    </row>
    <row r="443" spans="1:12" x14ac:dyDescent="0.35">
      <c r="A443" t="s">
        <v>483</v>
      </c>
      <c r="B443" s="3">
        <v>45715</v>
      </c>
      <c r="C443" t="s">
        <v>1</v>
      </c>
      <c r="D443" t="s">
        <v>2</v>
      </c>
      <c r="E443" t="s">
        <v>7</v>
      </c>
      <c r="F443" t="s">
        <v>8</v>
      </c>
      <c r="G443">
        <v>7</v>
      </c>
      <c r="H443" s="4">
        <v>38.520000000000003</v>
      </c>
      <c r="I443" s="5">
        <v>0.15</v>
      </c>
      <c r="J443" s="4">
        <v>229.19</v>
      </c>
      <c r="K443" s="4">
        <v>132.5</v>
      </c>
      <c r="L443" s="4">
        <v>96.69</v>
      </c>
    </row>
    <row r="444" spans="1:12" x14ac:dyDescent="0.35">
      <c r="A444" t="s">
        <v>484</v>
      </c>
      <c r="B444" s="3">
        <v>45781</v>
      </c>
      <c r="C444" t="s">
        <v>18</v>
      </c>
      <c r="D444" t="s">
        <v>34</v>
      </c>
      <c r="E444" t="s">
        <v>52</v>
      </c>
      <c r="F444" t="s">
        <v>4</v>
      </c>
      <c r="G444">
        <v>2</v>
      </c>
      <c r="H444" s="4">
        <v>599.49</v>
      </c>
      <c r="I444" s="5">
        <v>0.15</v>
      </c>
      <c r="J444" s="4">
        <v>1019.13</v>
      </c>
      <c r="K444" s="4">
        <v>609.65</v>
      </c>
      <c r="L444" s="4">
        <v>409.48</v>
      </c>
    </row>
    <row r="445" spans="1:12" x14ac:dyDescent="0.35">
      <c r="A445" t="s">
        <v>485</v>
      </c>
      <c r="B445" s="3">
        <v>45886</v>
      </c>
      <c r="C445" t="s">
        <v>1</v>
      </c>
      <c r="D445" t="s">
        <v>28</v>
      </c>
      <c r="E445" t="s">
        <v>16</v>
      </c>
      <c r="F445" t="s">
        <v>4</v>
      </c>
      <c r="G445">
        <v>1</v>
      </c>
      <c r="H445" s="4">
        <v>230.08</v>
      </c>
      <c r="I445" s="5">
        <v>0.1</v>
      </c>
      <c r="J445" s="4">
        <v>207.07</v>
      </c>
      <c r="K445" s="4">
        <v>127.21</v>
      </c>
      <c r="L445" s="4">
        <v>79.86</v>
      </c>
    </row>
    <row r="446" spans="1:12" x14ac:dyDescent="0.35">
      <c r="A446" t="s">
        <v>486</v>
      </c>
      <c r="B446" s="3">
        <v>45777</v>
      </c>
      <c r="C446" t="s">
        <v>18</v>
      </c>
      <c r="D446" t="s">
        <v>19</v>
      </c>
      <c r="E446" t="s">
        <v>3</v>
      </c>
      <c r="F446" t="s">
        <v>487</v>
      </c>
      <c r="G446">
        <v>3</v>
      </c>
      <c r="H446" s="4">
        <v>747.86</v>
      </c>
      <c r="I446" s="5">
        <v>0.15</v>
      </c>
      <c r="J446" s="4">
        <v>1907.04</v>
      </c>
      <c r="K446" s="4">
        <v>1174.08</v>
      </c>
      <c r="L446" s="4">
        <v>732.96</v>
      </c>
    </row>
    <row r="447" spans="1:12" x14ac:dyDescent="0.35">
      <c r="A447" t="s">
        <v>488</v>
      </c>
      <c r="B447" s="3">
        <v>45777</v>
      </c>
      <c r="C447" t="s">
        <v>25</v>
      </c>
      <c r="D447" t="s">
        <v>37</v>
      </c>
      <c r="E447" t="s">
        <v>32</v>
      </c>
      <c r="F447" t="s">
        <v>12</v>
      </c>
      <c r="G447">
        <v>10</v>
      </c>
      <c r="H447" s="4">
        <v>12.8</v>
      </c>
      <c r="I447" s="5">
        <v>0.2</v>
      </c>
      <c r="J447" s="4">
        <v>102.4</v>
      </c>
      <c r="K447" s="4">
        <v>79.98</v>
      </c>
      <c r="L447" s="4">
        <v>22.42</v>
      </c>
    </row>
    <row r="448" spans="1:12" x14ac:dyDescent="0.35">
      <c r="A448" t="s">
        <v>489</v>
      </c>
      <c r="B448" s="3">
        <v>45779</v>
      </c>
      <c r="C448" t="s">
        <v>25</v>
      </c>
      <c r="D448" t="s">
        <v>37</v>
      </c>
      <c r="E448" t="s">
        <v>61</v>
      </c>
      <c r="F448" t="s">
        <v>4</v>
      </c>
      <c r="G448">
        <v>9</v>
      </c>
      <c r="H448" s="4">
        <v>87.93</v>
      </c>
      <c r="I448" s="5">
        <v>0.02</v>
      </c>
      <c r="J448" s="4">
        <v>775.54</v>
      </c>
      <c r="K448" s="4">
        <v>509.72</v>
      </c>
      <c r="L448" s="4">
        <v>265.82</v>
      </c>
    </row>
    <row r="449" spans="1:12" x14ac:dyDescent="0.35">
      <c r="A449" t="s">
        <v>490</v>
      </c>
      <c r="B449" s="3">
        <v>45811</v>
      </c>
      <c r="C449" t="s">
        <v>25</v>
      </c>
      <c r="D449" t="s">
        <v>46</v>
      </c>
      <c r="E449" t="s">
        <v>3</v>
      </c>
      <c r="F449" t="s">
        <v>4</v>
      </c>
      <c r="G449">
        <v>9</v>
      </c>
      <c r="H449" s="4">
        <v>892.86</v>
      </c>
      <c r="I449" s="5">
        <v>0.15</v>
      </c>
      <c r="J449" s="4">
        <v>6830.38</v>
      </c>
      <c r="K449" s="4">
        <v>4134.74</v>
      </c>
      <c r="L449" s="4">
        <v>2695.64</v>
      </c>
    </row>
    <row r="450" spans="1:12" x14ac:dyDescent="0.35">
      <c r="A450" t="s">
        <v>491</v>
      </c>
      <c r="B450" s="3">
        <v>45747</v>
      </c>
      <c r="C450" t="s">
        <v>14</v>
      </c>
      <c r="D450" t="s">
        <v>15</v>
      </c>
      <c r="E450" t="s">
        <v>11</v>
      </c>
      <c r="F450" t="s">
        <v>12</v>
      </c>
      <c r="G450">
        <v>8</v>
      </c>
      <c r="H450" s="4">
        <v>7.5</v>
      </c>
      <c r="I450" s="5">
        <v>0</v>
      </c>
      <c r="J450" s="4">
        <v>60</v>
      </c>
      <c r="K450" s="4">
        <v>47.52</v>
      </c>
      <c r="L450" s="4">
        <v>12.48</v>
      </c>
    </row>
    <row r="451" spans="1:12" x14ac:dyDescent="0.35">
      <c r="A451" t="s">
        <v>492</v>
      </c>
      <c r="B451" s="3">
        <v>45987</v>
      </c>
      <c r="C451" t="s">
        <v>14</v>
      </c>
      <c r="D451" t="s">
        <v>15</v>
      </c>
      <c r="E451" t="s">
        <v>11</v>
      </c>
      <c r="F451" t="s">
        <v>12</v>
      </c>
      <c r="G451">
        <v>6</v>
      </c>
      <c r="H451" s="4">
        <v>6.83</v>
      </c>
      <c r="I451" s="5">
        <v>0.2</v>
      </c>
      <c r="J451" s="4">
        <v>32.78</v>
      </c>
      <c r="K451" s="4">
        <v>18.79</v>
      </c>
      <c r="L451" s="4">
        <v>13.99</v>
      </c>
    </row>
    <row r="452" spans="1:12" x14ac:dyDescent="0.35">
      <c r="A452" t="s">
        <v>493</v>
      </c>
      <c r="B452" s="3">
        <v>45867</v>
      </c>
      <c r="C452" t="s">
        <v>18</v>
      </c>
      <c r="D452" t="s">
        <v>40</v>
      </c>
      <c r="E452" t="s">
        <v>35</v>
      </c>
      <c r="F452" t="s">
        <v>23</v>
      </c>
      <c r="G452">
        <v>7</v>
      </c>
      <c r="H452" s="4">
        <v>164.23</v>
      </c>
      <c r="I452" s="5">
        <v>0.02</v>
      </c>
      <c r="J452" s="4">
        <v>1126.6199999999999</v>
      </c>
      <c r="K452" s="4">
        <v>627.71</v>
      </c>
      <c r="L452" s="4">
        <v>498.91</v>
      </c>
    </row>
    <row r="453" spans="1:12" x14ac:dyDescent="0.35">
      <c r="A453" t="s">
        <v>494</v>
      </c>
      <c r="B453" s="3">
        <v>45900</v>
      </c>
      <c r="C453" t="s">
        <v>18</v>
      </c>
      <c r="D453" t="s">
        <v>34</v>
      </c>
      <c r="E453" t="s">
        <v>16</v>
      </c>
      <c r="F453" t="s">
        <v>4</v>
      </c>
      <c r="G453">
        <v>5</v>
      </c>
      <c r="H453" s="4">
        <v>198.97</v>
      </c>
      <c r="I453" s="5">
        <v>0.2</v>
      </c>
      <c r="J453" s="4">
        <v>795.88</v>
      </c>
      <c r="K453" s="4">
        <v>563.02</v>
      </c>
      <c r="L453" s="4">
        <v>232.86</v>
      </c>
    </row>
    <row r="454" spans="1:12" x14ac:dyDescent="0.35">
      <c r="A454" t="s">
        <v>495</v>
      </c>
      <c r="B454" s="3">
        <v>45895</v>
      </c>
      <c r="C454" t="s">
        <v>1</v>
      </c>
      <c r="D454" t="s">
        <v>6</v>
      </c>
      <c r="E454" t="s">
        <v>11</v>
      </c>
      <c r="F454" t="s">
        <v>12</v>
      </c>
      <c r="G454">
        <v>7</v>
      </c>
      <c r="H454" s="4">
        <v>7.81</v>
      </c>
      <c r="I454" s="5">
        <v>0.1</v>
      </c>
      <c r="J454" s="4">
        <v>49.2</v>
      </c>
      <c r="K454" s="4">
        <v>38.92</v>
      </c>
      <c r="L454" s="4">
        <v>10.28</v>
      </c>
    </row>
    <row r="455" spans="1:12" x14ac:dyDescent="0.35">
      <c r="A455" t="s">
        <v>496</v>
      </c>
      <c r="B455" s="3">
        <v>45929</v>
      </c>
      <c r="C455" t="s">
        <v>18</v>
      </c>
      <c r="D455" t="s">
        <v>34</v>
      </c>
      <c r="E455" t="s">
        <v>29</v>
      </c>
      <c r="F455" t="s">
        <v>23</v>
      </c>
      <c r="G455">
        <v>4</v>
      </c>
      <c r="H455" s="4">
        <v>153.33000000000001</v>
      </c>
      <c r="I455" s="5">
        <v>0.05</v>
      </c>
      <c r="J455" s="4">
        <v>582.65</v>
      </c>
      <c r="K455" s="4">
        <v>374.23</v>
      </c>
      <c r="L455" s="4">
        <v>208.42</v>
      </c>
    </row>
    <row r="456" spans="1:12" x14ac:dyDescent="0.35">
      <c r="A456" t="s">
        <v>497</v>
      </c>
      <c r="B456" s="3">
        <v>45827</v>
      </c>
      <c r="C456" t="s">
        <v>1</v>
      </c>
      <c r="D456" t="s">
        <v>6</v>
      </c>
      <c r="E456" t="s">
        <v>38</v>
      </c>
      <c r="F456" t="s">
        <v>12</v>
      </c>
      <c r="G456">
        <v>6</v>
      </c>
      <c r="H456" s="4">
        <v>148.44999999999999</v>
      </c>
      <c r="I456" s="5">
        <v>0</v>
      </c>
      <c r="J456" s="4">
        <v>890.7</v>
      </c>
      <c r="K456" s="4">
        <v>581.20000000000005</v>
      </c>
      <c r="L456" s="4">
        <v>309.5</v>
      </c>
    </row>
    <row r="457" spans="1:12" x14ac:dyDescent="0.35">
      <c r="A457" t="s">
        <v>498</v>
      </c>
      <c r="B457" s="3">
        <v>45755</v>
      </c>
      <c r="C457" t="s">
        <v>1</v>
      </c>
      <c r="D457" t="s">
        <v>6</v>
      </c>
      <c r="E457" t="s">
        <v>35</v>
      </c>
      <c r="F457" t="s">
        <v>23</v>
      </c>
      <c r="G457">
        <v>7</v>
      </c>
      <c r="H457" s="4">
        <v>184.88</v>
      </c>
      <c r="I457" s="5">
        <v>0.2</v>
      </c>
      <c r="J457" s="4">
        <v>1035.33</v>
      </c>
      <c r="K457" s="4">
        <v>644.37</v>
      </c>
      <c r="L457" s="4">
        <v>390.96</v>
      </c>
    </row>
    <row r="458" spans="1:12" x14ac:dyDescent="0.35">
      <c r="A458" t="s">
        <v>499</v>
      </c>
      <c r="B458" s="3">
        <v>45966</v>
      </c>
      <c r="C458" t="s">
        <v>1</v>
      </c>
      <c r="D458" t="s">
        <v>6</v>
      </c>
      <c r="E458" t="s">
        <v>52</v>
      </c>
      <c r="F458" t="s">
        <v>4</v>
      </c>
      <c r="G458">
        <v>4</v>
      </c>
      <c r="H458" s="4">
        <v>570.48</v>
      </c>
      <c r="I458" s="5">
        <v>0.15</v>
      </c>
      <c r="J458" s="4">
        <v>1939.63</v>
      </c>
      <c r="K458" s="4">
        <v>1281.21</v>
      </c>
      <c r="L458" s="4">
        <v>658.42</v>
      </c>
    </row>
    <row r="459" spans="1:12" x14ac:dyDescent="0.35">
      <c r="A459" t="s">
        <v>500</v>
      </c>
      <c r="B459" s="3">
        <v>46001</v>
      </c>
      <c r="C459" t="s">
        <v>18</v>
      </c>
      <c r="D459" t="s">
        <v>19</v>
      </c>
      <c r="E459" t="s">
        <v>38</v>
      </c>
      <c r="F459" t="s">
        <v>12</v>
      </c>
      <c r="G459">
        <v>4</v>
      </c>
      <c r="H459" s="4">
        <v>162.5</v>
      </c>
      <c r="I459" s="5">
        <v>0.05</v>
      </c>
      <c r="J459" s="4">
        <v>617.5</v>
      </c>
      <c r="K459" s="4">
        <v>412.34</v>
      </c>
      <c r="L459" s="4">
        <v>205.16</v>
      </c>
    </row>
    <row r="460" spans="1:12" x14ac:dyDescent="0.35">
      <c r="A460" t="s">
        <v>501</v>
      </c>
      <c r="B460" s="3">
        <v>45665</v>
      </c>
      <c r="C460" t="s">
        <v>18</v>
      </c>
      <c r="D460" t="s">
        <v>19</v>
      </c>
      <c r="E460" t="s">
        <v>16</v>
      </c>
      <c r="F460" t="s">
        <v>4</v>
      </c>
      <c r="G460">
        <v>2</v>
      </c>
      <c r="H460" s="4">
        <v>206.43</v>
      </c>
      <c r="I460" s="5">
        <v>0.2</v>
      </c>
      <c r="J460" s="4">
        <v>330.29</v>
      </c>
      <c r="K460" s="4">
        <v>266.24</v>
      </c>
      <c r="L460" s="4">
        <v>64.05</v>
      </c>
    </row>
    <row r="461" spans="1:12" x14ac:dyDescent="0.35">
      <c r="A461" t="s">
        <v>502</v>
      </c>
      <c r="B461" s="3">
        <v>45782</v>
      </c>
      <c r="C461" t="s">
        <v>18</v>
      </c>
      <c r="D461" t="s">
        <v>19</v>
      </c>
      <c r="E461" t="s">
        <v>29</v>
      </c>
      <c r="F461" t="s">
        <v>23</v>
      </c>
      <c r="G461">
        <v>4</v>
      </c>
      <c r="H461" s="4">
        <v>151.07</v>
      </c>
      <c r="I461" s="5">
        <v>0.15</v>
      </c>
      <c r="J461" s="4">
        <v>513.64</v>
      </c>
      <c r="K461" s="4">
        <v>301.93</v>
      </c>
      <c r="L461" s="4">
        <v>211.71</v>
      </c>
    </row>
    <row r="462" spans="1:12" x14ac:dyDescent="0.35">
      <c r="A462" t="s">
        <v>503</v>
      </c>
      <c r="B462" s="3">
        <v>45802</v>
      </c>
      <c r="C462" t="s">
        <v>14</v>
      </c>
      <c r="D462" t="s">
        <v>15</v>
      </c>
      <c r="E462" t="s">
        <v>38</v>
      </c>
      <c r="F462" t="s">
        <v>12</v>
      </c>
      <c r="G462">
        <v>9</v>
      </c>
      <c r="H462" s="4">
        <v>177.69</v>
      </c>
      <c r="I462" s="5">
        <v>0.2</v>
      </c>
      <c r="J462" s="4">
        <v>1279.3699999999999</v>
      </c>
      <c r="K462" s="4">
        <v>872.03</v>
      </c>
      <c r="L462" s="4">
        <v>407.34</v>
      </c>
    </row>
    <row r="463" spans="1:12" x14ac:dyDescent="0.35">
      <c r="A463" t="s">
        <v>504</v>
      </c>
      <c r="B463" s="3">
        <v>45815</v>
      </c>
      <c r="C463" t="s">
        <v>25</v>
      </c>
      <c r="D463" t="s">
        <v>37</v>
      </c>
      <c r="E463" t="s">
        <v>22</v>
      </c>
      <c r="F463" t="s">
        <v>23</v>
      </c>
      <c r="G463">
        <v>9</v>
      </c>
      <c r="H463" s="4">
        <v>279.58999999999997</v>
      </c>
      <c r="I463" s="5">
        <v>0.1</v>
      </c>
      <c r="J463" s="4">
        <v>2264.6799999999998</v>
      </c>
      <c r="K463" s="4">
        <v>1734.66</v>
      </c>
      <c r="L463" s="4">
        <v>530.02</v>
      </c>
    </row>
    <row r="464" spans="1:12" x14ac:dyDescent="0.35">
      <c r="A464" t="s">
        <v>505</v>
      </c>
      <c r="B464" s="3">
        <v>45708</v>
      </c>
      <c r="C464" t="s">
        <v>14</v>
      </c>
      <c r="D464" t="s">
        <v>15</v>
      </c>
      <c r="E464" t="s">
        <v>22</v>
      </c>
      <c r="F464" t="s">
        <v>23</v>
      </c>
      <c r="G464">
        <v>4</v>
      </c>
      <c r="H464" s="4">
        <v>244.39</v>
      </c>
      <c r="I464" s="5">
        <v>0.05</v>
      </c>
      <c r="J464" s="4">
        <v>928.68</v>
      </c>
      <c r="K464" s="4">
        <v>516.41</v>
      </c>
      <c r="L464" s="4">
        <v>412.27</v>
      </c>
    </row>
    <row r="465" spans="1:12" x14ac:dyDescent="0.35">
      <c r="A465" t="s">
        <v>506</v>
      </c>
      <c r="B465" s="3">
        <v>45869</v>
      </c>
      <c r="C465" t="s">
        <v>1</v>
      </c>
      <c r="D465" t="s">
        <v>2</v>
      </c>
      <c r="E465" t="s">
        <v>32</v>
      </c>
      <c r="F465" t="s">
        <v>12</v>
      </c>
      <c r="G465">
        <v>4</v>
      </c>
      <c r="H465" s="4">
        <v>11.17</v>
      </c>
      <c r="I465" s="5">
        <v>0.2</v>
      </c>
      <c r="J465" s="4">
        <v>35.74</v>
      </c>
      <c r="K465" s="4">
        <v>24.88</v>
      </c>
      <c r="L465" s="4">
        <v>10.86</v>
      </c>
    </row>
    <row r="466" spans="1:12" x14ac:dyDescent="0.35">
      <c r="A466" t="s">
        <v>507</v>
      </c>
      <c r="B466" s="3">
        <v>45666</v>
      </c>
      <c r="C466" t="s">
        <v>25</v>
      </c>
      <c r="D466" t="s">
        <v>46</v>
      </c>
      <c r="E466" t="s">
        <v>11</v>
      </c>
      <c r="F466" t="s">
        <v>12</v>
      </c>
      <c r="G466">
        <v>10</v>
      </c>
      <c r="H466" s="4">
        <v>8.32</v>
      </c>
      <c r="I466" s="5">
        <v>0.15</v>
      </c>
      <c r="J466" s="4">
        <v>70.72</v>
      </c>
      <c r="K466" s="4">
        <v>43.82</v>
      </c>
      <c r="L466" s="4">
        <v>26.9</v>
      </c>
    </row>
    <row r="467" spans="1:12" x14ac:dyDescent="0.35">
      <c r="A467" t="s">
        <v>508</v>
      </c>
      <c r="B467" s="3">
        <v>45871</v>
      </c>
      <c r="C467" t="s">
        <v>25</v>
      </c>
      <c r="D467" t="s">
        <v>31</v>
      </c>
      <c r="E467" t="s">
        <v>61</v>
      </c>
      <c r="F467" t="s">
        <v>4</v>
      </c>
      <c r="G467">
        <v>4</v>
      </c>
      <c r="H467" s="4">
        <v>71.34</v>
      </c>
      <c r="I467" s="5">
        <v>0.05</v>
      </c>
      <c r="J467" s="4">
        <v>271.08999999999997</v>
      </c>
      <c r="K467" s="4">
        <v>210.21</v>
      </c>
      <c r="L467" s="4">
        <v>60.88</v>
      </c>
    </row>
    <row r="468" spans="1:12" x14ac:dyDescent="0.35">
      <c r="A468" t="s">
        <v>509</v>
      </c>
      <c r="B468" s="3">
        <v>45852</v>
      </c>
      <c r="C468" t="s">
        <v>18</v>
      </c>
      <c r="D468" t="s">
        <v>40</v>
      </c>
      <c r="E468" t="s">
        <v>38</v>
      </c>
      <c r="F468" t="s">
        <v>12</v>
      </c>
      <c r="G468">
        <v>9</v>
      </c>
      <c r="H468" s="4">
        <v>183.25</v>
      </c>
      <c r="I468" s="5">
        <v>0.2</v>
      </c>
      <c r="J468" s="4">
        <v>1319.4</v>
      </c>
      <c r="K468" s="4">
        <v>912.94</v>
      </c>
      <c r="L468" s="4">
        <v>406.46</v>
      </c>
    </row>
    <row r="469" spans="1:12" x14ac:dyDescent="0.35">
      <c r="A469" t="s">
        <v>510</v>
      </c>
      <c r="B469" s="3">
        <v>45830</v>
      </c>
      <c r="C469" t="s">
        <v>25</v>
      </c>
      <c r="D469" t="s">
        <v>31</v>
      </c>
      <c r="E469" t="s">
        <v>38</v>
      </c>
      <c r="F469" t="s">
        <v>12</v>
      </c>
      <c r="G469">
        <v>8</v>
      </c>
      <c r="H469" s="4">
        <v>144.24</v>
      </c>
      <c r="I469" s="5">
        <v>0.1</v>
      </c>
      <c r="J469" s="4">
        <v>1038.53</v>
      </c>
      <c r="K469" s="4">
        <v>647.54999999999995</v>
      </c>
      <c r="L469" s="4">
        <v>390.98</v>
      </c>
    </row>
    <row r="470" spans="1:12" x14ac:dyDescent="0.35">
      <c r="A470" t="s">
        <v>511</v>
      </c>
      <c r="B470" s="3">
        <v>45838</v>
      </c>
      <c r="C470" t="s">
        <v>18</v>
      </c>
      <c r="D470" t="s">
        <v>34</v>
      </c>
      <c r="E470" t="s">
        <v>61</v>
      </c>
      <c r="F470" t="s">
        <v>4</v>
      </c>
      <c r="G470">
        <v>9</v>
      </c>
      <c r="H470" s="4">
        <v>68.44</v>
      </c>
      <c r="I470" s="5">
        <v>0.1</v>
      </c>
      <c r="J470" s="4">
        <v>554.36</v>
      </c>
      <c r="K470" s="4">
        <v>441.75</v>
      </c>
      <c r="L470" s="4">
        <v>112.61</v>
      </c>
    </row>
    <row r="471" spans="1:12" x14ac:dyDescent="0.35">
      <c r="A471" t="s">
        <v>512</v>
      </c>
      <c r="B471" s="3">
        <v>45935</v>
      </c>
      <c r="C471" t="s">
        <v>1</v>
      </c>
      <c r="D471" t="s">
        <v>6</v>
      </c>
      <c r="E471" t="s">
        <v>11</v>
      </c>
      <c r="F471" t="s">
        <v>12</v>
      </c>
      <c r="G471">
        <v>1</v>
      </c>
      <c r="H471" s="4">
        <v>7.08</v>
      </c>
      <c r="I471" s="5">
        <v>0</v>
      </c>
      <c r="J471" s="4">
        <v>7.08</v>
      </c>
      <c r="K471" s="4">
        <v>5</v>
      </c>
      <c r="L471" s="4">
        <v>2.08</v>
      </c>
    </row>
    <row r="472" spans="1:12" x14ac:dyDescent="0.35">
      <c r="A472" t="s">
        <v>513</v>
      </c>
      <c r="B472" s="3">
        <v>45682</v>
      </c>
      <c r="C472" t="s">
        <v>1</v>
      </c>
      <c r="D472" t="s">
        <v>2</v>
      </c>
      <c r="E472" t="s">
        <v>29</v>
      </c>
      <c r="F472" t="s">
        <v>23</v>
      </c>
      <c r="G472">
        <v>3</v>
      </c>
      <c r="H472" s="4">
        <v>130.51</v>
      </c>
      <c r="I472" s="5">
        <v>0.2</v>
      </c>
      <c r="J472" s="4">
        <v>313.22000000000003</v>
      </c>
      <c r="K472" s="4">
        <v>219.14</v>
      </c>
      <c r="L472" s="4">
        <v>94.08</v>
      </c>
    </row>
    <row r="473" spans="1:12" x14ac:dyDescent="0.35">
      <c r="A473" t="s">
        <v>514</v>
      </c>
      <c r="B473" s="3">
        <v>45692</v>
      </c>
      <c r="C473" t="s">
        <v>18</v>
      </c>
      <c r="D473" t="s">
        <v>19</v>
      </c>
      <c r="E473" t="s">
        <v>3</v>
      </c>
      <c r="F473" t="s">
        <v>4</v>
      </c>
      <c r="G473">
        <v>4</v>
      </c>
      <c r="H473" s="4">
        <v>888.61</v>
      </c>
      <c r="I473" s="5">
        <v>0.15</v>
      </c>
      <c r="J473" s="4">
        <v>3021.27</v>
      </c>
      <c r="K473" s="4">
        <v>2338.5500000000002</v>
      </c>
      <c r="L473" s="4">
        <v>682.72</v>
      </c>
    </row>
    <row r="474" spans="1:12" x14ac:dyDescent="0.35">
      <c r="A474" t="s">
        <v>515</v>
      </c>
      <c r="B474" s="3">
        <v>45849</v>
      </c>
      <c r="C474" t="s">
        <v>1</v>
      </c>
      <c r="D474" t="s">
        <v>6</v>
      </c>
      <c r="E474" t="s">
        <v>32</v>
      </c>
      <c r="F474" t="s">
        <v>12</v>
      </c>
      <c r="G474">
        <v>10</v>
      </c>
      <c r="H474" s="4">
        <v>10.94</v>
      </c>
      <c r="I474" s="5">
        <v>0.1</v>
      </c>
      <c r="J474" s="4">
        <v>98.46</v>
      </c>
      <c r="K474" s="4">
        <v>54.45</v>
      </c>
      <c r="L474" s="4">
        <v>44.01</v>
      </c>
    </row>
    <row r="475" spans="1:12" x14ac:dyDescent="0.35">
      <c r="A475" t="s">
        <v>516</v>
      </c>
      <c r="B475" s="3">
        <v>45907</v>
      </c>
      <c r="C475" t="s">
        <v>1</v>
      </c>
      <c r="D475" t="s">
        <v>28</v>
      </c>
      <c r="E475" t="s">
        <v>3</v>
      </c>
      <c r="F475" t="s">
        <v>4</v>
      </c>
      <c r="G475">
        <v>9</v>
      </c>
      <c r="H475" s="4">
        <v>757.41</v>
      </c>
      <c r="I475" s="5">
        <v>0.15</v>
      </c>
      <c r="J475" s="4">
        <v>5794.19</v>
      </c>
      <c r="K475" s="4">
        <v>4594.82</v>
      </c>
      <c r="L475" s="4">
        <v>1199.3699999999999</v>
      </c>
    </row>
    <row r="476" spans="1:12" x14ac:dyDescent="0.35">
      <c r="A476" t="s">
        <v>517</v>
      </c>
      <c r="B476" s="3">
        <v>45664</v>
      </c>
      <c r="C476" t="s">
        <v>1</v>
      </c>
      <c r="D476" t="s">
        <v>28</v>
      </c>
      <c r="E476" t="s">
        <v>11</v>
      </c>
      <c r="F476" t="s">
        <v>12</v>
      </c>
      <c r="G476">
        <v>5</v>
      </c>
      <c r="H476" s="4">
        <v>8.9</v>
      </c>
      <c r="I476" s="5">
        <v>0.15</v>
      </c>
      <c r="J476" s="4">
        <v>37.82</v>
      </c>
      <c r="K476" s="4">
        <v>26.9</v>
      </c>
      <c r="L476" s="4">
        <v>10.92</v>
      </c>
    </row>
    <row r="477" spans="1:12" x14ac:dyDescent="0.35">
      <c r="A477" t="s">
        <v>518</v>
      </c>
      <c r="B477" s="3">
        <v>45666</v>
      </c>
      <c r="C477" t="s">
        <v>14</v>
      </c>
      <c r="D477" t="s">
        <v>66</v>
      </c>
      <c r="E477" t="s">
        <v>61</v>
      </c>
      <c r="F477" t="s">
        <v>4</v>
      </c>
      <c r="G477">
        <v>2</v>
      </c>
      <c r="H477" s="4">
        <v>82.41</v>
      </c>
      <c r="I477" s="5">
        <v>0</v>
      </c>
      <c r="J477" s="4">
        <v>164.82</v>
      </c>
      <c r="K477" s="4">
        <v>120.25</v>
      </c>
      <c r="L477" s="4">
        <v>44.57</v>
      </c>
    </row>
    <row r="478" spans="1:12" x14ac:dyDescent="0.35">
      <c r="A478" t="s">
        <v>519</v>
      </c>
      <c r="B478" s="3">
        <v>45734</v>
      </c>
      <c r="C478" t="s">
        <v>18</v>
      </c>
      <c r="D478" t="s">
        <v>19</v>
      </c>
      <c r="E478" t="s">
        <v>16</v>
      </c>
      <c r="F478" t="s">
        <v>4</v>
      </c>
      <c r="G478">
        <v>10</v>
      </c>
      <c r="H478" s="4">
        <v>198.57</v>
      </c>
      <c r="I478" s="5">
        <v>0.15</v>
      </c>
      <c r="J478" s="4">
        <v>1687.84</v>
      </c>
      <c r="K478" s="4">
        <v>1345.02</v>
      </c>
      <c r="L478" s="4">
        <v>342.82</v>
      </c>
    </row>
    <row r="479" spans="1:12" x14ac:dyDescent="0.35">
      <c r="A479" t="s">
        <v>520</v>
      </c>
      <c r="B479" s="3">
        <v>45839</v>
      </c>
      <c r="C479" t="s">
        <v>25</v>
      </c>
      <c r="D479" t="s">
        <v>37</v>
      </c>
      <c r="E479" t="s">
        <v>29</v>
      </c>
      <c r="F479" t="s">
        <v>23</v>
      </c>
      <c r="G479">
        <v>2</v>
      </c>
      <c r="H479" s="4">
        <v>136.59</v>
      </c>
      <c r="I479" s="5">
        <v>0.05</v>
      </c>
      <c r="J479" s="4">
        <v>259.52</v>
      </c>
      <c r="K479" s="4">
        <v>169.58</v>
      </c>
      <c r="L479" s="4">
        <v>89.94</v>
      </c>
    </row>
    <row r="480" spans="1:12" x14ac:dyDescent="0.35">
      <c r="A480" t="s">
        <v>521</v>
      </c>
      <c r="B480" s="3">
        <v>45893</v>
      </c>
      <c r="C480" t="s">
        <v>18</v>
      </c>
      <c r="D480" t="s">
        <v>40</v>
      </c>
      <c r="E480" t="s">
        <v>20</v>
      </c>
      <c r="F480" t="s">
        <v>8</v>
      </c>
      <c r="G480">
        <v>4</v>
      </c>
      <c r="H480" s="4">
        <v>35.200000000000003</v>
      </c>
      <c r="I480" s="5">
        <v>0.05</v>
      </c>
      <c r="J480" s="4">
        <v>133.76</v>
      </c>
      <c r="K480" s="4">
        <v>75.260000000000005</v>
      </c>
      <c r="L480" s="4">
        <v>58.5</v>
      </c>
    </row>
    <row r="481" spans="1:12" x14ac:dyDescent="0.35">
      <c r="A481" t="s">
        <v>522</v>
      </c>
      <c r="B481" s="3">
        <v>45699</v>
      </c>
      <c r="C481" t="s">
        <v>1</v>
      </c>
      <c r="D481" t="s">
        <v>28</v>
      </c>
      <c r="E481" t="s">
        <v>52</v>
      </c>
      <c r="F481" t="s">
        <v>4</v>
      </c>
      <c r="G481">
        <v>7</v>
      </c>
      <c r="H481" s="4">
        <v>494.94</v>
      </c>
      <c r="I481" s="5">
        <v>0.1</v>
      </c>
      <c r="J481" s="4">
        <v>3118.12</v>
      </c>
      <c r="K481" s="4">
        <v>2336.31</v>
      </c>
      <c r="L481" s="4">
        <v>781.81</v>
      </c>
    </row>
    <row r="482" spans="1:12" x14ac:dyDescent="0.35">
      <c r="A482" t="s">
        <v>523</v>
      </c>
      <c r="B482" s="3">
        <v>45940</v>
      </c>
      <c r="C482" t="s">
        <v>14</v>
      </c>
      <c r="D482" t="s">
        <v>55</v>
      </c>
      <c r="E482" t="s">
        <v>3</v>
      </c>
      <c r="F482" t="s">
        <v>4</v>
      </c>
      <c r="G482">
        <v>1</v>
      </c>
      <c r="H482" s="4">
        <v>743.61</v>
      </c>
      <c r="I482" s="5">
        <v>0.2</v>
      </c>
      <c r="J482" s="4">
        <v>594.89</v>
      </c>
      <c r="K482" s="4">
        <v>424.07</v>
      </c>
      <c r="L482" s="4">
        <v>170.82</v>
      </c>
    </row>
    <row r="483" spans="1:12" x14ac:dyDescent="0.35">
      <c r="A483" t="s">
        <v>524</v>
      </c>
      <c r="B483" s="3">
        <v>45700</v>
      </c>
      <c r="C483" t="s">
        <v>14</v>
      </c>
      <c r="D483" t="s">
        <v>55</v>
      </c>
      <c r="E483" t="s">
        <v>29</v>
      </c>
      <c r="F483" t="s">
        <v>23</v>
      </c>
      <c r="G483">
        <v>6</v>
      </c>
      <c r="H483" s="4">
        <v>129.30000000000001</v>
      </c>
      <c r="I483" s="5">
        <v>0.15</v>
      </c>
      <c r="J483" s="4">
        <v>659.43</v>
      </c>
      <c r="K483" s="4">
        <v>432</v>
      </c>
      <c r="L483" s="4">
        <v>227.43</v>
      </c>
    </row>
    <row r="484" spans="1:12" x14ac:dyDescent="0.35">
      <c r="A484" t="s">
        <v>525</v>
      </c>
      <c r="B484" s="3">
        <v>45928</v>
      </c>
      <c r="C484" t="s">
        <v>1</v>
      </c>
      <c r="D484" t="s">
        <v>6</v>
      </c>
      <c r="E484" t="s">
        <v>16</v>
      </c>
      <c r="F484" t="s">
        <v>4</v>
      </c>
      <c r="G484">
        <v>4</v>
      </c>
      <c r="H484" s="4">
        <v>206.05</v>
      </c>
      <c r="I484" s="5">
        <v>0.2</v>
      </c>
      <c r="J484" s="4">
        <v>659.36</v>
      </c>
      <c r="K484" s="4">
        <v>425.97</v>
      </c>
      <c r="L484" s="4">
        <v>233.39</v>
      </c>
    </row>
    <row r="485" spans="1:12" x14ac:dyDescent="0.35">
      <c r="A485" t="s">
        <v>526</v>
      </c>
      <c r="B485" s="3">
        <v>45901</v>
      </c>
      <c r="C485" t="s">
        <v>25</v>
      </c>
      <c r="D485" t="s">
        <v>37</v>
      </c>
      <c r="E485" t="s">
        <v>3</v>
      </c>
      <c r="F485" t="s">
        <v>4</v>
      </c>
      <c r="G485">
        <v>2</v>
      </c>
      <c r="H485" s="4">
        <v>905.86</v>
      </c>
      <c r="I485" s="5">
        <v>0.2</v>
      </c>
      <c r="J485" s="4">
        <v>1449.38</v>
      </c>
      <c r="K485" s="4">
        <v>913.43</v>
      </c>
      <c r="L485" s="4">
        <v>535.95000000000005</v>
      </c>
    </row>
    <row r="486" spans="1:12" x14ac:dyDescent="0.35">
      <c r="A486" t="s">
        <v>527</v>
      </c>
      <c r="B486" s="3">
        <v>45936</v>
      </c>
      <c r="C486" t="s">
        <v>1</v>
      </c>
      <c r="D486" t="s">
        <v>2</v>
      </c>
      <c r="E486" t="s">
        <v>61</v>
      </c>
      <c r="F486" t="s">
        <v>4</v>
      </c>
      <c r="G486">
        <v>6</v>
      </c>
      <c r="H486" s="4">
        <v>81.59</v>
      </c>
      <c r="I486" s="5">
        <v>0</v>
      </c>
      <c r="J486" s="4">
        <v>489.54</v>
      </c>
      <c r="K486" s="4">
        <v>332.17</v>
      </c>
      <c r="L486" s="4">
        <v>157.37</v>
      </c>
    </row>
    <row r="487" spans="1:12" x14ac:dyDescent="0.35">
      <c r="A487" t="s">
        <v>528</v>
      </c>
      <c r="B487" s="3">
        <v>45958</v>
      </c>
      <c r="C487" t="s">
        <v>18</v>
      </c>
      <c r="D487" t="s">
        <v>19</v>
      </c>
      <c r="E487" t="s">
        <v>20</v>
      </c>
      <c r="F487" t="s">
        <v>8</v>
      </c>
      <c r="G487">
        <v>7</v>
      </c>
      <c r="H487" s="4">
        <v>36.72</v>
      </c>
      <c r="I487" s="5">
        <v>0</v>
      </c>
      <c r="J487" s="4">
        <v>257.04000000000002</v>
      </c>
      <c r="K487" s="4">
        <v>206.39</v>
      </c>
      <c r="L487" s="4">
        <v>50.65</v>
      </c>
    </row>
    <row r="488" spans="1:12" x14ac:dyDescent="0.35">
      <c r="A488" t="s">
        <v>529</v>
      </c>
      <c r="B488" s="3">
        <v>45741</v>
      </c>
      <c r="C488" t="s">
        <v>18</v>
      </c>
      <c r="D488" t="s">
        <v>40</v>
      </c>
      <c r="E488" t="s">
        <v>32</v>
      </c>
      <c r="F488" t="s">
        <v>12</v>
      </c>
      <c r="G488">
        <v>7</v>
      </c>
      <c r="H488" s="4">
        <v>12.84</v>
      </c>
      <c r="I488" s="5">
        <v>0.2</v>
      </c>
      <c r="J488" s="4">
        <v>71.900000000000006</v>
      </c>
      <c r="K488" s="4">
        <v>43.72</v>
      </c>
      <c r="L488" s="4">
        <v>28.18</v>
      </c>
    </row>
    <row r="489" spans="1:12" x14ac:dyDescent="0.35">
      <c r="A489" t="s">
        <v>530</v>
      </c>
      <c r="B489" s="3">
        <v>45827</v>
      </c>
      <c r="C489" t="s">
        <v>14</v>
      </c>
      <c r="D489" t="s">
        <v>66</v>
      </c>
      <c r="E489" t="s">
        <v>20</v>
      </c>
      <c r="F489" t="s">
        <v>8</v>
      </c>
      <c r="G489">
        <v>3</v>
      </c>
      <c r="H489" s="4">
        <v>30.08</v>
      </c>
      <c r="I489" s="5">
        <v>0.2</v>
      </c>
      <c r="J489" s="4">
        <v>72.19</v>
      </c>
      <c r="K489" s="4">
        <v>44.82</v>
      </c>
      <c r="L489" s="4">
        <v>27.37</v>
      </c>
    </row>
    <row r="490" spans="1:12" x14ac:dyDescent="0.35">
      <c r="A490" t="s">
        <v>531</v>
      </c>
      <c r="B490" s="3">
        <v>45698</v>
      </c>
      <c r="C490" t="s">
        <v>25</v>
      </c>
      <c r="D490" t="s">
        <v>31</v>
      </c>
      <c r="E490" t="s">
        <v>3</v>
      </c>
      <c r="F490" t="s">
        <v>4</v>
      </c>
      <c r="G490">
        <v>2</v>
      </c>
      <c r="H490" s="4">
        <v>-50</v>
      </c>
      <c r="I490" s="5">
        <v>0.1</v>
      </c>
      <c r="J490" s="4">
        <v>1573.63</v>
      </c>
      <c r="K490" s="4">
        <v>887.35</v>
      </c>
      <c r="L490" s="4">
        <v>686.28</v>
      </c>
    </row>
    <row r="491" spans="1:12" x14ac:dyDescent="0.35">
      <c r="A491" t="s">
        <v>532</v>
      </c>
      <c r="B491" s="3">
        <v>45696</v>
      </c>
      <c r="C491" t="s">
        <v>25</v>
      </c>
      <c r="D491" t="s">
        <v>37</v>
      </c>
      <c r="E491" t="s">
        <v>32</v>
      </c>
      <c r="F491" t="s">
        <v>12</v>
      </c>
      <c r="G491">
        <v>10</v>
      </c>
      <c r="H491" s="4">
        <v>11.99</v>
      </c>
      <c r="I491" s="5">
        <v>0.15</v>
      </c>
      <c r="J491" s="4">
        <v>101.92</v>
      </c>
      <c r="K491" s="4">
        <v>72.48</v>
      </c>
      <c r="L491" s="4">
        <v>29.44</v>
      </c>
    </row>
    <row r="492" spans="1:12" x14ac:dyDescent="0.35">
      <c r="A492" t="s">
        <v>533</v>
      </c>
      <c r="B492" s="3">
        <v>45825</v>
      </c>
      <c r="C492" t="s">
        <v>1</v>
      </c>
      <c r="D492" t="s">
        <v>28</v>
      </c>
      <c r="E492" t="s">
        <v>7</v>
      </c>
      <c r="F492" t="s">
        <v>8</v>
      </c>
      <c r="G492">
        <v>5</v>
      </c>
      <c r="H492" s="4">
        <v>42.76</v>
      </c>
      <c r="I492" s="5">
        <v>0.1</v>
      </c>
      <c r="J492" s="4">
        <v>192.42</v>
      </c>
      <c r="K492" s="4">
        <v>145.88</v>
      </c>
      <c r="L492" s="4">
        <v>46.54</v>
      </c>
    </row>
    <row r="493" spans="1:12" x14ac:dyDescent="0.35">
      <c r="A493" t="s">
        <v>534</v>
      </c>
      <c r="B493" s="3">
        <v>45774</v>
      </c>
      <c r="C493" t="s">
        <v>25</v>
      </c>
      <c r="D493" t="s">
        <v>31</v>
      </c>
      <c r="E493" t="s">
        <v>11</v>
      </c>
      <c r="F493" t="s">
        <v>12</v>
      </c>
      <c r="G493">
        <v>7</v>
      </c>
      <c r="H493" s="4">
        <v>7.06</v>
      </c>
      <c r="I493" s="5">
        <v>0.1</v>
      </c>
      <c r="J493" s="4">
        <v>44.48</v>
      </c>
      <c r="K493" s="4">
        <v>25.37</v>
      </c>
      <c r="L493" s="4">
        <v>19.11</v>
      </c>
    </row>
    <row r="494" spans="1:12" x14ac:dyDescent="0.35">
      <c r="A494" t="s">
        <v>535</v>
      </c>
      <c r="B494" s="3">
        <v>46006</v>
      </c>
      <c r="C494" t="s">
        <v>14</v>
      </c>
      <c r="D494" t="s">
        <v>55</v>
      </c>
      <c r="E494" t="s">
        <v>52</v>
      </c>
      <c r="F494" t="s">
        <v>4</v>
      </c>
      <c r="G494">
        <v>10</v>
      </c>
      <c r="H494" s="4">
        <v>587.65</v>
      </c>
      <c r="I494" s="5">
        <v>0.05</v>
      </c>
      <c r="J494" s="4">
        <v>5582.68</v>
      </c>
      <c r="K494" s="4">
        <v>3817.34</v>
      </c>
      <c r="L494" s="4">
        <v>1765.34</v>
      </c>
    </row>
    <row r="495" spans="1:12" x14ac:dyDescent="0.35">
      <c r="A495" t="s">
        <v>536</v>
      </c>
      <c r="B495" s="3">
        <v>45695</v>
      </c>
      <c r="C495" t="s">
        <v>1</v>
      </c>
      <c r="D495" t="s">
        <v>6</v>
      </c>
      <c r="E495" t="s">
        <v>35</v>
      </c>
      <c r="F495" t="s">
        <v>23</v>
      </c>
      <c r="G495">
        <v>3</v>
      </c>
      <c r="H495" s="4">
        <v>190.17</v>
      </c>
      <c r="I495" s="5">
        <v>0.1</v>
      </c>
      <c r="J495" s="4">
        <v>513.46</v>
      </c>
      <c r="K495" s="4">
        <v>342.68</v>
      </c>
      <c r="L495" s="4">
        <v>170.78</v>
      </c>
    </row>
    <row r="496" spans="1:12" x14ac:dyDescent="0.35">
      <c r="A496" t="s">
        <v>537</v>
      </c>
      <c r="B496" s="3">
        <v>45982</v>
      </c>
      <c r="C496" t="s">
        <v>18</v>
      </c>
      <c r="D496" t="s">
        <v>19</v>
      </c>
      <c r="E496" t="s">
        <v>20</v>
      </c>
      <c r="F496" t="s">
        <v>8</v>
      </c>
      <c r="G496">
        <v>7</v>
      </c>
      <c r="H496" s="4">
        <v>32.340000000000003</v>
      </c>
      <c r="I496" s="5">
        <v>0.05</v>
      </c>
      <c r="J496" s="4">
        <v>215.06</v>
      </c>
      <c r="K496" s="4">
        <v>165.85</v>
      </c>
      <c r="L496" s="4">
        <v>49.21</v>
      </c>
    </row>
    <row r="497" spans="1:12" x14ac:dyDescent="0.35">
      <c r="A497" t="s">
        <v>538</v>
      </c>
      <c r="B497" s="3">
        <v>45712</v>
      </c>
      <c r="C497" t="s">
        <v>1</v>
      </c>
      <c r="D497" t="s">
        <v>28</v>
      </c>
      <c r="E497" t="s">
        <v>3</v>
      </c>
      <c r="F497" t="s">
        <v>4</v>
      </c>
      <c r="G497">
        <v>5</v>
      </c>
      <c r="H497" s="4">
        <v>926.35</v>
      </c>
      <c r="I497" s="5">
        <v>0.1</v>
      </c>
      <c r="J497" s="4">
        <v>4168.57</v>
      </c>
      <c r="K497" s="4">
        <v>3074.6</v>
      </c>
      <c r="L497" s="4">
        <v>1093.97</v>
      </c>
    </row>
    <row r="498" spans="1:12" x14ac:dyDescent="0.35">
      <c r="A498" t="s">
        <v>539</v>
      </c>
      <c r="B498" s="3">
        <v>45796</v>
      </c>
      <c r="C498" t="s">
        <v>1</v>
      </c>
      <c r="D498" t="s">
        <v>28</v>
      </c>
      <c r="E498" t="s">
        <v>61</v>
      </c>
      <c r="F498" t="s">
        <v>4</v>
      </c>
      <c r="G498">
        <v>2</v>
      </c>
      <c r="H498" s="4">
        <v>74.53</v>
      </c>
      <c r="I498" s="5">
        <v>0.02</v>
      </c>
      <c r="J498" s="4">
        <v>146.08000000000001</v>
      </c>
      <c r="K498" s="4">
        <v>103.62</v>
      </c>
      <c r="L498" s="4">
        <v>42.46</v>
      </c>
    </row>
    <row r="499" spans="1:12" x14ac:dyDescent="0.35">
      <c r="A499" t="s">
        <v>540</v>
      </c>
      <c r="B499" s="3">
        <v>45887</v>
      </c>
      <c r="C499" t="s">
        <v>14</v>
      </c>
      <c r="D499" t="s">
        <v>15</v>
      </c>
      <c r="E499" t="s">
        <v>52</v>
      </c>
      <c r="F499" t="s">
        <v>4</v>
      </c>
      <c r="G499">
        <v>1</v>
      </c>
      <c r="H499" s="4">
        <v>527.05999999999995</v>
      </c>
      <c r="I499" s="5">
        <v>0</v>
      </c>
      <c r="J499" s="4">
        <v>527.05999999999995</v>
      </c>
      <c r="K499" s="4">
        <v>302.92</v>
      </c>
      <c r="L499" s="4">
        <v>224.14</v>
      </c>
    </row>
    <row r="500" spans="1:12" x14ac:dyDescent="0.35">
      <c r="A500" t="s">
        <v>541</v>
      </c>
      <c r="B500" s="3">
        <v>45941</v>
      </c>
      <c r="C500" t="s">
        <v>1</v>
      </c>
      <c r="D500" t="s">
        <v>28</v>
      </c>
      <c r="E500" t="s">
        <v>32</v>
      </c>
      <c r="F500" t="s">
        <v>12</v>
      </c>
      <c r="G500">
        <v>10</v>
      </c>
      <c r="H500" s="4">
        <v>13.5</v>
      </c>
      <c r="I500" s="5">
        <v>0.05</v>
      </c>
      <c r="J500" s="4">
        <v>128.25</v>
      </c>
      <c r="K500" s="4">
        <v>75.28</v>
      </c>
      <c r="L500" s="4">
        <v>52.97</v>
      </c>
    </row>
    <row r="501" spans="1:12" x14ac:dyDescent="0.35">
      <c r="A501" t="s">
        <v>542</v>
      </c>
      <c r="B501" s="3">
        <v>45664</v>
      </c>
      <c r="C501" t="s">
        <v>25</v>
      </c>
      <c r="D501" t="s">
        <v>46</v>
      </c>
      <c r="E501" t="s">
        <v>29</v>
      </c>
      <c r="F501" t="s">
        <v>23</v>
      </c>
      <c r="G501">
        <v>7</v>
      </c>
      <c r="H501" s="4">
        <v>158.91</v>
      </c>
      <c r="I501" s="5">
        <v>0</v>
      </c>
      <c r="J501" s="4">
        <v>1112.3699999999999</v>
      </c>
      <c r="K501" s="4">
        <v>745.76</v>
      </c>
      <c r="L501" s="4">
        <v>366.61</v>
      </c>
    </row>
    <row r="502" spans="1:12" x14ac:dyDescent="0.35">
      <c r="A502" t="s">
        <v>543</v>
      </c>
      <c r="B502" s="3">
        <v>45944</v>
      </c>
      <c r="C502" t="s">
        <v>18</v>
      </c>
      <c r="D502" t="s">
        <v>40</v>
      </c>
      <c r="E502" t="s">
        <v>32</v>
      </c>
      <c r="F502" t="s">
        <v>12</v>
      </c>
      <c r="G502">
        <v>9</v>
      </c>
      <c r="H502" s="4">
        <v>10.87</v>
      </c>
      <c r="I502" s="5">
        <v>0.02</v>
      </c>
      <c r="J502" s="4">
        <v>95.87</v>
      </c>
      <c r="K502" s="4">
        <v>66.760000000000005</v>
      </c>
      <c r="L502" s="4">
        <v>29.11</v>
      </c>
    </row>
    <row r="503" spans="1:12" x14ac:dyDescent="0.35">
      <c r="A503" t="s">
        <v>544</v>
      </c>
      <c r="B503" s="3">
        <v>45852</v>
      </c>
      <c r="C503" t="s">
        <v>18</v>
      </c>
      <c r="D503" t="s">
        <v>19</v>
      </c>
      <c r="E503" t="s">
        <v>61</v>
      </c>
      <c r="F503" t="s">
        <v>4</v>
      </c>
      <c r="G503">
        <v>5</v>
      </c>
      <c r="H503" s="4">
        <v>88.95</v>
      </c>
      <c r="I503" s="5">
        <v>0.05</v>
      </c>
      <c r="J503" s="4">
        <v>422.51</v>
      </c>
      <c r="K503" s="4">
        <v>315.91000000000003</v>
      </c>
      <c r="L503" s="4">
        <v>106.6</v>
      </c>
    </row>
    <row r="504" spans="1:12" x14ac:dyDescent="0.35">
      <c r="A504" t="s">
        <v>545</v>
      </c>
      <c r="B504" s="3">
        <v>45910</v>
      </c>
      <c r="C504" t="s">
        <v>18</v>
      </c>
      <c r="D504" t="s">
        <v>19</v>
      </c>
      <c r="E504" t="s">
        <v>52</v>
      </c>
      <c r="F504" t="s">
        <v>4</v>
      </c>
      <c r="G504">
        <v>3</v>
      </c>
      <c r="H504" s="4">
        <v>600.58000000000004</v>
      </c>
      <c r="I504" s="5">
        <v>0.1</v>
      </c>
      <c r="J504" s="4">
        <v>1621.57</v>
      </c>
      <c r="K504" s="4">
        <v>1180.29</v>
      </c>
      <c r="L504" s="4">
        <v>441.28</v>
      </c>
    </row>
    <row r="505" spans="1:12" x14ac:dyDescent="0.35">
      <c r="A505" t="s">
        <v>546</v>
      </c>
      <c r="B505" s="3">
        <v>45873</v>
      </c>
      <c r="C505" t="s">
        <v>25</v>
      </c>
      <c r="D505" t="s">
        <v>37</v>
      </c>
      <c r="E505" t="s">
        <v>38</v>
      </c>
      <c r="F505" t="s">
        <v>12</v>
      </c>
      <c r="G505">
        <v>2</v>
      </c>
      <c r="H505" s="4">
        <v>169.23</v>
      </c>
      <c r="I505" s="5">
        <v>0.05</v>
      </c>
      <c r="J505" s="4">
        <v>321.54000000000002</v>
      </c>
      <c r="K505" s="4">
        <v>250.57</v>
      </c>
      <c r="L505" s="4">
        <v>70.97</v>
      </c>
    </row>
    <row r="506" spans="1:12" x14ac:dyDescent="0.35">
      <c r="A506" t="s">
        <v>547</v>
      </c>
      <c r="B506" s="3">
        <v>45784</v>
      </c>
      <c r="C506" t="s">
        <v>14</v>
      </c>
      <c r="D506" t="s">
        <v>15</v>
      </c>
      <c r="E506" t="s">
        <v>32</v>
      </c>
      <c r="F506" t="s">
        <v>12</v>
      </c>
      <c r="G506">
        <v>10</v>
      </c>
      <c r="H506" s="4">
        <v>11.1</v>
      </c>
      <c r="I506" s="5">
        <v>0.02</v>
      </c>
      <c r="J506" s="4">
        <v>108.78</v>
      </c>
      <c r="K506" s="4">
        <v>74.2</v>
      </c>
      <c r="L506" s="4">
        <v>34.58</v>
      </c>
    </row>
    <row r="507" spans="1:12" x14ac:dyDescent="0.35">
      <c r="A507" t="s">
        <v>548</v>
      </c>
      <c r="B507" s="3">
        <v>45712</v>
      </c>
      <c r="C507" t="s">
        <v>18</v>
      </c>
      <c r="D507" t="s">
        <v>19</v>
      </c>
      <c r="E507" t="s">
        <v>35</v>
      </c>
      <c r="F507" t="s">
        <v>23</v>
      </c>
      <c r="G507">
        <v>1</v>
      </c>
      <c r="H507" s="4">
        <v>164.95</v>
      </c>
      <c r="I507" s="5">
        <v>0.1</v>
      </c>
      <c r="J507" s="4">
        <v>148.44999999999999</v>
      </c>
      <c r="K507" s="4">
        <v>121.23</v>
      </c>
      <c r="L507" s="4">
        <v>27.22</v>
      </c>
    </row>
    <row r="508" spans="1:12" x14ac:dyDescent="0.35">
      <c r="A508" t="s">
        <v>549</v>
      </c>
      <c r="B508" s="3">
        <v>45975</v>
      </c>
      <c r="C508" t="s">
        <v>14</v>
      </c>
      <c r="D508" t="s">
        <v>15</v>
      </c>
      <c r="E508" t="s">
        <v>22</v>
      </c>
      <c r="F508" t="s">
        <v>23</v>
      </c>
      <c r="G508">
        <v>8</v>
      </c>
      <c r="H508" s="4">
        <v>283.3</v>
      </c>
      <c r="I508" s="5">
        <v>0.05</v>
      </c>
      <c r="J508" s="4">
        <v>2153.08</v>
      </c>
      <c r="K508" s="4">
        <v>1207.1099999999999</v>
      </c>
      <c r="L508" s="4">
        <v>945.97</v>
      </c>
    </row>
    <row r="509" spans="1:12" x14ac:dyDescent="0.35">
      <c r="A509" t="s">
        <v>550</v>
      </c>
      <c r="B509" s="3">
        <v>45991</v>
      </c>
      <c r="C509" t="s">
        <v>18</v>
      </c>
      <c r="D509" t="s">
        <v>40</v>
      </c>
      <c r="E509" t="s">
        <v>35</v>
      </c>
      <c r="F509" t="s">
        <v>23</v>
      </c>
      <c r="G509">
        <v>6</v>
      </c>
      <c r="H509" s="4">
        <v>191.1</v>
      </c>
      <c r="I509" s="5">
        <v>0.15</v>
      </c>
      <c r="J509" s="4">
        <v>974.61</v>
      </c>
      <c r="K509" s="4">
        <v>779.51</v>
      </c>
      <c r="L509" s="4">
        <v>195.1</v>
      </c>
    </row>
    <row r="510" spans="1:12" x14ac:dyDescent="0.35">
      <c r="A510" t="s">
        <v>551</v>
      </c>
      <c r="B510" s="3">
        <v>45760</v>
      </c>
      <c r="C510" t="s">
        <v>14</v>
      </c>
      <c r="D510" t="s">
        <v>15</v>
      </c>
      <c r="E510" t="s">
        <v>22</v>
      </c>
      <c r="F510" t="s">
        <v>23</v>
      </c>
      <c r="G510">
        <v>3</v>
      </c>
      <c r="H510" s="4">
        <v>226.04</v>
      </c>
      <c r="I510" s="5">
        <v>0.1</v>
      </c>
      <c r="J510" s="4">
        <v>610.30999999999995</v>
      </c>
      <c r="K510" s="4">
        <v>429.26</v>
      </c>
      <c r="L510" s="4">
        <v>181.05</v>
      </c>
    </row>
    <row r="511" spans="1:12" x14ac:dyDescent="0.35">
      <c r="A511" t="s">
        <v>552</v>
      </c>
      <c r="B511" s="3">
        <v>45807</v>
      </c>
      <c r="C511" t="s">
        <v>14</v>
      </c>
      <c r="D511" t="s">
        <v>15</v>
      </c>
      <c r="E511" t="s">
        <v>32</v>
      </c>
      <c r="F511" t="s">
        <v>12</v>
      </c>
      <c r="G511">
        <v>4</v>
      </c>
      <c r="H511" s="4">
        <v>13.5</v>
      </c>
      <c r="I511" s="5">
        <v>0.05</v>
      </c>
      <c r="J511" s="4">
        <v>51.3</v>
      </c>
      <c r="K511" s="4">
        <v>28.69</v>
      </c>
      <c r="L511" s="4">
        <v>22.61</v>
      </c>
    </row>
    <row r="512" spans="1:12" x14ac:dyDescent="0.35">
      <c r="A512" t="s">
        <v>553</v>
      </c>
      <c r="B512" s="3">
        <v>45801</v>
      </c>
      <c r="C512" t="s">
        <v>14</v>
      </c>
      <c r="D512" t="s">
        <v>55</v>
      </c>
      <c r="E512" t="s">
        <v>22</v>
      </c>
      <c r="F512" t="s">
        <v>23</v>
      </c>
      <c r="G512">
        <v>2</v>
      </c>
      <c r="H512" s="4">
        <v>264.81</v>
      </c>
      <c r="I512" s="5">
        <v>0.15</v>
      </c>
      <c r="J512" s="4">
        <v>450.18</v>
      </c>
      <c r="K512" s="4">
        <v>283.74</v>
      </c>
      <c r="L512" s="4">
        <v>166.44</v>
      </c>
    </row>
    <row r="513" spans="1:12" x14ac:dyDescent="0.35">
      <c r="A513" t="s">
        <v>554</v>
      </c>
      <c r="B513" s="3">
        <v>45961</v>
      </c>
      <c r="C513" t="s">
        <v>18</v>
      </c>
      <c r="D513" t="s">
        <v>40</v>
      </c>
      <c r="E513" t="s">
        <v>7</v>
      </c>
      <c r="F513" t="s">
        <v>8</v>
      </c>
      <c r="G513">
        <v>9</v>
      </c>
      <c r="H513" s="4">
        <v>50.73</v>
      </c>
      <c r="I513" s="5">
        <v>0</v>
      </c>
      <c r="J513" s="4">
        <v>456.57</v>
      </c>
      <c r="K513" s="4">
        <v>370.82</v>
      </c>
      <c r="L513" s="4">
        <v>85.75</v>
      </c>
    </row>
    <row r="514" spans="1:12" x14ac:dyDescent="0.35">
      <c r="A514" t="s">
        <v>555</v>
      </c>
      <c r="B514" s="3">
        <v>45894</v>
      </c>
      <c r="C514" t="s">
        <v>18</v>
      </c>
      <c r="D514" t="s">
        <v>34</v>
      </c>
      <c r="E514" t="s">
        <v>38</v>
      </c>
      <c r="F514" t="s">
        <v>12</v>
      </c>
      <c r="G514">
        <v>5</v>
      </c>
      <c r="H514" s="4">
        <v>181.32</v>
      </c>
      <c r="I514" s="5">
        <v>0.2</v>
      </c>
      <c r="J514" s="4">
        <v>725.28</v>
      </c>
      <c r="K514" s="4">
        <v>491.77</v>
      </c>
      <c r="L514" s="4">
        <v>233.51</v>
      </c>
    </row>
    <row r="515" spans="1:12" x14ac:dyDescent="0.35">
      <c r="A515" t="s">
        <v>556</v>
      </c>
      <c r="B515" s="3">
        <v>45867</v>
      </c>
      <c r="C515" t="s">
        <v>14</v>
      </c>
      <c r="D515" t="s">
        <v>15</v>
      </c>
      <c r="E515" t="s">
        <v>61</v>
      </c>
      <c r="F515" t="s">
        <v>4</v>
      </c>
      <c r="G515">
        <v>5</v>
      </c>
      <c r="H515" s="4">
        <v>88.69</v>
      </c>
      <c r="I515" s="5">
        <v>0.02</v>
      </c>
      <c r="J515" s="4">
        <v>434.58</v>
      </c>
      <c r="K515" s="4">
        <v>338.12</v>
      </c>
      <c r="L515" s="4">
        <v>96.46</v>
      </c>
    </row>
    <row r="516" spans="1:12" x14ac:dyDescent="0.35">
      <c r="A516" t="s">
        <v>557</v>
      </c>
      <c r="B516" s="3">
        <v>45995</v>
      </c>
      <c r="C516" t="s">
        <v>18</v>
      </c>
      <c r="D516" t="s">
        <v>34</v>
      </c>
      <c r="E516" t="s">
        <v>20</v>
      </c>
      <c r="F516" t="s">
        <v>8</v>
      </c>
      <c r="G516">
        <v>7</v>
      </c>
      <c r="H516" s="4">
        <v>33.1</v>
      </c>
      <c r="I516" s="5">
        <v>0.1</v>
      </c>
      <c r="J516" s="4">
        <v>208.53</v>
      </c>
      <c r="K516" s="4">
        <v>161.36000000000001</v>
      </c>
      <c r="L516" s="4">
        <v>47.17</v>
      </c>
    </row>
    <row r="517" spans="1:12" x14ac:dyDescent="0.35">
      <c r="A517" t="s">
        <v>558</v>
      </c>
      <c r="B517" s="3">
        <v>45887</v>
      </c>
      <c r="C517" t="s">
        <v>14</v>
      </c>
      <c r="D517" t="s">
        <v>66</v>
      </c>
      <c r="E517" t="s">
        <v>32</v>
      </c>
      <c r="F517" t="s">
        <v>12</v>
      </c>
      <c r="G517">
        <v>7</v>
      </c>
      <c r="H517" s="4">
        <v>10.33</v>
      </c>
      <c r="I517" s="5">
        <v>0.15</v>
      </c>
      <c r="J517" s="4">
        <v>61.46</v>
      </c>
      <c r="K517" s="4">
        <v>43.7</v>
      </c>
      <c r="L517" s="4">
        <v>17.760000000000002</v>
      </c>
    </row>
    <row r="518" spans="1:12" x14ac:dyDescent="0.35">
      <c r="A518" t="s">
        <v>559</v>
      </c>
      <c r="B518" s="3">
        <v>46012</v>
      </c>
      <c r="C518" t="s">
        <v>14</v>
      </c>
      <c r="D518" t="s">
        <v>66</v>
      </c>
      <c r="E518" t="s">
        <v>11</v>
      </c>
      <c r="F518" t="s">
        <v>12</v>
      </c>
      <c r="G518">
        <v>1</v>
      </c>
      <c r="H518" s="4">
        <v>7.35</v>
      </c>
      <c r="I518" s="5">
        <v>0.05</v>
      </c>
      <c r="J518" s="4">
        <v>6.98</v>
      </c>
      <c r="K518" s="4">
        <v>4.07</v>
      </c>
      <c r="L518" s="4">
        <v>2.91</v>
      </c>
    </row>
    <row r="519" spans="1:12" x14ac:dyDescent="0.35">
      <c r="A519" t="s">
        <v>560</v>
      </c>
      <c r="B519" s="3">
        <v>45932</v>
      </c>
      <c r="C519" t="s">
        <v>1</v>
      </c>
      <c r="D519" t="s">
        <v>6</v>
      </c>
      <c r="E519" t="s">
        <v>52</v>
      </c>
      <c r="F519" t="s">
        <v>4</v>
      </c>
      <c r="G519">
        <v>4</v>
      </c>
      <c r="H519" s="4">
        <v>480.2</v>
      </c>
      <c r="I519" s="5">
        <v>0.2</v>
      </c>
      <c r="J519" s="4">
        <v>1536.64</v>
      </c>
      <c r="K519" s="4">
        <v>1134.04</v>
      </c>
      <c r="L519" s="4">
        <v>402.6</v>
      </c>
    </row>
    <row r="520" spans="1:12" x14ac:dyDescent="0.35">
      <c r="A520" t="s">
        <v>561</v>
      </c>
      <c r="B520" s="3">
        <v>45839</v>
      </c>
      <c r="C520" t="s">
        <v>18</v>
      </c>
      <c r="D520" t="s">
        <v>40</v>
      </c>
      <c r="E520" t="s">
        <v>7</v>
      </c>
      <c r="F520" t="s">
        <v>8</v>
      </c>
      <c r="G520">
        <v>10</v>
      </c>
      <c r="H520" s="4">
        <v>42.84</v>
      </c>
      <c r="I520" s="5">
        <v>0</v>
      </c>
      <c r="J520" s="4">
        <v>428.4</v>
      </c>
      <c r="K520" s="4">
        <v>319.45</v>
      </c>
      <c r="L520" s="4">
        <v>108.95</v>
      </c>
    </row>
    <row r="521" spans="1:12" x14ac:dyDescent="0.35">
      <c r="A521" t="s">
        <v>562</v>
      </c>
      <c r="B521" s="3">
        <v>45988</v>
      </c>
      <c r="C521" t="s">
        <v>14</v>
      </c>
      <c r="D521" t="s">
        <v>55</v>
      </c>
      <c r="E521" t="s">
        <v>22</v>
      </c>
      <c r="F521" t="s">
        <v>23</v>
      </c>
      <c r="G521">
        <v>7</v>
      </c>
      <c r="H521" s="4">
        <v>217.4</v>
      </c>
      <c r="I521" s="5">
        <v>0</v>
      </c>
      <c r="J521" s="4">
        <v>1521.8</v>
      </c>
      <c r="K521" s="4">
        <v>966.54</v>
      </c>
      <c r="L521" s="4">
        <v>555.26</v>
      </c>
    </row>
    <row r="522" spans="1:12" x14ac:dyDescent="0.35">
      <c r="A522" t="s">
        <v>563</v>
      </c>
      <c r="B522" s="3">
        <v>45708</v>
      </c>
      <c r="C522" t="s">
        <v>25</v>
      </c>
      <c r="D522" t="s">
        <v>46</v>
      </c>
      <c r="E522" t="s">
        <v>16</v>
      </c>
      <c r="F522" t="s">
        <v>4</v>
      </c>
      <c r="G522">
        <v>9</v>
      </c>
      <c r="H522" s="4">
        <v>222.61</v>
      </c>
      <c r="I522" s="5">
        <v>0.2</v>
      </c>
      <c r="J522" s="4">
        <v>1602.79</v>
      </c>
      <c r="K522" s="4">
        <v>1223.72</v>
      </c>
      <c r="L522" s="4">
        <v>379.07</v>
      </c>
    </row>
    <row r="523" spans="1:12" x14ac:dyDescent="0.35">
      <c r="A523" t="s">
        <v>564</v>
      </c>
      <c r="B523" s="3">
        <v>45943</v>
      </c>
      <c r="C523" t="s">
        <v>18</v>
      </c>
      <c r="D523" t="s">
        <v>19</v>
      </c>
      <c r="E523" t="s">
        <v>38</v>
      </c>
      <c r="F523" t="s">
        <v>12</v>
      </c>
      <c r="G523">
        <v>6</v>
      </c>
      <c r="H523" s="4">
        <v>151.30000000000001</v>
      </c>
      <c r="I523" s="5">
        <v>0.1</v>
      </c>
      <c r="J523" s="4">
        <v>817.02</v>
      </c>
      <c r="K523" s="4">
        <v>587.42999999999995</v>
      </c>
      <c r="L523" s="4">
        <v>229.59</v>
      </c>
    </row>
    <row r="524" spans="1:12" x14ac:dyDescent="0.35">
      <c r="A524" t="s">
        <v>565</v>
      </c>
      <c r="B524" s="3">
        <v>46005</v>
      </c>
      <c r="C524" t="s">
        <v>18</v>
      </c>
      <c r="D524" t="s">
        <v>34</v>
      </c>
      <c r="E524" t="s">
        <v>22</v>
      </c>
      <c r="F524" t="s">
        <v>23</v>
      </c>
      <c r="G524">
        <v>1</v>
      </c>
      <c r="H524" s="4">
        <v>278.95</v>
      </c>
      <c r="I524" s="5">
        <v>0.1</v>
      </c>
      <c r="J524" s="4">
        <v>251.06</v>
      </c>
      <c r="K524" s="4">
        <v>179.83</v>
      </c>
      <c r="L524" s="4">
        <v>71.23</v>
      </c>
    </row>
    <row r="525" spans="1:12" x14ac:dyDescent="0.35">
      <c r="A525" t="s">
        <v>566</v>
      </c>
      <c r="B525" s="3">
        <v>45809</v>
      </c>
      <c r="C525" t="s">
        <v>14</v>
      </c>
      <c r="D525" t="s">
        <v>55</v>
      </c>
      <c r="E525" t="s">
        <v>52</v>
      </c>
      <c r="F525" t="s">
        <v>4</v>
      </c>
      <c r="G525">
        <v>2</v>
      </c>
      <c r="H525" s="4">
        <v>505.94</v>
      </c>
      <c r="I525" s="5">
        <v>0.2</v>
      </c>
      <c r="J525" s="4">
        <v>809.5</v>
      </c>
      <c r="K525" s="4">
        <v>450.56</v>
      </c>
      <c r="L525" s="4">
        <v>358.94</v>
      </c>
    </row>
    <row r="526" spans="1:12" x14ac:dyDescent="0.35">
      <c r="A526" t="s">
        <v>567</v>
      </c>
      <c r="B526" s="3">
        <v>45836</v>
      </c>
      <c r="C526" t="s">
        <v>25</v>
      </c>
      <c r="D526" t="s">
        <v>46</v>
      </c>
      <c r="E526" t="s">
        <v>22</v>
      </c>
      <c r="F526" t="s">
        <v>23</v>
      </c>
      <c r="G526">
        <v>8</v>
      </c>
      <c r="H526" s="4">
        <v>277.76</v>
      </c>
      <c r="I526" s="5">
        <v>0.02</v>
      </c>
      <c r="J526" s="4">
        <v>2177.64</v>
      </c>
      <c r="K526" s="4">
        <v>1210.21</v>
      </c>
      <c r="L526" s="4">
        <v>967.43</v>
      </c>
    </row>
    <row r="527" spans="1:12" x14ac:dyDescent="0.35">
      <c r="A527" t="s">
        <v>568</v>
      </c>
      <c r="B527" s="3">
        <v>45905</v>
      </c>
      <c r="C527" t="s">
        <v>25</v>
      </c>
      <c r="D527" t="s">
        <v>46</v>
      </c>
      <c r="E527" t="s">
        <v>569</v>
      </c>
      <c r="F527" t="s">
        <v>12</v>
      </c>
      <c r="G527">
        <v>2</v>
      </c>
      <c r="H527" s="4">
        <v>177.99</v>
      </c>
      <c r="I527" s="5">
        <v>0.1</v>
      </c>
      <c r="J527" s="4">
        <v>320.38</v>
      </c>
      <c r="K527" s="4">
        <v>221.96</v>
      </c>
      <c r="L527" s="4">
        <v>98.42</v>
      </c>
    </row>
    <row r="528" spans="1:12" x14ac:dyDescent="0.35">
      <c r="A528" t="s">
        <v>570</v>
      </c>
      <c r="B528" s="3">
        <v>46014</v>
      </c>
      <c r="C528" t="s">
        <v>14</v>
      </c>
      <c r="D528" t="s">
        <v>55</v>
      </c>
      <c r="E528" t="s">
        <v>22</v>
      </c>
      <c r="F528" t="s">
        <v>23</v>
      </c>
      <c r="G528">
        <v>2</v>
      </c>
      <c r="H528" s="4">
        <v>282.93</v>
      </c>
      <c r="I528" s="5">
        <v>0.05</v>
      </c>
      <c r="J528" s="4">
        <v>537.57000000000005</v>
      </c>
      <c r="K528" s="4">
        <v>411.6</v>
      </c>
      <c r="L528" s="4">
        <v>125.97</v>
      </c>
    </row>
    <row r="529" spans="1:12" x14ac:dyDescent="0.35">
      <c r="A529" t="s">
        <v>571</v>
      </c>
      <c r="B529" s="3">
        <v>46021</v>
      </c>
      <c r="C529" t="s">
        <v>1</v>
      </c>
      <c r="D529" t="s">
        <v>2</v>
      </c>
      <c r="E529" t="s">
        <v>3</v>
      </c>
      <c r="F529" t="s">
        <v>4</v>
      </c>
      <c r="G529">
        <v>6</v>
      </c>
      <c r="H529" s="4">
        <v>976.97</v>
      </c>
      <c r="I529" s="5">
        <v>0.2</v>
      </c>
      <c r="J529" s="4">
        <v>4689.46</v>
      </c>
      <c r="K529" s="4">
        <v>3023.26</v>
      </c>
      <c r="L529" s="4">
        <v>1666.2</v>
      </c>
    </row>
    <row r="530" spans="1:12" x14ac:dyDescent="0.35">
      <c r="A530" t="s">
        <v>572</v>
      </c>
      <c r="B530" s="3">
        <v>46004</v>
      </c>
      <c r="C530" t="s">
        <v>18</v>
      </c>
      <c r="D530" t="s">
        <v>34</v>
      </c>
      <c r="E530" t="s">
        <v>20</v>
      </c>
      <c r="F530" t="s">
        <v>8</v>
      </c>
      <c r="G530">
        <v>4</v>
      </c>
      <c r="H530" s="4">
        <v>37.81</v>
      </c>
      <c r="I530" s="5">
        <v>0.15</v>
      </c>
      <c r="J530" s="4">
        <v>128.55000000000001</v>
      </c>
      <c r="K530" s="4">
        <v>84.65</v>
      </c>
      <c r="L530" s="4">
        <v>43.9</v>
      </c>
    </row>
    <row r="531" spans="1:12" x14ac:dyDescent="0.35">
      <c r="A531" t="s">
        <v>573</v>
      </c>
      <c r="B531" s="3">
        <v>45940</v>
      </c>
      <c r="C531" t="s">
        <v>18</v>
      </c>
      <c r="D531" t="s">
        <v>19</v>
      </c>
      <c r="E531" t="s">
        <v>22</v>
      </c>
      <c r="F531" t="s">
        <v>23</v>
      </c>
      <c r="G531">
        <v>9</v>
      </c>
      <c r="H531" s="4">
        <v>248.49</v>
      </c>
      <c r="I531" s="5">
        <v>0.1</v>
      </c>
      <c r="J531" s="4">
        <v>2012.77</v>
      </c>
      <c r="K531" s="4">
        <v>1448.04</v>
      </c>
      <c r="L531" s="4">
        <v>564.73</v>
      </c>
    </row>
    <row r="532" spans="1:12" x14ac:dyDescent="0.35">
      <c r="A532" t="s">
        <v>574</v>
      </c>
      <c r="B532" s="3">
        <v>45776</v>
      </c>
      <c r="C532" t="s">
        <v>14</v>
      </c>
      <c r="D532" t="s">
        <v>66</v>
      </c>
      <c r="E532" t="s">
        <v>7</v>
      </c>
      <c r="F532" t="s">
        <v>8</v>
      </c>
      <c r="G532">
        <v>3</v>
      </c>
      <c r="H532" s="4">
        <v>50.04</v>
      </c>
      <c r="I532" s="5">
        <v>0.02</v>
      </c>
      <c r="J532" s="4">
        <v>147.12</v>
      </c>
      <c r="K532" s="4">
        <v>120.01</v>
      </c>
      <c r="L532" s="4">
        <v>27.11</v>
      </c>
    </row>
    <row r="533" spans="1:12" x14ac:dyDescent="0.35">
      <c r="A533" t="s">
        <v>575</v>
      </c>
      <c r="B533" s="3">
        <v>45994</v>
      </c>
      <c r="C533" t="s">
        <v>14</v>
      </c>
      <c r="D533" t="s">
        <v>66</v>
      </c>
      <c r="E533" t="s">
        <v>29</v>
      </c>
      <c r="F533" t="s">
        <v>23</v>
      </c>
      <c r="G533">
        <v>1</v>
      </c>
      <c r="H533" s="4">
        <v>151.27000000000001</v>
      </c>
      <c r="I533" s="5">
        <v>0.2</v>
      </c>
      <c r="J533" s="4">
        <v>121.02</v>
      </c>
      <c r="K533" s="4">
        <v>80.209999999999994</v>
      </c>
      <c r="L533" s="4">
        <v>40.81</v>
      </c>
    </row>
    <row r="534" spans="1:12" x14ac:dyDescent="0.35">
      <c r="A534" t="s">
        <v>576</v>
      </c>
      <c r="B534" s="3">
        <v>45759</v>
      </c>
      <c r="C534" t="s">
        <v>14</v>
      </c>
      <c r="D534" t="s">
        <v>55</v>
      </c>
      <c r="E534" t="s">
        <v>32</v>
      </c>
      <c r="F534" t="s">
        <v>12</v>
      </c>
      <c r="G534">
        <v>7</v>
      </c>
      <c r="H534" s="4">
        <v>11.72</v>
      </c>
      <c r="I534" s="5">
        <v>0.1</v>
      </c>
      <c r="J534" s="4">
        <v>73.84</v>
      </c>
      <c r="K534" s="4">
        <v>55.32</v>
      </c>
      <c r="L534" s="4">
        <v>18.52</v>
      </c>
    </row>
    <row r="535" spans="1:12" x14ac:dyDescent="0.35">
      <c r="A535" t="s">
        <v>577</v>
      </c>
      <c r="B535" s="3">
        <v>46018</v>
      </c>
      <c r="C535" t="s">
        <v>18</v>
      </c>
      <c r="D535" t="s">
        <v>34</v>
      </c>
      <c r="E535" t="s">
        <v>16</v>
      </c>
      <c r="F535" t="s">
        <v>4</v>
      </c>
      <c r="G535">
        <v>5</v>
      </c>
      <c r="H535" s="4">
        <v>202.76</v>
      </c>
      <c r="I535" s="5">
        <v>0.2</v>
      </c>
      <c r="J535" s="4">
        <v>811.04</v>
      </c>
      <c r="K535" s="4">
        <v>470.26</v>
      </c>
      <c r="L535" s="4">
        <v>340.78</v>
      </c>
    </row>
    <row r="536" spans="1:12" x14ac:dyDescent="0.35">
      <c r="A536" t="s">
        <v>578</v>
      </c>
      <c r="B536" s="3">
        <v>45953</v>
      </c>
      <c r="C536" t="s">
        <v>1</v>
      </c>
      <c r="D536" t="s">
        <v>28</v>
      </c>
      <c r="E536" t="s">
        <v>11</v>
      </c>
      <c r="F536" t="s">
        <v>12</v>
      </c>
      <c r="G536">
        <v>3</v>
      </c>
      <c r="H536" s="4">
        <v>7.65</v>
      </c>
      <c r="I536" s="5">
        <v>0.05</v>
      </c>
      <c r="J536" s="4">
        <v>21.8</v>
      </c>
      <c r="K536" s="4">
        <v>13.68</v>
      </c>
      <c r="L536" s="4">
        <v>8.1199999999999992</v>
      </c>
    </row>
    <row r="537" spans="1:12" x14ac:dyDescent="0.35">
      <c r="A537" t="s">
        <v>579</v>
      </c>
      <c r="B537" s="3">
        <v>45758</v>
      </c>
      <c r="C537" t="s">
        <v>14</v>
      </c>
      <c r="D537" t="s">
        <v>15</v>
      </c>
      <c r="E537" t="s">
        <v>52</v>
      </c>
      <c r="F537" t="s">
        <v>4</v>
      </c>
      <c r="G537">
        <v>5</v>
      </c>
      <c r="H537" s="4">
        <v>516.39</v>
      </c>
      <c r="I537" s="5">
        <v>0.2</v>
      </c>
      <c r="J537" s="4">
        <v>2065.56</v>
      </c>
      <c r="K537" s="4">
        <v>1266.3399999999999</v>
      </c>
      <c r="L537" s="4">
        <v>799.22</v>
      </c>
    </row>
    <row r="538" spans="1:12" x14ac:dyDescent="0.35">
      <c r="A538" t="s">
        <v>580</v>
      </c>
      <c r="B538" s="3">
        <v>45928</v>
      </c>
      <c r="C538" t="s">
        <v>25</v>
      </c>
      <c r="D538" t="s">
        <v>37</v>
      </c>
      <c r="E538" t="s">
        <v>32</v>
      </c>
      <c r="F538" t="s">
        <v>12</v>
      </c>
      <c r="G538">
        <v>7</v>
      </c>
      <c r="H538" s="4">
        <v>10.35</v>
      </c>
      <c r="I538" s="5">
        <v>0.15</v>
      </c>
      <c r="J538" s="4">
        <v>61.58</v>
      </c>
      <c r="K538" s="4">
        <v>34.17</v>
      </c>
      <c r="L538" s="4">
        <v>27.41</v>
      </c>
    </row>
    <row r="539" spans="1:12" x14ac:dyDescent="0.35">
      <c r="A539" t="s">
        <v>581</v>
      </c>
      <c r="B539" s="3">
        <v>45958</v>
      </c>
      <c r="C539" t="s">
        <v>1</v>
      </c>
      <c r="D539" t="s">
        <v>6</v>
      </c>
      <c r="E539" t="s">
        <v>22</v>
      </c>
      <c r="F539" t="s">
        <v>23</v>
      </c>
      <c r="G539">
        <v>6</v>
      </c>
      <c r="H539" s="4">
        <v>286.58</v>
      </c>
      <c r="I539" s="5">
        <v>0.1</v>
      </c>
      <c r="J539" s="4">
        <v>1547.53</v>
      </c>
      <c r="K539" s="4">
        <v>1029.8800000000001</v>
      </c>
      <c r="L539" s="4">
        <v>517.65</v>
      </c>
    </row>
    <row r="540" spans="1:12" x14ac:dyDescent="0.35">
      <c r="A540" t="s">
        <v>582</v>
      </c>
      <c r="B540" s="3">
        <v>45746</v>
      </c>
      <c r="C540" t="s">
        <v>25</v>
      </c>
      <c r="D540" t="s">
        <v>46</v>
      </c>
      <c r="E540" t="s">
        <v>32</v>
      </c>
      <c r="F540" t="s">
        <v>12</v>
      </c>
      <c r="G540">
        <v>10</v>
      </c>
      <c r="H540" s="4">
        <v>11.58</v>
      </c>
      <c r="I540" s="5">
        <v>0</v>
      </c>
      <c r="J540" s="4">
        <v>115.8</v>
      </c>
      <c r="K540" s="4">
        <v>84.94</v>
      </c>
      <c r="L540" s="4">
        <v>30.86</v>
      </c>
    </row>
    <row r="541" spans="1:12" x14ac:dyDescent="0.35">
      <c r="A541" t="s">
        <v>583</v>
      </c>
      <c r="B541" s="3">
        <v>45726</v>
      </c>
      <c r="C541" t="s">
        <v>25</v>
      </c>
      <c r="D541" t="s">
        <v>31</v>
      </c>
      <c r="E541" t="s">
        <v>52</v>
      </c>
      <c r="F541" t="s">
        <v>4</v>
      </c>
      <c r="G541">
        <v>4</v>
      </c>
      <c r="H541" s="4">
        <v>503.51</v>
      </c>
      <c r="I541" s="5">
        <v>0.05</v>
      </c>
      <c r="J541" s="4">
        <v>1913.34</v>
      </c>
      <c r="K541" s="4">
        <v>1543.09</v>
      </c>
      <c r="L541" s="4">
        <v>370.25</v>
      </c>
    </row>
    <row r="542" spans="1:12" x14ac:dyDescent="0.35">
      <c r="A542" t="s">
        <v>584</v>
      </c>
      <c r="B542" s="3">
        <v>45751</v>
      </c>
      <c r="C542" t="s">
        <v>25</v>
      </c>
      <c r="D542" t="s">
        <v>37</v>
      </c>
      <c r="E542" t="s">
        <v>20</v>
      </c>
      <c r="F542" t="s">
        <v>8</v>
      </c>
      <c r="G542">
        <v>3</v>
      </c>
      <c r="H542" s="4">
        <v>38.01</v>
      </c>
      <c r="I542" s="5">
        <v>0.15</v>
      </c>
      <c r="J542" s="4">
        <v>96.93</v>
      </c>
      <c r="K542" s="4">
        <v>55.65</v>
      </c>
      <c r="L542" s="4">
        <v>41.28</v>
      </c>
    </row>
    <row r="543" spans="1:12" x14ac:dyDescent="0.35">
      <c r="A543" t="s">
        <v>585</v>
      </c>
      <c r="B543" s="3">
        <v>45872</v>
      </c>
      <c r="C543" t="s">
        <v>18</v>
      </c>
      <c r="D543" t="s">
        <v>34</v>
      </c>
      <c r="E543" t="s">
        <v>32</v>
      </c>
      <c r="F543" t="s">
        <v>12</v>
      </c>
      <c r="G543">
        <v>7</v>
      </c>
      <c r="H543" s="4">
        <v>11.7</v>
      </c>
      <c r="I543" s="5">
        <v>0.1</v>
      </c>
      <c r="J543" s="4">
        <v>73.709999999999994</v>
      </c>
      <c r="K543" s="4">
        <v>58.04</v>
      </c>
      <c r="L543" s="4">
        <v>15.67</v>
      </c>
    </row>
    <row r="544" spans="1:12" x14ac:dyDescent="0.35">
      <c r="A544" t="s">
        <v>586</v>
      </c>
      <c r="B544" s="3">
        <v>45907</v>
      </c>
      <c r="C544" t="s">
        <v>18</v>
      </c>
      <c r="D544" t="s">
        <v>19</v>
      </c>
      <c r="E544" t="s">
        <v>11</v>
      </c>
      <c r="F544" t="s">
        <v>12</v>
      </c>
      <c r="G544">
        <v>3</v>
      </c>
      <c r="H544" s="4">
        <v>9.07</v>
      </c>
      <c r="I544" s="5">
        <v>0.1</v>
      </c>
      <c r="J544" s="4">
        <v>24.49</v>
      </c>
      <c r="K544" s="4">
        <v>16.559999999999999</v>
      </c>
      <c r="L544" s="4">
        <v>7.93</v>
      </c>
    </row>
    <row r="545" spans="1:12" x14ac:dyDescent="0.35">
      <c r="A545" t="s">
        <v>587</v>
      </c>
      <c r="B545" s="3">
        <v>45729</v>
      </c>
      <c r="C545" t="s">
        <v>18</v>
      </c>
      <c r="D545" t="s">
        <v>34</v>
      </c>
      <c r="E545" t="s">
        <v>22</v>
      </c>
      <c r="F545" t="s">
        <v>23</v>
      </c>
      <c r="G545">
        <v>8</v>
      </c>
      <c r="H545" s="4">
        <v>258.51</v>
      </c>
      <c r="I545" s="5">
        <v>0.15</v>
      </c>
      <c r="J545" s="4">
        <v>1757.87</v>
      </c>
      <c r="K545" s="4">
        <v>1046.1099999999999</v>
      </c>
      <c r="L545" s="4">
        <v>711.76</v>
      </c>
    </row>
    <row r="546" spans="1:12" x14ac:dyDescent="0.35">
      <c r="A546" t="s">
        <v>588</v>
      </c>
      <c r="B546" s="3">
        <v>45841</v>
      </c>
      <c r="C546" t="s">
        <v>1</v>
      </c>
      <c r="D546" t="s">
        <v>28</v>
      </c>
      <c r="E546" t="s">
        <v>38</v>
      </c>
      <c r="F546" t="s">
        <v>12</v>
      </c>
      <c r="G546">
        <v>3</v>
      </c>
      <c r="H546" s="4">
        <v>183.58</v>
      </c>
      <c r="I546" s="5">
        <v>0.02</v>
      </c>
      <c r="J546" s="4">
        <v>539.73</v>
      </c>
      <c r="K546" s="4">
        <v>330.61</v>
      </c>
      <c r="L546" s="4">
        <v>209.12</v>
      </c>
    </row>
    <row r="547" spans="1:12" x14ac:dyDescent="0.35">
      <c r="A547" t="s">
        <v>589</v>
      </c>
      <c r="B547" s="3">
        <v>45945</v>
      </c>
      <c r="C547" t="s">
        <v>14</v>
      </c>
      <c r="D547" t="s">
        <v>66</v>
      </c>
      <c r="E547" t="s">
        <v>29</v>
      </c>
      <c r="F547" t="s">
        <v>23</v>
      </c>
      <c r="G547">
        <v>8</v>
      </c>
      <c r="H547" s="4">
        <v>158.59</v>
      </c>
      <c r="I547" s="5">
        <v>0.1</v>
      </c>
      <c r="J547" s="4">
        <v>1141.8499999999999</v>
      </c>
      <c r="K547" s="4">
        <v>828.3</v>
      </c>
      <c r="L547" s="4">
        <v>313.55</v>
      </c>
    </row>
    <row r="548" spans="1:12" x14ac:dyDescent="0.35">
      <c r="A548" t="s">
        <v>590</v>
      </c>
      <c r="B548" s="3">
        <v>45885</v>
      </c>
      <c r="C548" t="s">
        <v>14</v>
      </c>
      <c r="D548" t="s">
        <v>55</v>
      </c>
      <c r="E548" t="s">
        <v>61</v>
      </c>
      <c r="F548" t="s">
        <v>4</v>
      </c>
      <c r="G548">
        <v>2</v>
      </c>
      <c r="H548" s="4">
        <v>82.59</v>
      </c>
      <c r="I548" s="5">
        <v>0.15</v>
      </c>
      <c r="J548" s="4">
        <v>140.4</v>
      </c>
      <c r="K548" s="4">
        <v>96.65</v>
      </c>
      <c r="L548" s="4">
        <v>43.75</v>
      </c>
    </row>
    <row r="549" spans="1:12" x14ac:dyDescent="0.35">
      <c r="A549" t="s">
        <v>591</v>
      </c>
      <c r="B549" s="3">
        <v>45770</v>
      </c>
      <c r="C549" t="s">
        <v>25</v>
      </c>
      <c r="D549" t="s">
        <v>46</v>
      </c>
      <c r="E549" t="s">
        <v>3</v>
      </c>
      <c r="F549" t="s">
        <v>4</v>
      </c>
      <c r="G549">
        <v>5</v>
      </c>
      <c r="H549" s="4">
        <v>781.32</v>
      </c>
      <c r="I549" s="5">
        <v>0.02</v>
      </c>
      <c r="J549" s="4">
        <v>3828.47</v>
      </c>
      <c r="K549" s="4">
        <v>2288.13</v>
      </c>
      <c r="L549" s="4">
        <v>1540.34</v>
      </c>
    </row>
    <row r="550" spans="1:12" x14ac:dyDescent="0.35">
      <c r="A550" t="s">
        <v>592</v>
      </c>
      <c r="B550" s="3">
        <v>45805</v>
      </c>
      <c r="C550" t="s">
        <v>18</v>
      </c>
      <c r="D550" t="s">
        <v>19</v>
      </c>
      <c r="E550" t="s">
        <v>38</v>
      </c>
      <c r="F550" t="s">
        <v>12</v>
      </c>
      <c r="H550" s="4">
        <v>146.58000000000001</v>
      </c>
      <c r="I550" s="5">
        <v>0.2</v>
      </c>
      <c r="J550" s="4">
        <v>1172.6400000000001</v>
      </c>
      <c r="K550" s="4">
        <v>703.98</v>
      </c>
      <c r="L550" s="4">
        <v>468.66</v>
      </c>
    </row>
    <row r="551" spans="1:12" x14ac:dyDescent="0.35">
      <c r="A551" t="s">
        <v>593</v>
      </c>
      <c r="B551" s="3">
        <v>45939</v>
      </c>
      <c r="C551" t="s">
        <v>1</v>
      </c>
      <c r="D551" t="s">
        <v>6</v>
      </c>
      <c r="E551" t="s">
        <v>32</v>
      </c>
      <c r="F551" t="s">
        <v>12</v>
      </c>
      <c r="G551">
        <v>2</v>
      </c>
      <c r="H551" s="4">
        <v>13.01</v>
      </c>
      <c r="I551" s="5">
        <v>0.05</v>
      </c>
      <c r="J551" s="4">
        <v>24.72</v>
      </c>
      <c r="K551" s="4">
        <v>15.93</v>
      </c>
      <c r="L551" s="4">
        <v>8.7899999999999991</v>
      </c>
    </row>
    <row r="552" spans="1:12" x14ac:dyDescent="0.35">
      <c r="A552" t="s">
        <v>594</v>
      </c>
      <c r="B552" s="3">
        <v>45845</v>
      </c>
      <c r="C552" t="s">
        <v>1</v>
      </c>
      <c r="D552" t="s">
        <v>2</v>
      </c>
      <c r="E552" t="s">
        <v>20</v>
      </c>
      <c r="F552" t="s">
        <v>8</v>
      </c>
      <c r="G552">
        <v>8</v>
      </c>
      <c r="H552" s="4">
        <v>30.36</v>
      </c>
      <c r="I552" s="5">
        <v>0.15</v>
      </c>
      <c r="J552" s="4">
        <v>206.45</v>
      </c>
      <c r="K552" s="4">
        <v>167.57</v>
      </c>
      <c r="L552" s="4">
        <v>38.880000000000003</v>
      </c>
    </row>
    <row r="553" spans="1:12" x14ac:dyDescent="0.35">
      <c r="A553" t="s">
        <v>595</v>
      </c>
      <c r="B553" s="3">
        <v>45875</v>
      </c>
      <c r="C553" t="s">
        <v>1</v>
      </c>
      <c r="D553" t="s">
        <v>2</v>
      </c>
      <c r="E553" t="s">
        <v>20</v>
      </c>
      <c r="F553" t="s">
        <v>8</v>
      </c>
      <c r="G553">
        <v>4</v>
      </c>
      <c r="H553" s="4">
        <v>39.03</v>
      </c>
      <c r="I553" s="5">
        <v>0.05</v>
      </c>
      <c r="J553" s="4">
        <v>148.31</v>
      </c>
      <c r="K553" s="4">
        <v>118.72</v>
      </c>
      <c r="L553" s="4">
        <v>29.59</v>
      </c>
    </row>
    <row r="554" spans="1:12" x14ac:dyDescent="0.35">
      <c r="A554" t="s">
        <v>596</v>
      </c>
      <c r="B554" s="3">
        <v>45888</v>
      </c>
      <c r="C554" t="s">
        <v>25</v>
      </c>
      <c r="D554" t="s">
        <v>31</v>
      </c>
      <c r="E554" t="s">
        <v>22</v>
      </c>
      <c r="F554" t="s">
        <v>23</v>
      </c>
      <c r="G554">
        <v>2</v>
      </c>
      <c r="H554" s="4">
        <v>287.12</v>
      </c>
      <c r="I554" s="5">
        <v>0.1</v>
      </c>
      <c r="J554" s="4">
        <v>516.82000000000005</v>
      </c>
      <c r="K554" s="4">
        <v>308.52</v>
      </c>
      <c r="L554" s="4">
        <v>208.3</v>
      </c>
    </row>
    <row r="555" spans="1:12" x14ac:dyDescent="0.35">
      <c r="A555" t="s">
        <v>597</v>
      </c>
      <c r="B555" s="3">
        <v>45779</v>
      </c>
      <c r="C555" t="s">
        <v>18</v>
      </c>
      <c r="D555" t="s">
        <v>19</v>
      </c>
      <c r="E555" t="s">
        <v>20</v>
      </c>
      <c r="F555" t="s">
        <v>8</v>
      </c>
      <c r="G555">
        <v>10</v>
      </c>
      <c r="H555" s="4">
        <v>33.909999999999997</v>
      </c>
      <c r="I555" s="5">
        <v>0.2</v>
      </c>
      <c r="J555" s="4">
        <v>271.27999999999997</v>
      </c>
      <c r="K555" s="4">
        <v>204.74</v>
      </c>
      <c r="L555" s="4">
        <v>66.540000000000006</v>
      </c>
    </row>
    <row r="556" spans="1:12" x14ac:dyDescent="0.35">
      <c r="A556" t="s">
        <v>598</v>
      </c>
      <c r="B556" s="3">
        <v>46021</v>
      </c>
      <c r="C556" t="s">
        <v>14</v>
      </c>
      <c r="D556" t="s">
        <v>55</v>
      </c>
      <c r="E556" t="s">
        <v>61</v>
      </c>
      <c r="F556" t="s">
        <v>4</v>
      </c>
      <c r="G556">
        <v>10</v>
      </c>
      <c r="H556" s="4">
        <v>84.7</v>
      </c>
      <c r="I556" s="5">
        <v>0.02</v>
      </c>
      <c r="J556" s="4">
        <v>830.06</v>
      </c>
      <c r="K556" s="4">
        <v>491.02</v>
      </c>
      <c r="L556" s="4">
        <v>339.04</v>
      </c>
    </row>
    <row r="557" spans="1:12" x14ac:dyDescent="0.35">
      <c r="A557" t="s">
        <v>599</v>
      </c>
      <c r="B557" s="3">
        <v>45763</v>
      </c>
      <c r="C557" t="s">
        <v>1</v>
      </c>
      <c r="D557" t="s">
        <v>28</v>
      </c>
      <c r="E557" t="s">
        <v>32</v>
      </c>
      <c r="F557" t="s">
        <v>12</v>
      </c>
      <c r="G557">
        <v>6</v>
      </c>
      <c r="H557" s="4">
        <v>13.14</v>
      </c>
      <c r="I557" s="5">
        <v>0.15</v>
      </c>
      <c r="J557" s="4">
        <v>67.010000000000005</v>
      </c>
      <c r="K557" s="4">
        <v>40.92</v>
      </c>
      <c r="L557" s="4">
        <v>26.09</v>
      </c>
    </row>
    <row r="558" spans="1:12" x14ac:dyDescent="0.35">
      <c r="A558" t="s">
        <v>600</v>
      </c>
      <c r="B558" s="3">
        <v>45963</v>
      </c>
      <c r="C558" t="s">
        <v>18</v>
      </c>
      <c r="D558" t="s">
        <v>40</v>
      </c>
      <c r="E558" t="s">
        <v>22</v>
      </c>
      <c r="F558" t="s">
        <v>23</v>
      </c>
      <c r="G558">
        <v>5</v>
      </c>
      <c r="H558" s="4">
        <v>229.29</v>
      </c>
      <c r="I558" s="5">
        <v>0.05</v>
      </c>
      <c r="J558" s="4">
        <v>1089.1300000000001</v>
      </c>
      <c r="K558" s="4">
        <v>756.93</v>
      </c>
      <c r="L558" s="4">
        <v>332.2</v>
      </c>
    </row>
    <row r="559" spans="1:12" x14ac:dyDescent="0.35">
      <c r="A559" t="s">
        <v>601</v>
      </c>
      <c r="B559" s="3">
        <v>45794</v>
      </c>
      <c r="C559" t="s">
        <v>1</v>
      </c>
      <c r="D559" t="s">
        <v>28</v>
      </c>
      <c r="E559" t="s">
        <v>61</v>
      </c>
      <c r="F559" t="s">
        <v>4</v>
      </c>
      <c r="G559">
        <v>7</v>
      </c>
      <c r="H559" s="4">
        <v>82.23</v>
      </c>
      <c r="I559" s="5">
        <v>0</v>
      </c>
      <c r="J559" s="4">
        <v>575.61</v>
      </c>
      <c r="K559" s="4">
        <v>406.74</v>
      </c>
      <c r="L559" s="4">
        <v>168.87</v>
      </c>
    </row>
    <row r="560" spans="1:12" x14ac:dyDescent="0.35">
      <c r="A560" t="s">
        <v>602</v>
      </c>
      <c r="B560" s="3">
        <v>45993</v>
      </c>
      <c r="C560" t="s">
        <v>18</v>
      </c>
      <c r="D560" t="s">
        <v>34</v>
      </c>
      <c r="E560" t="s">
        <v>20</v>
      </c>
      <c r="F560" t="s">
        <v>8</v>
      </c>
      <c r="G560">
        <v>3</v>
      </c>
      <c r="H560" s="4">
        <v>30.71</v>
      </c>
      <c r="I560" s="5">
        <v>0.02</v>
      </c>
      <c r="J560" s="4">
        <v>90.29</v>
      </c>
      <c r="K560" s="4">
        <v>71.05</v>
      </c>
      <c r="L560" s="4">
        <v>19.239999999999998</v>
      </c>
    </row>
    <row r="561" spans="1:12" x14ac:dyDescent="0.35">
      <c r="A561" t="s">
        <v>603</v>
      </c>
      <c r="B561" s="3">
        <v>46022</v>
      </c>
      <c r="C561" t="s">
        <v>25</v>
      </c>
      <c r="D561" t="s">
        <v>31</v>
      </c>
      <c r="E561" t="s">
        <v>16</v>
      </c>
      <c r="F561" t="s">
        <v>4</v>
      </c>
      <c r="G561">
        <v>7</v>
      </c>
      <c r="H561" s="4">
        <v>204.53</v>
      </c>
      <c r="I561" s="5">
        <v>0.1</v>
      </c>
      <c r="J561" s="4">
        <v>1288.54</v>
      </c>
      <c r="K561" s="4">
        <v>753.76</v>
      </c>
      <c r="L561" s="4">
        <v>534.78</v>
      </c>
    </row>
    <row r="562" spans="1:12" x14ac:dyDescent="0.35">
      <c r="A562" t="s">
        <v>604</v>
      </c>
      <c r="B562" s="3">
        <v>45953</v>
      </c>
      <c r="C562" t="s">
        <v>25</v>
      </c>
      <c r="D562" t="s">
        <v>37</v>
      </c>
      <c r="E562" t="s">
        <v>7</v>
      </c>
      <c r="F562" t="s">
        <v>8</v>
      </c>
      <c r="G562">
        <v>7</v>
      </c>
      <c r="H562" s="4">
        <v>50.25</v>
      </c>
      <c r="I562" s="5">
        <v>0.1</v>
      </c>
      <c r="J562" s="4">
        <v>316.57</v>
      </c>
      <c r="K562" s="4">
        <v>255.8</v>
      </c>
      <c r="L562" s="4">
        <v>60.77</v>
      </c>
    </row>
    <row r="563" spans="1:12" x14ac:dyDescent="0.35">
      <c r="A563" t="s">
        <v>605</v>
      </c>
      <c r="B563" s="3">
        <v>45696</v>
      </c>
      <c r="C563" t="s">
        <v>1</v>
      </c>
      <c r="D563" t="s">
        <v>28</v>
      </c>
      <c r="E563" t="s">
        <v>29</v>
      </c>
      <c r="F563" t="s">
        <v>23</v>
      </c>
      <c r="G563">
        <v>9</v>
      </c>
      <c r="H563" s="4">
        <v>155.21</v>
      </c>
      <c r="I563" s="5">
        <v>0.2</v>
      </c>
      <c r="J563" s="4">
        <v>1117.51</v>
      </c>
      <c r="K563" s="4">
        <v>858.88</v>
      </c>
      <c r="L563" s="4">
        <v>258.63</v>
      </c>
    </row>
    <row r="564" spans="1:12" x14ac:dyDescent="0.35">
      <c r="A564" t="s">
        <v>606</v>
      </c>
      <c r="B564" s="3">
        <v>46013</v>
      </c>
      <c r="C564" t="s">
        <v>25</v>
      </c>
      <c r="D564" t="s">
        <v>46</v>
      </c>
      <c r="E564" t="s">
        <v>38</v>
      </c>
      <c r="F564" t="s">
        <v>12</v>
      </c>
      <c r="G564">
        <v>8</v>
      </c>
      <c r="H564" s="4">
        <v>167.45</v>
      </c>
      <c r="I564" s="5">
        <v>0.05</v>
      </c>
      <c r="J564" s="4">
        <v>1272.6199999999999</v>
      </c>
      <c r="K564" s="4">
        <v>889.22</v>
      </c>
      <c r="L564" s="4">
        <v>383.4</v>
      </c>
    </row>
    <row r="565" spans="1:12" x14ac:dyDescent="0.35">
      <c r="A565" t="s">
        <v>607</v>
      </c>
      <c r="B565" s="3">
        <v>45659</v>
      </c>
      <c r="C565" t="s">
        <v>1</v>
      </c>
      <c r="D565" t="s">
        <v>6</v>
      </c>
      <c r="E565" t="s">
        <v>20</v>
      </c>
      <c r="F565" t="s">
        <v>8</v>
      </c>
      <c r="G565">
        <v>8</v>
      </c>
      <c r="H565" s="4">
        <v>30.66</v>
      </c>
      <c r="I565" s="5">
        <v>0.2</v>
      </c>
      <c r="J565" s="4">
        <v>196.22</v>
      </c>
      <c r="K565" s="4">
        <v>129.56</v>
      </c>
      <c r="L565" s="4">
        <v>66.66</v>
      </c>
    </row>
    <row r="566" spans="1:12" x14ac:dyDescent="0.35">
      <c r="A566" t="s">
        <v>608</v>
      </c>
      <c r="B566" s="3">
        <v>46015</v>
      </c>
      <c r="C566" t="s">
        <v>25</v>
      </c>
      <c r="D566" t="s">
        <v>31</v>
      </c>
      <c r="E566" t="s">
        <v>52</v>
      </c>
      <c r="F566" t="s">
        <v>4</v>
      </c>
      <c r="G566">
        <v>9</v>
      </c>
      <c r="H566" s="4">
        <v>528.99</v>
      </c>
      <c r="I566" s="5">
        <v>0.1</v>
      </c>
      <c r="J566" s="4">
        <v>4284.82</v>
      </c>
      <c r="K566" s="4">
        <v>2657.16</v>
      </c>
      <c r="L566" s="4">
        <v>1627.66</v>
      </c>
    </row>
    <row r="567" spans="1:12" x14ac:dyDescent="0.35">
      <c r="A567" t="s">
        <v>609</v>
      </c>
      <c r="B567" s="3">
        <v>45877</v>
      </c>
      <c r="C567" t="s">
        <v>18</v>
      </c>
      <c r="D567" t="s">
        <v>19</v>
      </c>
      <c r="E567" t="s">
        <v>38</v>
      </c>
      <c r="F567" t="s">
        <v>12</v>
      </c>
      <c r="G567">
        <v>5</v>
      </c>
      <c r="H567" s="4">
        <v>170.72</v>
      </c>
      <c r="I567" s="5">
        <v>0.05</v>
      </c>
      <c r="J567" s="4">
        <v>810.92</v>
      </c>
      <c r="K567" s="4">
        <v>554.58000000000004</v>
      </c>
      <c r="L567" s="4">
        <v>256.33999999999997</v>
      </c>
    </row>
    <row r="568" spans="1:12" x14ac:dyDescent="0.35">
      <c r="A568" t="s">
        <v>610</v>
      </c>
      <c r="B568" s="3">
        <v>45830</v>
      </c>
      <c r="C568" t="s">
        <v>18</v>
      </c>
      <c r="D568" t="s">
        <v>40</v>
      </c>
      <c r="E568" t="s">
        <v>32</v>
      </c>
      <c r="F568" t="s">
        <v>12</v>
      </c>
      <c r="G568">
        <v>8</v>
      </c>
      <c r="H568" s="4">
        <v>10.49</v>
      </c>
      <c r="I568" s="5">
        <v>0.05</v>
      </c>
      <c r="J568" s="4">
        <v>79.72</v>
      </c>
      <c r="K568" s="4">
        <v>48.59</v>
      </c>
      <c r="L568" s="4">
        <v>31.13</v>
      </c>
    </row>
    <row r="569" spans="1:12" x14ac:dyDescent="0.35">
      <c r="A569" t="s">
        <v>611</v>
      </c>
      <c r="B569" s="3">
        <v>45682</v>
      </c>
      <c r="C569" t="s">
        <v>1</v>
      </c>
      <c r="D569" t="s">
        <v>2</v>
      </c>
      <c r="E569" t="s">
        <v>52</v>
      </c>
      <c r="F569" t="s">
        <v>4</v>
      </c>
      <c r="G569">
        <v>8</v>
      </c>
      <c r="H569" s="4">
        <v>580.24</v>
      </c>
      <c r="I569" s="5">
        <v>0</v>
      </c>
      <c r="J569" s="4">
        <v>4641.92</v>
      </c>
      <c r="K569" s="4">
        <v>2648.47</v>
      </c>
      <c r="L569" s="4">
        <v>1993.45</v>
      </c>
    </row>
    <row r="570" spans="1:12" x14ac:dyDescent="0.35">
      <c r="A570" t="s">
        <v>612</v>
      </c>
      <c r="B570" s="3">
        <v>45738</v>
      </c>
      <c r="C570" t="s">
        <v>14</v>
      </c>
      <c r="D570" t="s">
        <v>55</v>
      </c>
      <c r="E570" t="s">
        <v>38</v>
      </c>
      <c r="F570" t="s">
        <v>12</v>
      </c>
      <c r="G570">
        <v>1</v>
      </c>
      <c r="H570" s="4">
        <v>176.86</v>
      </c>
      <c r="I570" s="5">
        <v>0.1</v>
      </c>
      <c r="J570" s="4">
        <v>159.16999999999999</v>
      </c>
      <c r="K570" s="4">
        <v>108.82</v>
      </c>
      <c r="L570" s="4">
        <v>50.35</v>
      </c>
    </row>
    <row r="571" spans="1:12" x14ac:dyDescent="0.35">
      <c r="A571" t="s">
        <v>613</v>
      </c>
      <c r="B571" s="3">
        <v>46010</v>
      </c>
      <c r="C571" t="s">
        <v>18</v>
      </c>
      <c r="D571" t="s">
        <v>19</v>
      </c>
      <c r="E571" t="s">
        <v>7</v>
      </c>
      <c r="F571" t="s">
        <v>8</v>
      </c>
      <c r="G571">
        <v>5</v>
      </c>
      <c r="H571" s="4">
        <v>44.74</v>
      </c>
      <c r="I571" s="5">
        <v>0.02</v>
      </c>
      <c r="J571" s="4">
        <v>219.23</v>
      </c>
      <c r="K571" s="4">
        <v>155.63999999999999</v>
      </c>
      <c r="L571" s="4">
        <v>63.59</v>
      </c>
    </row>
    <row r="572" spans="1:12" x14ac:dyDescent="0.35">
      <c r="A572" t="s">
        <v>614</v>
      </c>
      <c r="B572" s="3">
        <v>45705</v>
      </c>
      <c r="C572" t="s">
        <v>25</v>
      </c>
      <c r="D572" t="s">
        <v>46</v>
      </c>
      <c r="E572" t="s">
        <v>35</v>
      </c>
      <c r="F572" t="s">
        <v>23</v>
      </c>
      <c r="G572">
        <v>2</v>
      </c>
      <c r="H572" s="4">
        <v>197.53</v>
      </c>
      <c r="I572" s="5">
        <v>0.05</v>
      </c>
      <c r="J572" s="4">
        <v>375.31</v>
      </c>
      <c r="K572" s="4">
        <v>241.67</v>
      </c>
      <c r="L572" s="4">
        <v>133.63999999999999</v>
      </c>
    </row>
    <row r="573" spans="1:12" x14ac:dyDescent="0.35">
      <c r="A573" t="s">
        <v>615</v>
      </c>
      <c r="B573" s="3">
        <v>45990</v>
      </c>
      <c r="C573" t="s">
        <v>18</v>
      </c>
      <c r="D573" t="s">
        <v>19</v>
      </c>
      <c r="E573" t="s">
        <v>3</v>
      </c>
      <c r="F573" t="s">
        <v>4</v>
      </c>
      <c r="G573">
        <v>7</v>
      </c>
      <c r="H573" s="4">
        <v>895.39</v>
      </c>
      <c r="I573" s="5">
        <v>0.2</v>
      </c>
      <c r="J573" s="4">
        <v>5014.18</v>
      </c>
      <c r="K573" s="4">
        <v>3523.7</v>
      </c>
      <c r="L573" s="4">
        <v>1490.48</v>
      </c>
    </row>
    <row r="574" spans="1:12" x14ac:dyDescent="0.35">
      <c r="A574" t="s">
        <v>616</v>
      </c>
      <c r="B574" s="3">
        <v>46016</v>
      </c>
      <c r="C574" t="s">
        <v>18</v>
      </c>
      <c r="D574" t="s">
        <v>34</v>
      </c>
      <c r="E574" t="s">
        <v>29</v>
      </c>
      <c r="F574" t="s">
        <v>23</v>
      </c>
      <c r="G574">
        <v>2</v>
      </c>
      <c r="H574" s="4">
        <v>130.22</v>
      </c>
      <c r="I574" s="5">
        <v>0.2</v>
      </c>
      <c r="J574" s="4">
        <v>208.35</v>
      </c>
      <c r="K574" s="4">
        <v>164.02</v>
      </c>
      <c r="L574" s="4">
        <v>44.33</v>
      </c>
    </row>
    <row r="575" spans="1:12" x14ac:dyDescent="0.35">
      <c r="A575" t="s">
        <v>617</v>
      </c>
      <c r="B575" s="3">
        <v>45658</v>
      </c>
      <c r="C575" t="s">
        <v>18</v>
      </c>
      <c r="D575" t="s">
        <v>40</v>
      </c>
      <c r="E575" t="s">
        <v>38</v>
      </c>
      <c r="F575" t="s">
        <v>12</v>
      </c>
      <c r="G575">
        <v>2</v>
      </c>
      <c r="H575" s="4">
        <v>174.28</v>
      </c>
      <c r="I575" s="5">
        <v>0.02</v>
      </c>
      <c r="J575" s="4">
        <v>341.59</v>
      </c>
      <c r="K575" s="4">
        <v>248.6</v>
      </c>
      <c r="L575" s="4">
        <v>92.99</v>
      </c>
    </row>
    <row r="576" spans="1:12" x14ac:dyDescent="0.35">
      <c r="A576" t="s">
        <v>618</v>
      </c>
      <c r="B576" s="3">
        <v>45773</v>
      </c>
      <c r="C576" t="s">
        <v>14</v>
      </c>
      <c r="D576" t="s">
        <v>15</v>
      </c>
      <c r="E576" t="s">
        <v>3</v>
      </c>
      <c r="F576" t="s">
        <v>4</v>
      </c>
      <c r="G576">
        <v>1</v>
      </c>
      <c r="H576" s="4">
        <v>939.4</v>
      </c>
      <c r="I576" s="5">
        <v>0.2</v>
      </c>
      <c r="J576" s="4">
        <v>751.52</v>
      </c>
      <c r="K576" s="4">
        <v>589.32000000000005</v>
      </c>
      <c r="L576" s="4">
        <v>162.19999999999999</v>
      </c>
    </row>
    <row r="577" spans="1:12" x14ac:dyDescent="0.35">
      <c r="A577" t="s">
        <v>619</v>
      </c>
      <c r="B577" s="3">
        <v>45719</v>
      </c>
      <c r="C577" t="s">
        <v>14</v>
      </c>
      <c r="D577" t="s">
        <v>55</v>
      </c>
      <c r="E577" t="s">
        <v>20</v>
      </c>
      <c r="F577" t="s">
        <v>8</v>
      </c>
      <c r="G577">
        <v>3</v>
      </c>
      <c r="H577" s="4">
        <v>37.19</v>
      </c>
      <c r="I577" s="5">
        <v>0.1</v>
      </c>
      <c r="J577" s="4">
        <v>100.41</v>
      </c>
      <c r="K577" s="4">
        <v>77.92</v>
      </c>
      <c r="L577" s="4">
        <v>22.49</v>
      </c>
    </row>
    <row r="578" spans="1:12" x14ac:dyDescent="0.35">
      <c r="A578" t="s">
        <v>620</v>
      </c>
      <c r="B578" s="3">
        <v>45775</v>
      </c>
      <c r="C578" t="s">
        <v>14</v>
      </c>
      <c r="D578" t="s">
        <v>15</v>
      </c>
      <c r="E578" t="s">
        <v>52</v>
      </c>
      <c r="F578" t="s">
        <v>4</v>
      </c>
      <c r="G578">
        <v>2</v>
      </c>
      <c r="H578" s="4">
        <v>582.58000000000004</v>
      </c>
      <c r="I578" s="5">
        <v>0</v>
      </c>
      <c r="J578" s="4">
        <v>1165.1600000000001</v>
      </c>
      <c r="K578" s="4">
        <v>854.81</v>
      </c>
      <c r="L578" s="4">
        <v>310.35000000000002</v>
      </c>
    </row>
    <row r="579" spans="1:12" x14ac:dyDescent="0.35">
      <c r="A579" t="s">
        <v>621</v>
      </c>
      <c r="B579" s="3">
        <v>45846</v>
      </c>
      <c r="C579" t="s">
        <v>25</v>
      </c>
      <c r="D579" t="s">
        <v>46</v>
      </c>
      <c r="E579" t="s">
        <v>61</v>
      </c>
      <c r="F579" t="s">
        <v>4</v>
      </c>
      <c r="G579">
        <v>7</v>
      </c>
      <c r="H579" s="4">
        <v>82.85</v>
      </c>
      <c r="I579" s="5">
        <v>0.02</v>
      </c>
      <c r="J579" s="4">
        <v>568.35</v>
      </c>
      <c r="K579" s="4">
        <v>428.1</v>
      </c>
      <c r="L579" s="4">
        <v>140.25</v>
      </c>
    </row>
    <row r="580" spans="1:12" x14ac:dyDescent="0.35">
      <c r="A580" t="s">
        <v>622</v>
      </c>
      <c r="B580" s="3">
        <v>46004</v>
      </c>
      <c r="C580" t="s">
        <v>18</v>
      </c>
      <c r="D580" t="s">
        <v>34</v>
      </c>
      <c r="E580" t="s">
        <v>52</v>
      </c>
      <c r="F580" t="s">
        <v>4</v>
      </c>
      <c r="G580">
        <v>9</v>
      </c>
      <c r="H580" s="4">
        <v>493.67</v>
      </c>
      <c r="I580" s="5">
        <v>0.15</v>
      </c>
      <c r="J580" s="4">
        <v>3776.58</v>
      </c>
      <c r="K580" s="4">
        <v>2975.32</v>
      </c>
      <c r="L580" s="4">
        <v>801.26</v>
      </c>
    </row>
    <row r="581" spans="1:12" x14ac:dyDescent="0.35">
      <c r="A581" t="s">
        <v>623</v>
      </c>
      <c r="B581" s="3">
        <v>45970</v>
      </c>
      <c r="C581" t="s">
        <v>18</v>
      </c>
      <c r="D581" t="s">
        <v>34</v>
      </c>
      <c r="E581" t="s">
        <v>38</v>
      </c>
      <c r="F581" t="s">
        <v>12</v>
      </c>
      <c r="G581">
        <v>6</v>
      </c>
      <c r="H581" s="4">
        <v>177.85</v>
      </c>
      <c r="I581" s="5">
        <v>0.2</v>
      </c>
      <c r="J581" s="4">
        <v>853.68</v>
      </c>
      <c r="K581" s="4">
        <v>476.27</v>
      </c>
      <c r="L581" s="4">
        <v>377.41</v>
      </c>
    </row>
    <row r="582" spans="1:12" x14ac:dyDescent="0.35">
      <c r="A582" t="s">
        <v>624</v>
      </c>
      <c r="B582" s="3">
        <v>45979</v>
      </c>
      <c r="C582" t="s">
        <v>18</v>
      </c>
      <c r="D582" t="s">
        <v>19</v>
      </c>
      <c r="E582" t="s">
        <v>29</v>
      </c>
      <c r="F582" t="s">
        <v>23</v>
      </c>
      <c r="G582">
        <v>10</v>
      </c>
      <c r="H582" s="4">
        <v>153.68</v>
      </c>
      <c r="I582" s="5">
        <v>0.2</v>
      </c>
      <c r="J582" s="4">
        <v>1229.44</v>
      </c>
      <c r="K582" s="4">
        <v>718.97</v>
      </c>
      <c r="L582" s="4">
        <v>510.47</v>
      </c>
    </row>
    <row r="583" spans="1:12" x14ac:dyDescent="0.35">
      <c r="A583" t="s">
        <v>625</v>
      </c>
      <c r="B583" s="3">
        <v>45769</v>
      </c>
      <c r="C583" t="s">
        <v>1</v>
      </c>
      <c r="D583" t="s">
        <v>6</v>
      </c>
      <c r="E583" t="s">
        <v>52</v>
      </c>
      <c r="F583" t="s">
        <v>4</v>
      </c>
      <c r="G583">
        <v>3</v>
      </c>
      <c r="H583" s="4">
        <v>522.79</v>
      </c>
      <c r="I583" s="5">
        <v>0</v>
      </c>
      <c r="J583" s="4">
        <v>1568.37</v>
      </c>
      <c r="K583" s="4">
        <v>1177.45</v>
      </c>
      <c r="L583" s="4">
        <v>390.92</v>
      </c>
    </row>
    <row r="584" spans="1:12" x14ac:dyDescent="0.35">
      <c r="A584" t="s">
        <v>626</v>
      </c>
      <c r="B584" s="3">
        <v>45854</v>
      </c>
      <c r="C584" t="s">
        <v>25</v>
      </c>
      <c r="D584" t="s">
        <v>31</v>
      </c>
      <c r="E584" t="s">
        <v>29</v>
      </c>
      <c r="F584" t="s">
        <v>23</v>
      </c>
      <c r="G584">
        <v>6</v>
      </c>
      <c r="H584" s="4">
        <v>125.75</v>
      </c>
      <c r="I584" s="5">
        <v>0.02</v>
      </c>
      <c r="J584" s="4">
        <v>739.41</v>
      </c>
      <c r="K584" s="4">
        <v>569.98</v>
      </c>
      <c r="L584" s="4">
        <v>169.43</v>
      </c>
    </row>
    <row r="585" spans="1:12" x14ac:dyDescent="0.35">
      <c r="A585" t="s">
        <v>627</v>
      </c>
      <c r="B585" s="3">
        <v>45799</v>
      </c>
      <c r="C585" t="s">
        <v>1</v>
      </c>
      <c r="D585" t="s">
        <v>6</v>
      </c>
      <c r="E585" t="s">
        <v>16</v>
      </c>
      <c r="F585" t="s">
        <v>4</v>
      </c>
      <c r="G585">
        <v>9</v>
      </c>
      <c r="H585" s="4">
        <v>241.92</v>
      </c>
      <c r="I585" s="5">
        <v>0.15</v>
      </c>
      <c r="J585" s="4">
        <v>1850.69</v>
      </c>
      <c r="K585" s="4">
        <v>1271.45</v>
      </c>
      <c r="L585" s="4">
        <v>579.24</v>
      </c>
    </row>
    <row r="586" spans="1:12" x14ac:dyDescent="0.35">
      <c r="A586" t="s">
        <v>628</v>
      </c>
      <c r="B586" s="3">
        <v>45969</v>
      </c>
      <c r="C586" t="s">
        <v>25</v>
      </c>
      <c r="D586" t="s">
        <v>37</v>
      </c>
      <c r="E586" t="s">
        <v>20</v>
      </c>
      <c r="F586" t="s">
        <v>8</v>
      </c>
      <c r="G586">
        <v>1</v>
      </c>
      <c r="H586" s="4">
        <v>29.82</v>
      </c>
      <c r="I586" s="5">
        <v>0.2</v>
      </c>
      <c r="J586" s="4">
        <v>23.86</v>
      </c>
      <c r="K586" s="4">
        <v>14.97</v>
      </c>
      <c r="L586" s="4">
        <v>8.89</v>
      </c>
    </row>
    <row r="587" spans="1:12" x14ac:dyDescent="0.35">
      <c r="A587" t="s">
        <v>629</v>
      </c>
      <c r="B587" s="3">
        <v>45763</v>
      </c>
      <c r="C587" t="s">
        <v>18</v>
      </c>
      <c r="D587" t="s">
        <v>40</v>
      </c>
      <c r="E587" t="s">
        <v>20</v>
      </c>
      <c r="F587" t="s">
        <v>8</v>
      </c>
      <c r="G587">
        <v>7</v>
      </c>
      <c r="H587" s="4">
        <v>36.229999999999997</v>
      </c>
      <c r="I587" s="5">
        <v>0.05</v>
      </c>
      <c r="J587" s="4">
        <v>240.93</v>
      </c>
      <c r="K587" s="4">
        <v>196.34</v>
      </c>
      <c r="L587" s="4">
        <v>44.59</v>
      </c>
    </row>
    <row r="588" spans="1:12" x14ac:dyDescent="0.35">
      <c r="A588" t="s">
        <v>630</v>
      </c>
      <c r="B588" s="3">
        <v>45685</v>
      </c>
      <c r="C588" t="s">
        <v>18</v>
      </c>
      <c r="D588" t="s">
        <v>34</v>
      </c>
      <c r="E588" t="s">
        <v>38</v>
      </c>
      <c r="F588" t="s">
        <v>12</v>
      </c>
      <c r="G588">
        <v>7</v>
      </c>
      <c r="H588" s="4">
        <v>166.33</v>
      </c>
      <c r="I588" s="5">
        <v>0</v>
      </c>
      <c r="J588" s="4">
        <v>1164.31</v>
      </c>
      <c r="K588" s="4">
        <v>722.04</v>
      </c>
      <c r="L588" s="4">
        <v>442.27</v>
      </c>
    </row>
    <row r="589" spans="1:12" x14ac:dyDescent="0.35">
      <c r="A589" t="s">
        <v>631</v>
      </c>
      <c r="B589" s="3">
        <v>45913</v>
      </c>
      <c r="C589" t="s">
        <v>1</v>
      </c>
      <c r="D589" t="s">
        <v>28</v>
      </c>
      <c r="E589" t="s">
        <v>11</v>
      </c>
      <c r="F589" t="s">
        <v>12</v>
      </c>
      <c r="G589">
        <v>1</v>
      </c>
      <c r="H589" s="4">
        <v>8.32</v>
      </c>
      <c r="I589" s="5">
        <v>0.05</v>
      </c>
      <c r="J589" s="4">
        <v>7.9</v>
      </c>
      <c r="K589" s="4">
        <v>5.5</v>
      </c>
      <c r="L589" s="4">
        <v>2.4</v>
      </c>
    </row>
    <row r="590" spans="1:12" x14ac:dyDescent="0.35">
      <c r="A590" t="s">
        <v>632</v>
      </c>
      <c r="B590" s="3">
        <v>45725</v>
      </c>
      <c r="C590" t="s">
        <v>14</v>
      </c>
      <c r="D590" t="s">
        <v>66</v>
      </c>
      <c r="E590" t="s">
        <v>32</v>
      </c>
      <c r="F590" t="s">
        <v>12</v>
      </c>
      <c r="G590">
        <v>7</v>
      </c>
      <c r="H590" s="4">
        <v>13.01</v>
      </c>
      <c r="I590" s="5">
        <v>0.05</v>
      </c>
      <c r="J590" s="4">
        <v>86.52</v>
      </c>
      <c r="K590" s="4">
        <v>50.09</v>
      </c>
      <c r="L590" s="4">
        <v>36.43</v>
      </c>
    </row>
    <row r="591" spans="1:12" x14ac:dyDescent="0.35">
      <c r="A591" t="s">
        <v>633</v>
      </c>
      <c r="B591" s="3">
        <v>46007</v>
      </c>
      <c r="C591" t="s">
        <v>18</v>
      </c>
      <c r="D591" t="s">
        <v>40</v>
      </c>
      <c r="E591" t="s">
        <v>38</v>
      </c>
      <c r="F591" t="s">
        <v>12</v>
      </c>
      <c r="G591">
        <v>2</v>
      </c>
      <c r="H591" s="4">
        <v>172.53</v>
      </c>
      <c r="I591" s="5">
        <v>0</v>
      </c>
      <c r="J591" s="4">
        <v>345.06</v>
      </c>
      <c r="K591" s="4">
        <v>240.21</v>
      </c>
      <c r="L591" s="4">
        <v>104.85</v>
      </c>
    </row>
    <row r="592" spans="1:12" x14ac:dyDescent="0.35">
      <c r="A592" t="s">
        <v>634</v>
      </c>
      <c r="B592" s="3">
        <v>45692</v>
      </c>
      <c r="C592" t="s">
        <v>1</v>
      </c>
      <c r="D592" t="s">
        <v>2</v>
      </c>
      <c r="E592" t="s">
        <v>35</v>
      </c>
      <c r="F592" t="s">
        <v>23</v>
      </c>
      <c r="G592">
        <v>4</v>
      </c>
      <c r="H592" s="4">
        <v>205</v>
      </c>
      <c r="I592" s="5">
        <v>0</v>
      </c>
      <c r="J592" s="4">
        <v>820</v>
      </c>
      <c r="K592" s="4">
        <v>526.69000000000005</v>
      </c>
      <c r="L592" s="4">
        <v>293.31</v>
      </c>
    </row>
    <row r="593" spans="1:12" x14ac:dyDescent="0.35">
      <c r="A593" t="s">
        <v>635</v>
      </c>
      <c r="B593" s="3">
        <v>45861</v>
      </c>
      <c r="C593" t="s">
        <v>25</v>
      </c>
      <c r="D593" t="s">
        <v>37</v>
      </c>
      <c r="E593" t="s">
        <v>7</v>
      </c>
      <c r="F593" t="s">
        <v>8</v>
      </c>
      <c r="G593">
        <v>9</v>
      </c>
      <c r="H593" s="4">
        <v>46.79</v>
      </c>
      <c r="I593" s="5">
        <v>0.1</v>
      </c>
      <c r="J593" s="4">
        <v>379</v>
      </c>
      <c r="K593" s="4">
        <v>303.82</v>
      </c>
      <c r="L593" s="4">
        <v>75.180000000000007</v>
      </c>
    </row>
    <row r="594" spans="1:12" x14ac:dyDescent="0.35">
      <c r="A594" t="s">
        <v>636</v>
      </c>
      <c r="B594" s="3">
        <v>46017</v>
      </c>
      <c r="C594" t="s">
        <v>14</v>
      </c>
      <c r="D594" t="s">
        <v>66</v>
      </c>
      <c r="E594" t="s">
        <v>52</v>
      </c>
      <c r="F594" t="s">
        <v>4</v>
      </c>
      <c r="G594">
        <v>9</v>
      </c>
      <c r="H594" s="4">
        <v>484.41</v>
      </c>
      <c r="I594" s="5">
        <v>0.15</v>
      </c>
      <c r="J594" s="4">
        <v>3705.74</v>
      </c>
      <c r="K594" s="4">
        <v>2975.9</v>
      </c>
      <c r="L594" s="4">
        <v>729.84</v>
      </c>
    </row>
    <row r="595" spans="1:12" x14ac:dyDescent="0.35">
      <c r="A595" t="s">
        <v>637</v>
      </c>
      <c r="B595" s="3">
        <v>45736</v>
      </c>
      <c r="C595" t="s">
        <v>25</v>
      </c>
      <c r="D595" t="s">
        <v>46</v>
      </c>
      <c r="E595" t="s">
        <v>52</v>
      </c>
      <c r="F595" t="s">
        <v>4</v>
      </c>
      <c r="G595">
        <v>5</v>
      </c>
      <c r="H595" s="4">
        <v>581</v>
      </c>
      <c r="I595" s="5">
        <v>0</v>
      </c>
      <c r="J595" s="4">
        <v>2905</v>
      </c>
      <c r="K595" s="4">
        <v>1650.96</v>
      </c>
      <c r="L595" s="4">
        <v>1254.04</v>
      </c>
    </row>
    <row r="596" spans="1:12" x14ac:dyDescent="0.35">
      <c r="A596" t="s">
        <v>638</v>
      </c>
      <c r="B596" s="3">
        <v>45762</v>
      </c>
      <c r="C596" t="s">
        <v>18</v>
      </c>
      <c r="D596" t="s">
        <v>40</v>
      </c>
      <c r="E596" t="s">
        <v>11</v>
      </c>
      <c r="F596" t="s">
        <v>12</v>
      </c>
      <c r="G596">
        <v>6</v>
      </c>
      <c r="H596" s="4">
        <v>7.52</v>
      </c>
      <c r="I596" s="5">
        <v>0.1</v>
      </c>
      <c r="J596" s="4">
        <v>40.61</v>
      </c>
      <c r="K596" s="4">
        <v>30.1</v>
      </c>
      <c r="L596" s="4">
        <v>10.51</v>
      </c>
    </row>
    <row r="597" spans="1:12" x14ac:dyDescent="0.35">
      <c r="A597" t="s">
        <v>639</v>
      </c>
      <c r="B597" s="3">
        <v>45982</v>
      </c>
      <c r="C597" t="s">
        <v>1</v>
      </c>
      <c r="D597" t="s">
        <v>2</v>
      </c>
      <c r="E597" t="s">
        <v>35</v>
      </c>
      <c r="F597" t="s">
        <v>23</v>
      </c>
      <c r="G597">
        <v>7</v>
      </c>
      <c r="H597" s="4">
        <v>156.63999999999999</v>
      </c>
      <c r="I597" s="5">
        <v>0.2</v>
      </c>
      <c r="J597" s="4">
        <v>877.18</v>
      </c>
      <c r="K597" s="4">
        <v>620.33000000000004</v>
      </c>
      <c r="L597" s="4">
        <v>256.85000000000002</v>
      </c>
    </row>
    <row r="598" spans="1:12" x14ac:dyDescent="0.35">
      <c r="A598" t="s">
        <v>640</v>
      </c>
      <c r="B598" s="3">
        <v>45687</v>
      </c>
      <c r="C598" t="s">
        <v>18</v>
      </c>
      <c r="D598" t="s">
        <v>19</v>
      </c>
      <c r="E598" t="s">
        <v>52</v>
      </c>
      <c r="F598" t="s">
        <v>4</v>
      </c>
      <c r="G598">
        <v>7</v>
      </c>
      <c r="H598" s="4">
        <v>524.57000000000005</v>
      </c>
      <c r="I598" s="5">
        <v>0</v>
      </c>
      <c r="J598" s="4">
        <v>3671.99</v>
      </c>
      <c r="K598" s="4">
        <v>2635.19</v>
      </c>
      <c r="L598" s="4">
        <v>1036.8</v>
      </c>
    </row>
    <row r="599" spans="1:12" x14ac:dyDescent="0.35">
      <c r="A599" t="s">
        <v>641</v>
      </c>
      <c r="B599" s="3">
        <v>45971</v>
      </c>
      <c r="C599" t="s">
        <v>1</v>
      </c>
      <c r="D599" t="s">
        <v>2</v>
      </c>
      <c r="E599" t="s">
        <v>35</v>
      </c>
      <c r="F599" t="s">
        <v>23</v>
      </c>
      <c r="G599">
        <v>3</v>
      </c>
      <c r="H599" s="4">
        <v>155.47</v>
      </c>
      <c r="I599" s="5">
        <v>0</v>
      </c>
      <c r="J599" s="4">
        <v>466.41</v>
      </c>
      <c r="K599" s="4">
        <v>366.28</v>
      </c>
      <c r="L599" s="4">
        <v>100.13</v>
      </c>
    </row>
    <row r="600" spans="1:12" x14ac:dyDescent="0.35">
      <c r="A600" t="s">
        <v>642</v>
      </c>
      <c r="B600" s="3">
        <v>46020</v>
      </c>
      <c r="C600" t="s">
        <v>18</v>
      </c>
      <c r="D600" t="s">
        <v>19</v>
      </c>
      <c r="E600" t="s">
        <v>20</v>
      </c>
      <c r="F600" t="s">
        <v>8</v>
      </c>
      <c r="G600">
        <v>1</v>
      </c>
      <c r="H600" s="4">
        <v>39.97</v>
      </c>
      <c r="I600" s="5">
        <v>0.02</v>
      </c>
      <c r="J600" s="4">
        <v>39.17</v>
      </c>
      <c r="K600" s="4">
        <v>31.79</v>
      </c>
      <c r="L600" s="4">
        <v>7.38</v>
      </c>
    </row>
    <row r="601" spans="1:12" x14ac:dyDescent="0.35">
      <c r="A601" t="s">
        <v>643</v>
      </c>
      <c r="B601" s="3">
        <v>45835</v>
      </c>
      <c r="C601" t="s">
        <v>25</v>
      </c>
      <c r="D601" t="s">
        <v>46</v>
      </c>
      <c r="E601" t="s">
        <v>61</v>
      </c>
      <c r="F601" t="s">
        <v>4</v>
      </c>
      <c r="G601">
        <v>6</v>
      </c>
      <c r="H601" s="4">
        <v>85.99</v>
      </c>
      <c r="I601" s="5">
        <v>0.02</v>
      </c>
      <c r="J601" s="4">
        <v>505.62</v>
      </c>
      <c r="K601" s="4">
        <v>295.85000000000002</v>
      </c>
      <c r="L601" s="4">
        <v>209.77</v>
      </c>
    </row>
    <row r="602" spans="1:12" x14ac:dyDescent="0.35">
      <c r="A602" t="s">
        <v>33</v>
      </c>
      <c r="B602" s="3">
        <v>45681</v>
      </c>
      <c r="C602" t="s">
        <v>18</v>
      </c>
      <c r="D602" t="s">
        <v>34</v>
      </c>
      <c r="E602" t="s">
        <v>35</v>
      </c>
      <c r="F602" t="s">
        <v>23</v>
      </c>
      <c r="G602">
        <v>2</v>
      </c>
      <c r="H602" s="4">
        <v>186.04</v>
      </c>
      <c r="I602" s="5">
        <v>0.02</v>
      </c>
      <c r="J602" s="4">
        <v>364.64</v>
      </c>
      <c r="K602" s="4">
        <v>214.29</v>
      </c>
      <c r="L602" s="4">
        <v>150.35</v>
      </c>
    </row>
    <row r="603" spans="1:12" x14ac:dyDescent="0.35">
      <c r="A603" t="s">
        <v>135</v>
      </c>
      <c r="B603" s="3">
        <v>45784</v>
      </c>
      <c r="C603" t="s">
        <v>25</v>
      </c>
      <c r="D603" t="s">
        <v>31</v>
      </c>
      <c r="E603" t="s">
        <v>11</v>
      </c>
      <c r="F603" t="s">
        <v>12</v>
      </c>
      <c r="G603">
        <v>8</v>
      </c>
      <c r="H603" s="4">
        <v>8.34</v>
      </c>
      <c r="I603" s="5">
        <v>0.2</v>
      </c>
      <c r="J603" s="4">
        <v>53.38</v>
      </c>
      <c r="K603" s="4">
        <v>30.57</v>
      </c>
      <c r="L603" s="4">
        <v>22.81</v>
      </c>
    </row>
    <row r="604" spans="1:12" x14ac:dyDescent="0.35">
      <c r="A604" t="s">
        <v>288</v>
      </c>
      <c r="B604" s="3">
        <v>45945</v>
      </c>
      <c r="C604" t="s">
        <v>1</v>
      </c>
      <c r="D604" t="s">
        <v>2</v>
      </c>
      <c r="E604" t="s">
        <v>32</v>
      </c>
      <c r="F604" t="s">
        <v>12</v>
      </c>
      <c r="G604">
        <v>5</v>
      </c>
      <c r="H604" s="4">
        <v>12.71</v>
      </c>
      <c r="I604" s="5">
        <v>0</v>
      </c>
      <c r="J604" s="4">
        <v>63.55</v>
      </c>
      <c r="K604" s="4">
        <v>44.15</v>
      </c>
      <c r="L604" s="4">
        <v>19.399999999999999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15FC5-E148-4F84-BC74-B9340334EEEE}">
  <dimension ref="A1:N601"/>
  <sheetViews>
    <sheetView topLeftCell="A581" workbookViewId="0">
      <selection activeCell="L589" sqref="L589"/>
    </sheetView>
  </sheetViews>
  <sheetFormatPr defaultRowHeight="14.5" x14ac:dyDescent="0.35"/>
  <cols>
    <col min="1" max="1" width="10" customWidth="1"/>
    <col min="2" max="2" width="21" style="7" customWidth="1"/>
    <col min="3" max="3" width="10" customWidth="1"/>
    <col min="4" max="4" width="13" customWidth="1"/>
    <col min="5" max="5" width="14" customWidth="1"/>
    <col min="6" max="6" width="17" customWidth="1"/>
    <col min="7" max="7" width="10" customWidth="1"/>
    <col min="8" max="8" width="12" customWidth="1"/>
    <col min="9" max="12" width="10" customWidth="1"/>
  </cols>
  <sheetData>
    <row r="1" spans="1:12" x14ac:dyDescent="0.35">
      <c r="A1" s="1" t="s">
        <v>644</v>
      </c>
      <c r="B1" s="6" t="s">
        <v>645</v>
      </c>
      <c r="C1" s="1" t="s">
        <v>646</v>
      </c>
      <c r="D1" s="2" t="s">
        <v>647</v>
      </c>
      <c r="E1" s="2" t="s">
        <v>648</v>
      </c>
      <c r="F1" s="2" t="s">
        <v>649</v>
      </c>
      <c r="G1" s="2" t="s">
        <v>650</v>
      </c>
      <c r="H1" s="2" t="s">
        <v>651</v>
      </c>
      <c r="I1" s="2" t="s">
        <v>652</v>
      </c>
      <c r="J1" s="2" t="s">
        <v>653</v>
      </c>
      <c r="K1" s="2" t="s">
        <v>654</v>
      </c>
      <c r="L1" s="2" t="s">
        <v>655</v>
      </c>
    </row>
    <row r="2" spans="1:12" x14ac:dyDescent="0.35">
      <c r="A2" t="s">
        <v>0</v>
      </c>
      <c r="B2" s="7">
        <v>45985</v>
      </c>
      <c r="C2" t="str">
        <f>IF(RawData!C2="","Unknown",PROPER(TRIM(CLEAN(SUBSTITUTE(RawData!C2,CHAR(160)," ")))))</f>
        <v>North</v>
      </c>
      <c r="D2" t="str">
        <f>IF(RawData!D2="","Unknown",PROPER(TRIM(CLEAN(SUBSTITUTE(RawData!D2,CHAR(160)," ")))))</f>
        <v>Delhi</v>
      </c>
      <c r="E2" t="str">
        <f>IF(RawData!E2="","Unknown",PROPER(TRIM(CLEAN(SUBSTITUTE(RawData!E2,CHAR(160)," ")))))</f>
        <v>Laptop</v>
      </c>
      <c r="F2" t="str">
        <f>IF(RawData!F2="","Unknown",PROPER(TRIM(CLEAN(SUBSTITUTE(RawData!F2,CHAR(160)," ")))))</f>
        <v>Electronics</v>
      </c>
      <c r="G2">
        <f>_xlfn.LET(
_xlpm.q,RawData!G2,
_xlpm.u,RawData!H2,
_xlpm.d,RawData!I2,
_xlpm.r,RawData!J2,
IF(AND(ISNUMBER(_xlpm.q),_xlpm.q&gt;0),_xlpm.q,
   IF(AND(ISNUMBER(_xlpm.r),ISNUMBER(_xlpm.u),_xlpm.u&gt;0,ISNUMBER(_xlpm.d),_xlpm.d&gt;=0,_xlpm.d&lt;1),
      ROUND(_xlpm.r/(_xlpm.u*(1-_xlpm.d)),0),
      ""
   )
)
)</f>
        <v>5</v>
      </c>
      <c r="H2" s="4">
        <f>_xlfn.LET(
_xlpm.q,RawData!G2,
_xlpm.u,RawData!H2,
_xlpm.d,RawData!I2,
_xlpm.r,RawData!J2,
IF(AND(ISNUMBER(_xlpm.u),_xlpm.u&gt;0),_xlpm.u,
   IF(AND(ISNUMBER(_xlpm.q),_xlpm.q&gt;0,ISNUMBER(_xlpm.r),ISNUMBER(_xlpm.d),_xlpm.d&gt;=0,_xlpm.d&lt;1),
      _xlpm.r/(_xlpm.q*(1-_xlpm.d)),
      ""
   )
)
)</f>
        <v>818.01</v>
      </c>
      <c r="I2" s="5">
        <f>_xlfn.LET(
_xlpm.q,RawData!G2,
_xlpm.u,RawData!H2,
_xlpm.d,RawData!I2,
_xlpm.r,RawData!J2,
IF(AND(ISNUMBER(_xlpm.d),_xlpm.d&gt;=0,_xlpm.d&lt;1),_xlpm.d,
   IF(AND(ISNUMBER(_xlpm.q),_xlpm.q&gt;0,ISNUMBER(_xlpm.u),_xlpm.u&gt;0,ISNUMBER(_xlpm.r),_xlpm.r&gt;=0),
      1-(_xlpm.r/(_xlpm.q*_xlpm.u)),
      ""
   )
)
)</f>
        <v>0.02</v>
      </c>
      <c r="J2" s="4">
        <f>_xlfn.LET(
_xlpm.q,RawData!G2,
_xlpm.u,RawData!H2,
_xlpm.d,RawData!I2,
_xlpm.r,RawData!J2,
IF(AND(ISNUMBER(_xlpm.r),_xlpm.r&gt;=0),_xlpm.r,
   IF(AND(ISNUMBER(_xlpm.q),_xlpm.q&gt;0,ISNUMBER(_xlpm.u),_xlpm.u&gt;0,ISNUMBER(_xlpm.d),_xlpm.d&gt;=0,_xlpm.d&lt;1),
      _xlpm.q*_xlpm.u*(1-_xlpm.d),
      ""
   )
)
)</f>
        <v>4008.25</v>
      </c>
      <c r="K2" s="4">
        <f>_xlfn.LET(
_xlpm.c,RawData!K2,
_xlpm.r,RawData!J2,
_xlpm.p,RawData!L2,
IF(AND(ISNUMBER(_xlpm.c),_xlpm.c&gt;=0),_xlpm.c,
   IF(AND(ISNUMBER(_xlpm.r),ISNUMBER(_xlpm.p)),
      _xlpm.r-_xlpm.p,
      ""
   )
)
)</f>
        <v>3233.43</v>
      </c>
      <c r="L2" s="4">
        <f>_xlfn.LET(
_xlpm.p,RawData!L2,
_xlpm.r,RawData!J2,
_xlpm.c,RawData!K2,
IF(ISNUMBER(_xlpm.p),_xlpm.p,
IF(AND(ISNUMBER(_xlpm.r),ISNUMBER(_xlpm.c)),
_xlpm.r-_xlpm.c,
""
)
))</f>
        <v>774.82</v>
      </c>
    </row>
    <row r="3" spans="1:12" x14ac:dyDescent="0.35">
      <c r="A3" t="s">
        <v>5</v>
      </c>
      <c r="B3" s="7">
        <v>45729</v>
      </c>
      <c r="C3" t="str">
        <f>IF(RawData!C3="","Unknown",PROPER(TRIM(CLEAN(SUBSTITUTE(RawData!C3,CHAR(160)," ")))))</f>
        <v>North</v>
      </c>
      <c r="D3" t="str">
        <f>IF(RawData!D3="","Unknown",PROPER(TRIM(CLEAN(SUBSTITUTE(RawData!D3,CHAR(160)," ")))))</f>
        <v>Lucknow</v>
      </c>
      <c r="E3" t="str">
        <f>IF(RawData!E3="","Unknown",PROPER(TRIM(CLEAN(SUBSTITUTE(RawData!E3,CHAR(160)," ")))))</f>
        <v>Backpack</v>
      </c>
      <c r="F3" t="str">
        <f>IF(RawData!F3="","Unknown",PROPER(TRIM(CLEAN(SUBSTITUTE(RawData!F3,CHAR(160)," ")))))</f>
        <v>Accessories</v>
      </c>
      <c r="G3">
        <f>_xlfn.LET(
_xlpm.q,RawData!G3,
_xlpm.u,RawData!H3,
_xlpm.d,RawData!I3,
_xlpm.r,RawData!J3,
IF(AND(ISNUMBER(_xlpm.q),_xlpm.q&gt;0),_xlpm.q,
   IF(AND(ISNUMBER(_xlpm.r),ISNUMBER(_xlpm.u),_xlpm.u&gt;0,ISNUMBER(_xlpm.d),_xlpm.d&gt;=0,_xlpm.d&lt;1),
      ROUND(_xlpm.r/(_xlpm.u*(1-_xlpm.d)),0),
      ""
   )
)
)</f>
        <v>9</v>
      </c>
      <c r="H3" s="4">
        <f>_xlfn.LET(
_xlpm.q,RawData!G3,
_xlpm.u,RawData!H3,
_xlpm.d,RawData!I3,
_xlpm.r,RawData!J3,
IF(AND(ISNUMBER(_xlpm.u),_xlpm.u&gt;0),_xlpm.u,
   IF(AND(ISNUMBER(_xlpm.q),_xlpm.q&gt;0,ISNUMBER(_xlpm.r),ISNUMBER(_xlpm.d),_xlpm.d&gt;=0,_xlpm.d&lt;1),
      _xlpm.r/(_xlpm.q*(1-_xlpm.d)),
      ""
   )
)
)</f>
        <v>48.13</v>
      </c>
      <c r="I3" s="5">
        <f>_xlfn.LET(
_xlpm.q,RawData!G3,
_xlpm.u,RawData!H3,
_xlpm.d,RawData!I3,
_xlpm.r,RawData!J3,
IF(AND(ISNUMBER(_xlpm.d),_xlpm.d&gt;=0,_xlpm.d&lt;1),_xlpm.d,
   IF(AND(ISNUMBER(_xlpm.q),_xlpm.q&gt;0,ISNUMBER(_xlpm.u),_xlpm.u&gt;0,ISNUMBER(_xlpm.r),_xlpm.r&gt;=0),
      1-(_xlpm.r/(_xlpm.q*_xlpm.u)),
      ""
   )
)
)</f>
        <v>0</v>
      </c>
      <c r="J3" s="4">
        <f>_xlfn.LET(
_xlpm.q,RawData!G3,
_xlpm.u,RawData!H3,
_xlpm.d,RawData!I3,
_xlpm.r,RawData!J3,
IF(AND(ISNUMBER(_xlpm.r),_xlpm.r&gt;=0),_xlpm.r,
   IF(AND(ISNUMBER(_xlpm.q),_xlpm.q&gt;0,ISNUMBER(_xlpm.u),_xlpm.u&gt;0,ISNUMBER(_xlpm.d),_xlpm.d&gt;=0,_xlpm.d&lt;1),
      _xlpm.q*_xlpm.u*(1-_xlpm.d),
      ""
   )
)
)</f>
        <v>433.17</v>
      </c>
      <c r="K3" s="4">
        <f>_xlfn.LET(
_xlpm.c,RawData!K3,
_xlpm.r,RawData!J3,
_xlpm.p,RawData!L3,
IF(AND(ISNUMBER(_xlpm.c),_xlpm.c&gt;=0),_xlpm.c,
   IF(AND(ISNUMBER(_xlpm.r),ISNUMBER(_xlpm.p)),
      _xlpm.r-_xlpm.p,
      ""
   )
)
)</f>
        <v>308.26</v>
      </c>
      <c r="L3" s="4">
        <f>_xlfn.LET(
_xlpm.p,RawData!L3,
_xlpm.r,RawData!J3,
_xlpm.c,RawData!K3,
IF(ISNUMBER(_xlpm.p),_xlpm.p,
IF(AND(ISNUMBER(_xlpm.r),ISNUMBER(_xlpm.c)),
_xlpm.r-_xlpm.c,
""
)
))</f>
        <v>124.91</v>
      </c>
    </row>
    <row r="4" spans="1:12" x14ac:dyDescent="0.35">
      <c r="A4" t="s">
        <v>9</v>
      </c>
      <c r="B4" s="7">
        <v>45874</v>
      </c>
      <c r="C4" t="str">
        <f>IF(RawData!C4="","Unknown",PROPER(TRIM(CLEAN(SUBSTITUTE(RawData!C4,CHAR(160)," ")))))</f>
        <v>North</v>
      </c>
      <c r="D4" t="str">
        <f>IF(RawData!D4="","Unknown",PROPER(TRIM(CLEAN(SUBSTITUTE(RawData!D4,CHAR(160)," ")))))</f>
        <v>Delhi</v>
      </c>
      <c r="E4" t="str">
        <f>IF(RawData!E4="","Unknown",PROPER(TRIM(CLEAN(SUBSTITUTE(RawData!E4,CHAR(160)," ")))))</f>
        <v>Laptop</v>
      </c>
      <c r="F4" t="str">
        <f>IF(RawData!F4="","Unknown",PROPER(TRIM(CLEAN(SUBSTITUTE(RawData!F4,CHAR(160)," ")))))</f>
        <v>Electronics</v>
      </c>
      <c r="G4">
        <f>_xlfn.LET(
_xlpm.q,RawData!G4,
_xlpm.u,RawData!H4,
_xlpm.d,RawData!I4,
_xlpm.r,RawData!J4,
IF(AND(ISNUMBER(_xlpm.q),_xlpm.q&gt;0),_xlpm.q,
   IF(AND(ISNUMBER(_xlpm.r),ISNUMBER(_xlpm.u),_xlpm.u&gt;0,ISNUMBER(_xlpm.d),_xlpm.d&gt;=0,_xlpm.d&lt;1),
      ROUND(_xlpm.r/(_xlpm.u*(1-_xlpm.d)),0),
      ""
   )
)
)</f>
        <v>2</v>
      </c>
      <c r="H4" s="4">
        <f>_xlfn.LET(
_xlpm.q,RawData!G4,
_xlpm.u,RawData!H4,
_xlpm.d,RawData!I4,
_xlpm.r,RawData!J4,
IF(AND(ISNUMBER(_xlpm.u),_xlpm.u&gt;0),_xlpm.u,
   IF(AND(ISNUMBER(_xlpm.q),_xlpm.q&gt;0,ISNUMBER(_xlpm.r),ISNUMBER(_xlpm.d),_xlpm.d&gt;=0,_xlpm.d&lt;1),
      _xlpm.r/(_xlpm.q*(1-_xlpm.d)),
      ""
   )
)
)</f>
        <v>762.28</v>
      </c>
      <c r="I4" s="5">
        <f>_xlfn.LET(
_xlpm.q,RawData!G4,
_xlpm.u,RawData!H4,
_xlpm.d,RawData!I4,
_xlpm.r,RawData!J4,
IF(AND(ISNUMBER(_xlpm.d),_xlpm.d&gt;=0,_xlpm.d&lt;1),_xlpm.d,
   IF(AND(ISNUMBER(_xlpm.q),_xlpm.q&gt;0,ISNUMBER(_xlpm.u),_xlpm.u&gt;0,ISNUMBER(_xlpm.r),_xlpm.r&gt;=0),
      1-(_xlpm.r/(_xlpm.q*_xlpm.u)),
      ""
   )
)
)</f>
        <v>0.02</v>
      </c>
      <c r="J4" s="4">
        <f>_xlfn.LET(
_xlpm.q,RawData!G4,
_xlpm.u,RawData!H4,
_xlpm.d,RawData!I4,
_xlpm.r,RawData!J4,
IF(AND(ISNUMBER(_xlpm.r),_xlpm.r&gt;=0),_xlpm.r,
   IF(AND(ISNUMBER(_xlpm.q),_xlpm.q&gt;0,ISNUMBER(_xlpm.u),_xlpm.u&gt;0,ISNUMBER(_xlpm.d),_xlpm.d&gt;=0,_xlpm.d&lt;1),
      _xlpm.q*_xlpm.u*(1-_xlpm.d),
      ""
   )
)
)</f>
        <v>1494.07</v>
      </c>
      <c r="K4" s="4">
        <f>_xlfn.LET(
_xlpm.c,RawData!K4,
_xlpm.r,RawData!J4,
_xlpm.p,RawData!L4,
IF(AND(ISNUMBER(_xlpm.c),_xlpm.c&gt;=0),_xlpm.c,
   IF(AND(ISNUMBER(_xlpm.r),ISNUMBER(_xlpm.p)),
      _xlpm.r-_xlpm.p,
      ""
   )
)
)</f>
        <v>884.67</v>
      </c>
      <c r="L4" s="4">
        <f>_xlfn.LET(
_xlpm.p,RawData!L4,
_xlpm.r,RawData!J4,
_xlpm.c,RawData!K4,
IF(ISNUMBER(_xlpm.p),_xlpm.p,
IF(AND(ISNUMBER(_xlpm.r),ISNUMBER(_xlpm.c)),
_xlpm.r-_xlpm.c,
""
)
))</f>
        <v>609.4</v>
      </c>
    </row>
    <row r="5" spans="1:12" x14ac:dyDescent="0.35">
      <c r="A5" t="s">
        <v>10</v>
      </c>
      <c r="B5" s="7">
        <v>45916</v>
      </c>
      <c r="C5" t="str">
        <f>IF(RawData!C5="","Unknown",PROPER(TRIM(CLEAN(SUBSTITUTE(RawData!C5,CHAR(160)," ")))))</f>
        <v>North</v>
      </c>
      <c r="D5" t="str">
        <f>IF(RawData!D5="","Unknown",PROPER(TRIM(CLEAN(SUBSTITUTE(RawData!D5,CHAR(160)," ")))))</f>
        <v>Lucknow</v>
      </c>
      <c r="E5" t="str">
        <f>IF(RawData!E5="","Unknown",PROPER(TRIM(CLEAN(SUBSTITUTE(RawData!E5,CHAR(160)," ")))))</f>
        <v>Notebook</v>
      </c>
      <c r="F5" t="str">
        <f>IF(RawData!F5="","Unknown",PROPER(TRIM(CLEAN(SUBSTITUTE(RawData!F5,CHAR(160)," ")))))</f>
        <v>Office Supplies</v>
      </c>
      <c r="G5">
        <f>_xlfn.LET(
_xlpm.q,RawData!G5,
_xlpm.u,RawData!H5,
_xlpm.d,RawData!I5,
_xlpm.r,RawData!J5,
IF(AND(ISNUMBER(_xlpm.q),_xlpm.q&gt;0),_xlpm.q,
   IF(AND(ISNUMBER(_xlpm.r),ISNUMBER(_xlpm.u),_xlpm.u&gt;0,ISNUMBER(_xlpm.d),_xlpm.d&gt;=0,_xlpm.d&lt;1),
      ROUND(_xlpm.r/(_xlpm.u*(1-_xlpm.d)),0),
      ""
   )
)
)</f>
        <v>4</v>
      </c>
      <c r="H5" s="4">
        <f>_xlfn.LET(
_xlpm.q,RawData!G5,
_xlpm.u,RawData!H5,
_xlpm.d,RawData!I5,
_xlpm.r,RawData!J5,
IF(AND(ISNUMBER(_xlpm.u),_xlpm.u&gt;0),_xlpm.u,
   IF(AND(ISNUMBER(_xlpm.q),_xlpm.q&gt;0,ISNUMBER(_xlpm.r),ISNUMBER(_xlpm.d),_xlpm.d&gt;=0,_xlpm.d&lt;1),
      _xlpm.r/(_xlpm.q*(1-_xlpm.d)),
      ""
   )
)
)</f>
        <v>6.94</v>
      </c>
      <c r="I5" s="5">
        <f>_xlfn.LET(
_xlpm.q,RawData!G5,
_xlpm.u,RawData!H5,
_xlpm.d,RawData!I5,
_xlpm.r,RawData!J5,
IF(AND(ISNUMBER(_xlpm.d),_xlpm.d&gt;=0,_xlpm.d&lt;1),_xlpm.d,
   IF(AND(ISNUMBER(_xlpm.q),_xlpm.q&gt;0,ISNUMBER(_xlpm.u),_xlpm.u&gt;0,ISNUMBER(_xlpm.r),_xlpm.r&gt;=0),
      1-(_xlpm.r/(_xlpm.q*_xlpm.u)),
      ""
   )
)
)</f>
        <v>0.2</v>
      </c>
      <c r="J5" s="4">
        <f>_xlfn.LET(
_xlpm.q,RawData!G5,
_xlpm.u,RawData!H5,
_xlpm.d,RawData!I5,
_xlpm.r,RawData!J5,
IF(AND(ISNUMBER(_xlpm.r),_xlpm.r&gt;=0),_xlpm.r,
   IF(AND(ISNUMBER(_xlpm.q),_xlpm.q&gt;0,ISNUMBER(_xlpm.u),_xlpm.u&gt;0,ISNUMBER(_xlpm.d),_xlpm.d&gt;=0,_xlpm.d&lt;1),
      _xlpm.q*_xlpm.u*(1-_xlpm.d),
      ""
   )
)
)</f>
        <v>22.21</v>
      </c>
      <c r="K5" s="4">
        <f>_xlfn.LET(
_xlpm.c,RawData!K5,
_xlpm.r,RawData!J5,
_xlpm.p,RawData!L5,
IF(AND(ISNUMBER(_xlpm.c),_xlpm.c&gt;=0),_xlpm.c,
   IF(AND(ISNUMBER(_xlpm.r),ISNUMBER(_xlpm.p)),
      _xlpm.r-_xlpm.p,
      ""
   )
)
)</f>
        <v>17.41</v>
      </c>
      <c r="L5" s="4">
        <f>_xlfn.LET(
_xlpm.p,RawData!L5,
_xlpm.r,RawData!J5,
_xlpm.c,RawData!K5,
IF(ISNUMBER(_xlpm.p),_xlpm.p,
IF(AND(ISNUMBER(_xlpm.r),ISNUMBER(_xlpm.c)),
_xlpm.r-_xlpm.c,
""
)
))</f>
        <v>4.8</v>
      </c>
    </row>
    <row r="6" spans="1:12" x14ac:dyDescent="0.35">
      <c r="A6" t="s">
        <v>13</v>
      </c>
      <c r="B6" s="7">
        <v>46017</v>
      </c>
      <c r="C6" t="str">
        <f>IF(RawData!C6="","Unknown",PROPER(TRIM(CLEAN(SUBSTITUTE(RawData!C6,CHAR(160)," ")))))</f>
        <v>West</v>
      </c>
      <c r="D6" t="str">
        <f>IF(RawData!D6="","Unknown",PROPER(TRIM(CLEAN(SUBSTITUTE(RawData!D6,CHAR(160)," ")))))</f>
        <v>Pune</v>
      </c>
      <c r="E6" t="str">
        <f>IF(RawData!E6="","Unknown",PROPER(TRIM(CLEAN(SUBSTITUTE(RawData!E6,CHAR(160)," ")))))</f>
        <v>Monitor</v>
      </c>
      <c r="F6" t="str">
        <f>IF(RawData!F6="","Unknown",PROPER(TRIM(CLEAN(SUBSTITUTE(RawData!F6,CHAR(160)," ")))))</f>
        <v>Electronics</v>
      </c>
      <c r="G6">
        <f>_xlfn.LET(
_xlpm.q,RawData!G6,
_xlpm.u,RawData!H6,
_xlpm.d,RawData!I6,
_xlpm.r,RawData!J6,
IF(AND(ISNUMBER(_xlpm.q),_xlpm.q&gt;0),_xlpm.q,
   IF(AND(ISNUMBER(_xlpm.r),ISNUMBER(_xlpm.u),_xlpm.u&gt;0,ISNUMBER(_xlpm.d),_xlpm.d&gt;=0,_xlpm.d&lt;1),
      ROUND(_xlpm.r/(_xlpm.u*(1-_xlpm.d)),0),
      ""
   )
)
)</f>
        <v>8</v>
      </c>
      <c r="H6" s="4">
        <f>_xlfn.LET(
_xlpm.q,RawData!G6,
_xlpm.u,RawData!H6,
_xlpm.d,RawData!I6,
_xlpm.r,RawData!J6,
IF(AND(ISNUMBER(_xlpm.u),_xlpm.u&gt;0),_xlpm.u,
   IF(AND(ISNUMBER(_xlpm.q),_xlpm.q&gt;0,ISNUMBER(_xlpm.r),ISNUMBER(_xlpm.d),_xlpm.d&gt;=0,_xlpm.d&lt;1),
      _xlpm.r/(_xlpm.q*(1-_xlpm.d)),
      ""
   )
)
)</f>
        <v>226.67</v>
      </c>
      <c r="I6" s="5">
        <f>_xlfn.LET(
_xlpm.q,RawData!G6,
_xlpm.u,RawData!H6,
_xlpm.d,RawData!I6,
_xlpm.r,RawData!J6,
IF(AND(ISNUMBER(_xlpm.d),_xlpm.d&gt;=0,_xlpm.d&lt;1),_xlpm.d,
   IF(AND(ISNUMBER(_xlpm.q),_xlpm.q&gt;0,ISNUMBER(_xlpm.u),_xlpm.u&gt;0,ISNUMBER(_xlpm.r),_xlpm.r&gt;=0),
      1-(_xlpm.r/(_xlpm.q*_xlpm.u)),
      ""
   )
)
)</f>
        <v>0.15</v>
      </c>
      <c r="J6" s="4">
        <f>_xlfn.LET(
_xlpm.q,RawData!G6,
_xlpm.u,RawData!H6,
_xlpm.d,RawData!I6,
_xlpm.r,RawData!J6,
IF(AND(ISNUMBER(_xlpm.r),_xlpm.r&gt;=0),_xlpm.r,
   IF(AND(ISNUMBER(_xlpm.q),_xlpm.q&gt;0,ISNUMBER(_xlpm.u),_xlpm.u&gt;0,ISNUMBER(_xlpm.d),_xlpm.d&gt;=0,_xlpm.d&lt;1),
      _xlpm.q*_xlpm.u*(1-_xlpm.d),
      ""
   )
)
)</f>
        <v>1541.36</v>
      </c>
      <c r="K6" s="4">
        <f>_xlfn.LET(
_xlpm.c,RawData!K6,
_xlpm.r,RawData!J6,
_xlpm.p,RawData!L6,
IF(AND(ISNUMBER(_xlpm.c),_xlpm.c&gt;=0),_xlpm.c,
   IF(AND(ISNUMBER(_xlpm.r),ISNUMBER(_xlpm.p)),
      _xlpm.r-_xlpm.p,
      ""
   )
)
)</f>
        <v>1142.42</v>
      </c>
      <c r="L6" s="4">
        <f>_xlfn.LET(
_xlpm.p,RawData!L6,
_xlpm.r,RawData!J6,
_xlpm.c,RawData!K6,
IF(ISNUMBER(_xlpm.p),_xlpm.p,
IF(AND(ISNUMBER(_xlpm.r),ISNUMBER(_xlpm.c)),
_xlpm.r-_xlpm.c,
""
)
))</f>
        <v>398.94</v>
      </c>
    </row>
    <row r="7" spans="1:12" x14ac:dyDescent="0.35">
      <c r="A7" t="s">
        <v>17</v>
      </c>
      <c r="B7" s="7">
        <v>45661</v>
      </c>
      <c r="C7" t="str">
        <f>IF(RawData!C7="","Unknown",PROPER(TRIM(CLEAN(SUBSTITUTE(RawData!C7,CHAR(160)," ")))))</f>
        <v>South</v>
      </c>
      <c r="D7" t="str">
        <f>IF(RawData!D7="","Unknown",PROPER(TRIM(CLEAN(SUBSTITUTE(RawData!D7,CHAR(160)," ")))))</f>
        <v>Chennai</v>
      </c>
      <c r="E7" t="str">
        <f>IF(RawData!E7="","Unknown",PROPER(TRIM(CLEAN(SUBSTITUTE(RawData!E7,CHAR(160)," ")))))</f>
        <v>Keyboard</v>
      </c>
      <c r="F7" t="str">
        <f>IF(RawData!F7="","Unknown",PROPER(TRIM(CLEAN(SUBSTITUTE(RawData!F7,CHAR(160)," ")))))</f>
        <v>Accessories</v>
      </c>
      <c r="G7">
        <f>_xlfn.LET(
_xlpm.q,RawData!G7,
_xlpm.u,RawData!H7,
_xlpm.d,RawData!I7,
_xlpm.r,RawData!J7,
IF(AND(ISNUMBER(_xlpm.q),_xlpm.q&gt;0),_xlpm.q,
   IF(AND(ISNUMBER(_xlpm.r),ISNUMBER(_xlpm.u),_xlpm.u&gt;0,ISNUMBER(_xlpm.d),_xlpm.d&gt;=0,_xlpm.d&lt;1),
      ROUND(_xlpm.r/(_xlpm.u*(1-_xlpm.d)),0),
      ""
   )
)
)</f>
        <v>7</v>
      </c>
      <c r="H7" s="4">
        <f>_xlfn.LET(
_xlpm.q,RawData!G7,
_xlpm.u,RawData!H7,
_xlpm.d,RawData!I7,
_xlpm.r,RawData!J7,
IF(AND(ISNUMBER(_xlpm.u),_xlpm.u&gt;0),_xlpm.u,
   IF(AND(ISNUMBER(_xlpm.q),_xlpm.q&gt;0,ISNUMBER(_xlpm.r),ISNUMBER(_xlpm.d),_xlpm.d&gt;=0,_xlpm.d&lt;1),
      _xlpm.r/(_xlpm.q*(1-_xlpm.d)),
      ""
   )
)
)</f>
        <v>29.97</v>
      </c>
      <c r="I7" s="5">
        <f>_xlfn.LET(
_xlpm.q,RawData!G7,
_xlpm.u,RawData!H7,
_xlpm.d,RawData!I7,
_xlpm.r,RawData!J7,
IF(AND(ISNUMBER(_xlpm.d),_xlpm.d&gt;=0,_xlpm.d&lt;1),_xlpm.d,
   IF(AND(ISNUMBER(_xlpm.q),_xlpm.q&gt;0,ISNUMBER(_xlpm.u),_xlpm.u&gt;0,ISNUMBER(_xlpm.r),_xlpm.r&gt;=0),
      1-(_xlpm.r/(_xlpm.q*_xlpm.u)),
      ""
   )
)
)</f>
        <v>0.05</v>
      </c>
      <c r="J7" s="4">
        <f>_xlfn.LET(
_xlpm.q,RawData!G7,
_xlpm.u,RawData!H7,
_xlpm.d,RawData!I7,
_xlpm.r,RawData!J7,
IF(AND(ISNUMBER(_xlpm.r),_xlpm.r&gt;=0),_xlpm.r,
   IF(AND(ISNUMBER(_xlpm.q),_xlpm.q&gt;0,ISNUMBER(_xlpm.u),_xlpm.u&gt;0,ISNUMBER(_xlpm.d),_xlpm.d&gt;=0,_xlpm.d&lt;1),
      _xlpm.q*_xlpm.u*(1-_xlpm.d),
      ""
   )
)
)</f>
        <v>199.3</v>
      </c>
      <c r="K7" s="4">
        <f>_xlfn.LET(
_xlpm.c,RawData!K7,
_xlpm.r,RawData!J7,
_xlpm.p,RawData!L7,
IF(AND(ISNUMBER(_xlpm.c),_xlpm.c&gt;=0),_xlpm.c,
   IF(AND(ISNUMBER(_xlpm.r),ISNUMBER(_xlpm.p)),
      _xlpm.r-_xlpm.p,
      ""
   )
)
)</f>
        <v>161.81</v>
      </c>
      <c r="L7" s="4">
        <f>_xlfn.LET(
_xlpm.p,RawData!L7,
_xlpm.r,RawData!J7,
_xlpm.c,RawData!K7,
IF(ISNUMBER(_xlpm.p),_xlpm.p,
IF(AND(ISNUMBER(_xlpm.r),ISNUMBER(_xlpm.c)),
_xlpm.r-_xlpm.c,
""
)
))</f>
        <v>37.49</v>
      </c>
    </row>
    <row r="8" spans="1:12" x14ac:dyDescent="0.35">
      <c r="A8" t="s">
        <v>21</v>
      </c>
      <c r="B8" s="7">
        <v>45737</v>
      </c>
      <c r="C8" t="str">
        <f>IF(RawData!C8="","Unknown",PROPER(TRIM(CLEAN(SUBSTITUTE(RawData!C8,CHAR(160)," ")))))</f>
        <v>South</v>
      </c>
      <c r="D8" t="str">
        <f>IF(RawData!D8="","Unknown",PROPER(TRIM(CLEAN(SUBSTITUTE(RawData!D8,CHAR(160)," ")))))</f>
        <v>Chennai</v>
      </c>
      <c r="E8" t="str">
        <f>IF(RawData!E8="","Unknown",PROPER(TRIM(CLEAN(SUBSTITUTE(RawData!E8,CHAR(160)," ")))))</f>
        <v>Desk</v>
      </c>
      <c r="F8" t="str">
        <f>IF(RawData!F8="","Unknown",PROPER(TRIM(CLEAN(SUBSTITUTE(RawData!F8,CHAR(160)," ")))))</f>
        <v>Furniture</v>
      </c>
      <c r="G8">
        <f>_xlfn.LET(
_xlpm.q,RawData!G8,
_xlpm.u,RawData!H8,
_xlpm.d,RawData!I8,
_xlpm.r,RawData!J8,
IF(AND(ISNUMBER(_xlpm.q),_xlpm.q&gt;0),_xlpm.q,
   IF(AND(ISNUMBER(_xlpm.r),ISNUMBER(_xlpm.u),_xlpm.u&gt;0,ISNUMBER(_xlpm.d),_xlpm.d&gt;=0,_xlpm.d&lt;1),
      ROUND(_xlpm.r/(_xlpm.u*(1-_xlpm.d)),0),
      ""
   )
)
)</f>
        <v>2</v>
      </c>
      <c r="H8" s="4">
        <f>_xlfn.LET(
_xlpm.q,RawData!G8,
_xlpm.u,RawData!H8,
_xlpm.d,RawData!I8,
_xlpm.r,RawData!J8,
IF(AND(ISNUMBER(_xlpm.u),_xlpm.u&gt;0),_xlpm.u,
   IF(AND(ISNUMBER(_xlpm.q),_xlpm.q&gt;0,ISNUMBER(_xlpm.r),ISNUMBER(_xlpm.d),_xlpm.d&gt;=0,_xlpm.d&lt;1),
      _xlpm.r/(_xlpm.q*(1-_xlpm.d)),
      ""
   )
)
)</f>
        <v>274.93</v>
      </c>
      <c r="I8" s="5">
        <f>_xlfn.LET(
_xlpm.q,RawData!G8,
_xlpm.u,RawData!H8,
_xlpm.d,RawData!I8,
_xlpm.r,RawData!J8,
IF(AND(ISNUMBER(_xlpm.d),_xlpm.d&gt;=0,_xlpm.d&lt;1),_xlpm.d,
   IF(AND(ISNUMBER(_xlpm.q),_xlpm.q&gt;0,ISNUMBER(_xlpm.u),_xlpm.u&gt;0,ISNUMBER(_xlpm.r),_xlpm.r&gt;=0),
      1-(_xlpm.r/(_xlpm.q*_xlpm.u)),
      ""
   )
)
)</f>
        <v>0</v>
      </c>
      <c r="J8" s="4">
        <f>_xlfn.LET(
_xlpm.q,RawData!G8,
_xlpm.u,RawData!H8,
_xlpm.d,RawData!I8,
_xlpm.r,RawData!J8,
IF(AND(ISNUMBER(_xlpm.r),_xlpm.r&gt;=0),_xlpm.r,
   IF(AND(ISNUMBER(_xlpm.q),_xlpm.q&gt;0,ISNUMBER(_xlpm.u),_xlpm.u&gt;0,ISNUMBER(_xlpm.d),_xlpm.d&gt;=0,_xlpm.d&lt;1),
      _xlpm.q*_xlpm.u*(1-_xlpm.d),
      ""
   )
)
)</f>
        <v>549.86</v>
      </c>
      <c r="K8" s="4">
        <f>_xlfn.LET(
_xlpm.c,RawData!K8,
_xlpm.r,RawData!J8,
_xlpm.p,RawData!L8,
IF(AND(ISNUMBER(_xlpm.c),_xlpm.c&gt;=0),_xlpm.c,
   IF(AND(ISNUMBER(_xlpm.r),ISNUMBER(_xlpm.p)),
      _xlpm.r-_xlpm.p,
      ""
   )
)
)</f>
        <v>333.95</v>
      </c>
      <c r="L8" s="4">
        <f>_xlfn.LET(
_xlpm.p,RawData!L8,
_xlpm.r,RawData!J8,
_xlpm.c,RawData!K8,
IF(ISNUMBER(_xlpm.p),_xlpm.p,
IF(AND(ISNUMBER(_xlpm.r),ISNUMBER(_xlpm.c)),
_xlpm.r-_xlpm.c,
""
)
))</f>
        <v>215.91</v>
      </c>
    </row>
    <row r="9" spans="1:12" x14ac:dyDescent="0.35">
      <c r="A9" t="s">
        <v>24</v>
      </c>
      <c r="B9" s="7">
        <v>45707</v>
      </c>
      <c r="C9" t="str">
        <f>IF(RawData!C9="","Unknown",PROPER(TRIM(CLEAN(SUBSTITUTE(RawData!C9,CHAR(160)," ")))))</f>
        <v>East</v>
      </c>
      <c r="D9" t="str">
        <f>IF(RawData!D9="","Unknown",PROPER(TRIM(CLEAN(SUBSTITUTE(RawData!D9,CHAR(160)," ")))))</f>
        <v>Hyderabad</v>
      </c>
      <c r="E9" t="str">
        <f>IF(RawData!E9="","Unknown",PROPER(TRIM(CLEAN(SUBSTITUTE(RawData!E9,CHAR(160)," ")))))</f>
        <v>Desk</v>
      </c>
      <c r="F9" t="str">
        <f>IF(RawData!F9="","Unknown",PROPER(TRIM(CLEAN(SUBSTITUTE(RawData!F9,CHAR(160)," ")))))</f>
        <v>Furniture</v>
      </c>
      <c r="G9">
        <f>_xlfn.LET(
_xlpm.q,RawData!G9,
_xlpm.u,RawData!H9,
_xlpm.d,RawData!I9,
_xlpm.r,RawData!J9,
IF(AND(ISNUMBER(_xlpm.q),_xlpm.q&gt;0),_xlpm.q,
   IF(AND(ISNUMBER(_xlpm.r),ISNUMBER(_xlpm.u),_xlpm.u&gt;0,ISNUMBER(_xlpm.d),_xlpm.d&gt;=0,_xlpm.d&lt;1),
      ROUND(_xlpm.r/(_xlpm.u*(1-_xlpm.d)),0),
      ""
   )
)
)</f>
        <v>10</v>
      </c>
      <c r="H9" s="4">
        <f>_xlfn.LET(
_xlpm.q,RawData!G9,
_xlpm.u,RawData!H9,
_xlpm.d,RawData!I9,
_xlpm.r,RawData!J9,
IF(AND(ISNUMBER(_xlpm.u),_xlpm.u&gt;0),_xlpm.u,
   IF(AND(ISNUMBER(_xlpm.q),_xlpm.q&gt;0,ISNUMBER(_xlpm.r),ISNUMBER(_xlpm.d),_xlpm.d&gt;=0,_xlpm.d&lt;1),
      _xlpm.r/(_xlpm.q*(1-_xlpm.d)),
      ""
   )
)
)</f>
        <v>226.14</v>
      </c>
      <c r="I9" s="5">
        <f>_xlfn.LET(
_xlpm.q,RawData!G9,
_xlpm.u,RawData!H9,
_xlpm.d,RawData!I9,
_xlpm.r,RawData!J9,
IF(AND(ISNUMBER(_xlpm.d),_xlpm.d&gt;=0,_xlpm.d&lt;1),_xlpm.d,
   IF(AND(ISNUMBER(_xlpm.q),_xlpm.q&gt;0,ISNUMBER(_xlpm.u),_xlpm.u&gt;0,ISNUMBER(_xlpm.r),_xlpm.r&gt;=0),
      1-(_xlpm.r/(_xlpm.q*_xlpm.u)),
      ""
   )
)
)</f>
        <v>0.05</v>
      </c>
      <c r="J9" s="4">
        <f>_xlfn.LET(
_xlpm.q,RawData!G9,
_xlpm.u,RawData!H9,
_xlpm.d,RawData!I9,
_xlpm.r,RawData!J9,
IF(AND(ISNUMBER(_xlpm.r),_xlpm.r&gt;=0),_xlpm.r,
   IF(AND(ISNUMBER(_xlpm.q),_xlpm.q&gt;0,ISNUMBER(_xlpm.u),_xlpm.u&gt;0,ISNUMBER(_xlpm.d),_xlpm.d&gt;=0,_xlpm.d&lt;1),
      _xlpm.q*_xlpm.u*(1-_xlpm.d),
      ""
   )
)
)</f>
        <v>2148.33</v>
      </c>
      <c r="K9" s="4">
        <f>_xlfn.LET(
_xlpm.c,RawData!K9,
_xlpm.r,RawData!J9,
_xlpm.p,RawData!L9,
IF(AND(ISNUMBER(_xlpm.c),_xlpm.c&gt;=0),_xlpm.c,
   IF(AND(ISNUMBER(_xlpm.r),ISNUMBER(_xlpm.p)),
      _xlpm.r-_xlpm.p,
      ""
   )
)
)</f>
        <v>1287.97</v>
      </c>
      <c r="L9" s="4">
        <f>_xlfn.LET(
_xlpm.p,RawData!L9,
_xlpm.r,RawData!J9,
_xlpm.c,RawData!K9,
IF(ISNUMBER(_xlpm.p),_xlpm.p,
IF(AND(ISNUMBER(_xlpm.r),ISNUMBER(_xlpm.c)),
_xlpm.r-_xlpm.c,
""
)
))</f>
        <v>860.36</v>
      </c>
    </row>
    <row r="10" spans="1:12" x14ac:dyDescent="0.35">
      <c r="A10" t="s">
        <v>27</v>
      </c>
      <c r="B10" s="7">
        <v>45893</v>
      </c>
      <c r="C10" t="str">
        <f>IF(RawData!C10="","Unknown",PROPER(TRIM(CLEAN(SUBSTITUTE(RawData!C10,CHAR(160)," ")))))</f>
        <v>North</v>
      </c>
      <c r="D10" t="str">
        <f>IF(RawData!D10="","Unknown",PROPER(TRIM(CLEAN(SUBSTITUTE(RawData!D10,CHAR(160)," ")))))</f>
        <v>Jaipur</v>
      </c>
      <c r="E10" t="str">
        <f>IF(RawData!E10="","Unknown",PROPER(TRIM(CLEAN(SUBSTITUTE(RawData!E10,CHAR(160)," ")))))</f>
        <v>Bookshelf</v>
      </c>
      <c r="F10" t="str">
        <f>IF(RawData!F10="","Unknown",PROPER(TRIM(CLEAN(SUBSTITUTE(RawData!F10,CHAR(160)," ")))))</f>
        <v>Furniture</v>
      </c>
      <c r="G10">
        <f>_xlfn.LET(
_xlpm.q,RawData!G10,
_xlpm.u,RawData!H10,
_xlpm.d,RawData!I10,
_xlpm.r,RawData!J10,
IF(AND(ISNUMBER(_xlpm.q),_xlpm.q&gt;0),_xlpm.q,
   IF(AND(ISNUMBER(_xlpm.r),ISNUMBER(_xlpm.u),_xlpm.u&gt;0,ISNUMBER(_xlpm.d),_xlpm.d&gt;=0,_xlpm.d&lt;1),
      ROUND(_xlpm.r/(_xlpm.u*(1-_xlpm.d)),0),
      ""
   )
)
)</f>
        <v>2</v>
      </c>
      <c r="H10" s="4">
        <f>_xlfn.LET(
_xlpm.q,RawData!G10,
_xlpm.u,RawData!H10,
_xlpm.d,RawData!I10,
_xlpm.r,RawData!J10,
IF(AND(ISNUMBER(_xlpm.u),_xlpm.u&gt;0),_xlpm.u,
   IF(AND(ISNUMBER(_xlpm.q),_xlpm.q&gt;0,ISNUMBER(_xlpm.r),ISNUMBER(_xlpm.d),_xlpm.d&gt;=0,_xlpm.d&lt;1),
      _xlpm.r/(_xlpm.q*(1-_xlpm.d)),
      ""
   )
)
)</f>
        <v>131.78</v>
      </c>
      <c r="I10" s="5">
        <f>_xlfn.LET(
_xlpm.q,RawData!G10,
_xlpm.u,RawData!H10,
_xlpm.d,RawData!I10,
_xlpm.r,RawData!J10,
IF(AND(ISNUMBER(_xlpm.d),_xlpm.d&gt;=0,_xlpm.d&lt;1),_xlpm.d,
   IF(AND(ISNUMBER(_xlpm.q),_xlpm.q&gt;0,ISNUMBER(_xlpm.u),_xlpm.u&gt;0,ISNUMBER(_xlpm.r),_xlpm.r&gt;=0),
      1-(_xlpm.r/(_xlpm.q*_xlpm.u)),
      ""
   )
)
)</f>
        <v>0.15</v>
      </c>
      <c r="J10" s="4">
        <f>_xlfn.LET(
_xlpm.q,RawData!G10,
_xlpm.u,RawData!H10,
_xlpm.d,RawData!I10,
_xlpm.r,RawData!J10,
IF(AND(ISNUMBER(_xlpm.r),_xlpm.r&gt;=0),_xlpm.r,
   IF(AND(ISNUMBER(_xlpm.q),_xlpm.q&gt;0,ISNUMBER(_xlpm.u),_xlpm.u&gt;0,ISNUMBER(_xlpm.d),_xlpm.d&gt;=0,_xlpm.d&lt;1),
      _xlpm.q*_xlpm.u*(1-_xlpm.d),
      ""
   )
)
)</f>
        <v>224.03</v>
      </c>
      <c r="K10" s="4">
        <f>_xlfn.LET(
_xlpm.c,RawData!K10,
_xlpm.r,RawData!J10,
_xlpm.p,RawData!L10,
IF(AND(ISNUMBER(_xlpm.c),_xlpm.c&gt;=0),_xlpm.c,
   IF(AND(ISNUMBER(_xlpm.r),ISNUMBER(_xlpm.p)),
      _xlpm.r-_xlpm.p,
      ""
   )
)
)</f>
        <v>154.96</v>
      </c>
      <c r="L10" s="4">
        <f>_xlfn.LET(
_xlpm.p,RawData!L10,
_xlpm.r,RawData!J10,
_xlpm.c,RawData!K10,
IF(ISNUMBER(_xlpm.p),_xlpm.p,
IF(AND(ISNUMBER(_xlpm.r),ISNUMBER(_xlpm.c)),
_xlpm.r-_xlpm.c,
""
)
))</f>
        <v>69.069999999999993</v>
      </c>
    </row>
    <row r="11" spans="1:12" x14ac:dyDescent="0.35">
      <c r="A11" t="s">
        <v>30</v>
      </c>
      <c r="B11" s="7">
        <v>45979</v>
      </c>
      <c r="C11" t="str">
        <f>IF(RawData!C11="","Unknown",PROPER(TRIM(CLEAN(SUBSTITUTE(RawData!C11,CHAR(160)," ")))))</f>
        <v>East</v>
      </c>
      <c r="D11" t="str">
        <f>IF(RawData!D11="","Unknown",PROPER(TRIM(CLEAN(SUBSTITUTE(RawData!D11,CHAR(160)," ")))))</f>
        <v>Kolkata</v>
      </c>
      <c r="E11" t="str">
        <f>IF(RawData!E11="","Unknown",PROPER(TRIM(CLEAN(SUBSTITUTE(RawData!E11,CHAR(160)," ")))))</f>
        <v>Pen Set</v>
      </c>
      <c r="F11" t="str">
        <f>IF(RawData!F11="","Unknown",PROPER(TRIM(CLEAN(SUBSTITUTE(RawData!F11,CHAR(160)," ")))))</f>
        <v>Office Supplies</v>
      </c>
      <c r="G11">
        <f>_xlfn.LET(
_xlpm.q,RawData!G11,
_xlpm.u,RawData!H11,
_xlpm.d,RawData!I11,
_xlpm.r,RawData!J11,
IF(AND(ISNUMBER(_xlpm.q),_xlpm.q&gt;0),_xlpm.q,
   IF(AND(ISNUMBER(_xlpm.r),ISNUMBER(_xlpm.u),_xlpm.u&gt;0,ISNUMBER(_xlpm.d),_xlpm.d&gt;=0,_xlpm.d&lt;1),
      ROUND(_xlpm.r/(_xlpm.u*(1-_xlpm.d)),0),
      ""
   )
)
)</f>
        <v>4</v>
      </c>
      <c r="H11" s="4">
        <f>_xlfn.LET(
_xlpm.q,RawData!G11,
_xlpm.u,RawData!H11,
_xlpm.d,RawData!I11,
_xlpm.r,RawData!J11,
IF(AND(ISNUMBER(_xlpm.u),_xlpm.u&gt;0),_xlpm.u,
   IF(AND(ISNUMBER(_xlpm.q),_xlpm.q&gt;0,ISNUMBER(_xlpm.r),ISNUMBER(_xlpm.d),_xlpm.d&gt;=0,_xlpm.d&lt;1),
      _xlpm.r/(_xlpm.q*(1-_xlpm.d)),
      ""
   )
)
)</f>
        <v>11.76</v>
      </c>
      <c r="I11" s="5">
        <f>_xlfn.LET(
_xlpm.q,RawData!G11,
_xlpm.u,RawData!H11,
_xlpm.d,RawData!I11,
_xlpm.r,RawData!J11,
IF(AND(ISNUMBER(_xlpm.d),_xlpm.d&gt;=0,_xlpm.d&lt;1),_xlpm.d,
   IF(AND(ISNUMBER(_xlpm.q),_xlpm.q&gt;0,ISNUMBER(_xlpm.u),_xlpm.u&gt;0,ISNUMBER(_xlpm.r),_xlpm.r&gt;=0),
      1-(_xlpm.r/(_xlpm.q*_xlpm.u)),
      ""
   )
)
)</f>
        <v>0.2</v>
      </c>
      <c r="J11" s="4">
        <f>_xlfn.LET(
_xlpm.q,RawData!G11,
_xlpm.u,RawData!H11,
_xlpm.d,RawData!I11,
_xlpm.r,RawData!J11,
IF(AND(ISNUMBER(_xlpm.r),_xlpm.r&gt;=0),_xlpm.r,
   IF(AND(ISNUMBER(_xlpm.q),_xlpm.q&gt;0,ISNUMBER(_xlpm.u),_xlpm.u&gt;0,ISNUMBER(_xlpm.d),_xlpm.d&gt;=0,_xlpm.d&lt;1),
      _xlpm.q*_xlpm.u*(1-_xlpm.d),
      ""
   )
)
)</f>
        <v>37.630000000000003</v>
      </c>
      <c r="K11" s="4">
        <f>_xlfn.LET(
_xlpm.c,RawData!K11,
_xlpm.r,RawData!J11,
_xlpm.p,RawData!L11,
IF(AND(ISNUMBER(_xlpm.c),_xlpm.c&gt;=0),_xlpm.c,
   IF(AND(ISNUMBER(_xlpm.r),ISNUMBER(_xlpm.p)),
      _xlpm.r-_xlpm.p,
      ""
   )
)
)</f>
        <v>23.66</v>
      </c>
      <c r="L11" s="4">
        <f>_xlfn.LET(
_xlpm.p,RawData!L11,
_xlpm.r,RawData!J11,
_xlpm.c,RawData!K11,
IF(ISNUMBER(_xlpm.p),_xlpm.p,
IF(AND(ISNUMBER(_xlpm.r),ISNUMBER(_xlpm.c)),
_xlpm.r-_xlpm.c,
""
)
))</f>
        <v>13.97</v>
      </c>
    </row>
    <row r="12" spans="1:12" x14ac:dyDescent="0.35">
      <c r="A12" t="s">
        <v>33</v>
      </c>
      <c r="B12" s="7">
        <v>45681</v>
      </c>
      <c r="C12" t="str">
        <f>IF(RawData!C12="","Unknown",PROPER(TRIM(CLEAN(SUBSTITUTE(RawData!C12,CHAR(160)," ")))))</f>
        <v>South</v>
      </c>
      <c r="D12" t="str">
        <f>IF(RawData!D12="","Unknown",PROPER(TRIM(CLEAN(SUBSTITUTE(RawData!D12,CHAR(160)," ")))))</f>
        <v>Hyderabad</v>
      </c>
      <c r="E12" t="str">
        <f>IF(RawData!E12="","Unknown",PROPER(TRIM(CLEAN(SUBSTITUTE(RawData!E12,CHAR(160)," ")))))</f>
        <v>Office Chair</v>
      </c>
      <c r="F12" t="str">
        <f>IF(RawData!F12="","Unknown",PROPER(TRIM(CLEAN(SUBSTITUTE(RawData!F12,CHAR(160)," ")))))</f>
        <v>Furniture</v>
      </c>
      <c r="G12">
        <f>_xlfn.LET(
_xlpm.q,RawData!G12,
_xlpm.u,RawData!H12,
_xlpm.d,RawData!I12,
_xlpm.r,RawData!J12,
IF(AND(ISNUMBER(_xlpm.q),_xlpm.q&gt;0),_xlpm.q,
   IF(AND(ISNUMBER(_xlpm.r),ISNUMBER(_xlpm.u),_xlpm.u&gt;0,ISNUMBER(_xlpm.d),_xlpm.d&gt;=0,_xlpm.d&lt;1),
      ROUND(_xlpm.r/(_xlpm.u*(1-_xlpm.d)),0),
      ""
   )
)
)</f>
        <v>2</v>
      </c>
      <c r="H12" s="4">
        <f>_xlfn.LET(
_xlpm.q,RawData!G12,
_xlpm.u,RawData!H12,
_xlpm.d,RawData!I12,
_xlpm.r,RawData!J12,
IF(AND(ISNUMBER(_xlpm.u),_xlpm.u&gt;0),_xlpm.u,
   IF(AND(ISNUMBER(_xlpm.q),_xlpm.q&gt;0,ISNUMBER(_xlpm.r),ISNUMBER(_xlpm.d),_xlpm.d&gt;=0,_xlpm.d&lt;1),
      _xlpm.r/(_xlpm.q*(1-_xlpm.d)),
      ""
   )
)
)</f>
        <v>186.04</v>
      </c>
      <c r="I12" s="5">
        <f>_xlfn.LET(
_xlpm.q,RawData!G12,
_xlpm.u,RawData!H12,
_xlpm.d,RawData!I12,
_xlpm.r,RawData!J12,
IF(AND(ISNUMBER(_xlpm.d),_xlpm.d&gt;=0,_xlpm.d&lt;1),_xlpm.d,
   IF(AND(ISNUMBER(_xlpm.q),_xlpm.q&gt;0,ISNUMBER(_xlpm.u),_xlpm.u&gt;0,ISNUMBER(_xlpm.r),_xlpm.r&gt;=0),
      1-(_xlpm.r/(_xlpm.q*_xlpm.u)),
      ""
   )
)
)</f>
        <v>0.02</v>
      </c>
      <c r="J12" s="4">
        <f>_xlfn.LET(
_xlpm.q,RawData!G12,
_xlpm.u,RawData!H12,
_xlpm.d,RawData!I12,
_xlpm.r,RawData!J12,
IF(AND(ISNUMBER(_xlpm.r),_xlpm.r&gt;=0),_xlpm.r,
   IF(AND(ISNUMBER(_xlpm.q),_xlpm.q&gt;0,ISNUMBER(_xlpm.u),_xlpm.u&gt;0,ISNUMBER(_xlpm.d),_xlpm.d&gt;=0,_xlpm.d&lt;1),
      _xlpm.q*_xlpm.u*(1-_xlpm.d),
      ""
   )
)
)</f>
        <v>364.64</v>
      </c>
      <c r="K12" s="4">
        <f>_xlfn.LET(
_xlpm.c,RawData!K12,
_xlpm.r,RawData!J12,
_xlpm.p,RawData!L12,
IF(AND(ISNUMBER(_xlpm.c),_xlpm.c&gt;=0),_xlpm.c,
   IF(AND(ISNUMBER(_xlpm.r),ISNUMBER(_xlpm.p)),
      _xlpm.r-_xlpm.p,
      ""
   )
)
)</f>
        <v>214.29</v>
      </c>
      <c r="L12" s="4">
        <f>_xlfn.LET(
_xlpm.p,RawData!L12,
_xlpm.r,RawData!J12,
_xlpm.c,RawData!K12,
IF(ISNUMBER(_xlpm.p),_xlpm.p,
IF(AND(ISNUMBER(_xlpm.r),ISNUMBER(_xlpm.c)),
_xlpm.r-_xlpm.c,
""
)
))</f>
        <v>150.35</v>
      </c>
    </row>
    <row r="13" spans="1:12" x14ac:dyDescent="0.35">
      <c r="A13" t="s">
        <v>36</v>
      </c>
      <c r="B13" s="7">
        <v>45852</v>
      </c>
      <c r="C13" t="str">
        <f>IF(RawData!C13="","Unknown",PROPER(TRIM(CLEAN(SUBSTITUTE(RawData!C13,CHAR(160)," ")))))</f>
        <v>East</v>
      </c>
      <c r="D13" t="str">
        <f>IF(RawData!D13="","Unknown",PROPER(TRIM(CLEAN(SUBSTITUTE(RawData!D13,CHAR(160)," ")))))</f>
        <v>Bhubaneswar</v>
      </c>
      <c r="E13" t="str">
        <f>IF(RawData!E13="","Unknown",PROPER(TRIM(CLEAN(SUBSTITUTE(RawData!E13,CHAR(160)," ")))))</f>
        <v>Printer</v>
      </c>
      <c r="F13" t="str">
        <f>IF(RawData!F13="","Unknown",PROPER(TRIM(CLEAN(SUBSTITUTE(RawData!F13,CHAR(160)," ")))))</f>
        <v>Office Supplies</v>
      </c>
      <c r="G13">
        <f>_xlfn.LET(
_xlpm.q,RawData!G13,
_xlpm.u,RawData!H13,
_xlpm.d,RawData!I13,
_xlpm.r,RawData!J13,
IF(AND(ISNUMBER(_xlpm.q),_xlpm.q&gt;0),_xlpm.q,
   IF(AND(ISNUMBER(_xlpm.r),ISNUMBER(_xlpm.u),_xlpm.u&gt;0,ISNUMBER(_xlpm.d),_xlpm.d&gt;=0,_xlpm.d&lt;1),
      ROUND(_xlpm.r/(_xlpm.u*(1-_xlpm.d)),0),
      ""
   )
)
)</f>
        <v>6</v>
      </c>
      <c r="H13" s="4">
        <f>_xlfn.LET(
_xlpm.q,RawData!G13,
_xlpm.u,RawData!H13,
_xlpm.d,RawData!I13,
_xlpm.r,RawData!J13,
IF(AND(ISNUMBER(_xlpm.u),_xlpm.u&gt;0),_xlpm.u,
   IF(AND(ISNUMBER(_xlpm.q),_xlpm.q&gt;0,ISNUMBER(_xlpm.r),ISNUMBER(_xlpm.d),_xlpm.d&gt;=0,_xlpm.d&lt;1),
      _xlpm.r/(_xlpm.q*(1-_xlpm.d)),
      ""
   )
)
)</f>
        <v>150.02000000000001</v>
      </c>
      <c r="I13" s="5">
        <f>_xlfn.LET(
_xlpm.q,RawData!G13,
_xlpm.u,RawData!H13,
_xlpm.d,RawData!I13,
_xlpm.r,RawData!J13,
IF(AND(ISNUMBER(_xlpm.d),_xlpm.d&gt;=0,_xlpm.d&lt;1),_xlpm.d,
   IF(AND(ISNUMBER(_xlpm.q),_xlpm.q&gt;0,ISNUMBER(_xlpm.u),_xlpm.u&gt;0,ISNUMBER(_xlpm.r),_xlpm.r&gt;=0),
      1-(_xlpm.r/(_xlpm.q*_xlpm.u)),
      ""
   )
)
)</f>
        <v>0.02</v>
      </c>
      <c r="J13" s="4">
        <f>_xlfn.LET(
_xlpm.q,RawData!G13,
_xlpm.u,RawData!H13,
_xlpm.d,RawData!I13,
_xlpm.r,RawData!J13,
IF(AND(ISNUMBER(_xlpm.r),_xlpm.r&gt;=0),_xlpm.r,
   IF(AND(ISNUMBER(_xlpm.q),_xlpm.q&gt;0,ISNUMBER(_xlpm.u),_xlpm.u&gt;0,ISNUMBER(_xlpm.d),_xlpm.d&gt;=0,_xlpm.d&lt;1),
      _xlpm.q*_xlpm.u*(1-_xlpm.d),
      ""
   )
)
)</f>
        <v>882.12</v>
      </c>
      <c r="K13" s="4">
        <f>_xlfn.LET(
_xlpm.c,RawData!K13,
_xlpm.r,RawData!J13,
_xlpm.p,RawData!L13,
IF(AND(ISNUMBER(_xlpm.c),_xlpm.c&gt;=0),_xlpm.c,
   IF(AND(ISNUMBER(_xlpm.r),ISNUMBER(_xlpm.p)),
      _xlpm.r-_xlpm.p,
      ""
   )
)
)</f>
        <v>572.41999999999996</v>
      </c>
      <c r="L13" s="4">
        <f>_xlfn.LET(
_xlpm.p,RawData!L13,
_xlpm.r,RawData!J13,
_xlpm.c,RawData!K13,
IF(ISNUMBER(_xlpm.p),_xlpm.p,
IF(AND(ISNUMBER(_xlpm.r),ISNUMBER(_xlpm.c)),
_xlpm.r-_xlpm.c,
""
)
))</f>
        <v>309.7</v>
      </c>
    </row>
    <row r="14" spans="1:12" x14ac:dyDescent="0.35">
      <c r="A14" t="s">
        <v>39</v>
      </c>
      <c r="B14" s="7">
        <v>45839</v>
      </c>
      <c r="C14" t="str">
        <f>IF(RawData!C14="","Unknown",PROPER(TRIM(CLEAN(SUBSTITUTE(RawData!C14,CHAR(160)," ")))))</f>
        <v>South</v>
      </c>
      <c r="D14" t="str">
        <f>IF(RawData!D14="","Unknown",PROPER(TRIM(CLEAN(SUBSTITUTE(RawData!D14,CHAR(160)," ")))))</f>
        <v>Bengaluru</v>
      </c>
      <c r="E14" t="str">
        <f>IF(RawData!E14="","Unknown",PROPER(TRIM(CLEAN(SUBSTITUTE(RawData!E14,CHAR(160)," ")))))</f>
        <v>Backpack</v>
      </c>
      <c r="F14" t="str">
        <f>IF(RawData!F14="","Unknown",PROPER(TRIM(CLEAN(SUBSTITUTE(RawData!F14,CHAR(160)," ")))))</f>
        <v>Accessories</v>
      </c>
      <c r="G14">
        <f>_xlfn.LET(
_xlpm.q,RawData!G14,
_xlpm.u,RawData!H14,
_xlpm.d,RawData!I14,
_xlpm.r,RawData!J14,
IF(AND(ISNUMBER(_xlpm.q),_xlpm.q&gt;0),_xlpm.q,
   IF(AND(ISNUMBER(_xlpm.r),ISNUMBER(_xlpm.u),_xlpm.u&gt;0,ISNUMBER(_xlpm.d),_xlpm.d&gt;=0,_xlpm.d&lt;1),
      ROUND(_xlpm.r/(_xlpm.u*(1-_xlpm.d)),0),
      ""
   )
)
)</f>
        <v>5</v>
      </c>
      <c r="H14" s="4">
        <f>_xlfn.LET(
_xlpm.q,RawData!G14,
_xlpm.u,RawData!H14,
_xlpm.d,RawData!I14,
_xlpm.r,RawData!J14,
IF(AND(ISNUMBER(_xlpm.u),_xlpm.u&gt;0),_xlpm.u,
   IF(AND(ISNUMBER(_xlpm.q),_xlpm.q&gt;0,ISNUMBER(_xlpm.r),ISNUMBER(_xlpm.d),_xlpm.d&gt;=0,_xlpm.d&lt;1),
      _xlpm.r/(_xlpm.q*(1-_xlpm.d)),
      ""
   )
)
)</f>
        <v>44.41</v>
      </c>
      <c r="I14" s="5">
        <f>_xlfn.LET(
_xlpm.q,RawData!G14,
_xlpm.u,RawData!H14,
_xlpm.d,RawData!I14,
_xlpm.r,RawData!J14,
IF(AND(ISNUMBER(_xlpm.d),_xlpm.d&gt;=0,_xlpm.d&lt;1),_xlpm.d,
   IF(AND(ISNUMBER(_xlpm.q),_xlpm.q&gt;0,ISNUMBER(_xlpm.u),_xlpm.u&gt;0,ISNUMBER(_xlpm.r),_xlpm.r&gt;=0),
      1-(_xlpm.r/(_xlpm.q*_xlpm.u)),
      ""
   )
)
)</f>
        <v>0.2</v>
      </c>
      <c r="J14" s="4">
        <f>_xlfn.LET(
_xlpm.q,RawData!G14,
_xlpm.u,RawData!H14,
_xlpm.d,RawData!I14,
_xlpm.r,RawData!J14,
IF(AND(ISNUMBER(_xlpm.r),_xlpm.r&gt;=0),_xlpm.r,
   IF(AND(ISNUMBER(_xlpm.q),_xlpm.q&gt;0,ISNUMBER(_xlpm.u),_xlpm.u&gt;0,ISNUMBER(_xlpm.d),_xlpm.d&gt;=0,_xlpm.d&lt;1),
      _xlpm.q*_xlpm.u*(1-_xlpm.d),
      ""
   )
)
)</f>
        <v>177.64</v>
      </c>
      <c r="K14" s="4">
        <f>_xlfn.LET(
_xlpm.c,RawData!K14,
_xlpm.r,RawData!J14,
_xlpm.p,RawData!L14,
IF(AND(ISNUMBER(_xlpm.c),_xlpm.c&gt;=0),_xlpm.c,
   IF(AND(ISNUMBER(_xlpm.r),ISNUMBER(_xlpm.p)),
      _xlpm.r-_xlpm.p,
      ""
   )
)
)</f>
        <v>135.36000000000001</v>
      </c>
      <c r="L14" s="4">
        <f>_xlfn.LET(
_xlpm.p,RawData!L14,
_xlpm.r,RawData!J14,
_xlpm.c,RawData!K14,
IF(ISNUMBER(_xlpm.p),_xlpm.p,
IF(AND(ISNUMBER(_xlpm.r),ISNUMBER(_xlpm.c)),
_xlpm.r-_xlpm.c,
""
)
))</f>
        <v>42.28</v>
      </c>
    </row>
    <row r="15" spans="1:12" x14ac:dyDescent="0.35">
      <c r="A15" t="s">
        <v>41</v>
      </c>
      <c r="B15" s="7">
        <v>45989</v>
      </c>
      <c r="C15" t="str">
        <f>IF(RawData!C15="","Unknown",PROPER(TRIM(CLEAN(SUBSTITUTE(RawData!C15,CHAR(160)," ")))))</f>
        <v>North</v>
      </c>
      <c r="D15" t="str">
        <f>IF(RawData!D15="","Unknown",PROPER(TRIM(CLEAN(SUBSTITUTE(RawData!D15,CHAR(160)," ")))))</f>
        <v>Lucknow</v>
      </c>
      <c r="E15" t="str">
        <f>IF(RawData!E15="","Unknown",PROPER(TRIM(CLEAN(SUBSTITUTE(RawData!E15,CHAR(160)," ")))))</f>
        <v>Pen Set</v>
      </c>
      <c r="F15" t="str">
        <f>IF(RawData!F15="","Unknown",PROPER(TRIM(CLEAN(SUBSTITUTE(RawData!F15,CHAR(160)," ")))))</f>
        <v>Office Supplies</v>
      </c>
      <c r="G15">
        <f>_xlfn.LET(
_xlpm.q,RawData!G15,
_xlpm.u,RawData!H15,
_xlpm.d,RawData!I15,
_xlpm.r,RawData!J15,
IF(AND(ISNUMBER(_xlpm.q),_xlpm.q&gt;0),_xlpm.q,
   IF(AND(ISNUMBER(_xlpm.r),ISNUMBER(_xlpm.u),_xlpm.u&gt;0,ISNUMBER(_xlpm.d),_xlpm.d&gt;=0,_xlpm.d&lt;1),
      ROUND(_xlpm.r/(_xlpm.u*(1-_xlpm.d)),0),
      ""
   )
)
)</f>
        <v>3</v>
      </c>
      <c r="H15" s="4">
        <f>_xlfn.LET(
_xlpm.q,RawData!G15,
_xlpm.u,RawData!H15,
_xlpm.d,RawData!I15,
_xlpm.r,RawData!J15,
IF(AND(ISNUMBER(_xlpm.u),_xlpm.u&gt;0),_xlpm.u,
   IF(AND(ISNUMBER(_xlpm.q),_xlpm.q&gt;0,ISNUMBER(_xlpm.r),ISNUMBER(_xlpm.d),_xlpm.d&gt;=0,_xlpm.d&lt;1),
      _xlpm.r/(_xlpm.q*(1-_xlpm.d)),
      ""
   )
)
)</f>
        <v>10.92</v>
      </c>
      <c r="I15" s="5">
        <f>_xlfn.LET(
_xlpm.q,RawData!G15,
_xlpm.u,RawData!H15,
_xlpm.d,RawData!I15,
_xlpm.r,RawData!J15,
IF(AND(ISNUMBER(_xlpm.d),_xlpm.d&gt;=0,_xlpm.d&lt;1),_xlpm.d,
   IF(AND(ISNUMBER(_xlpm.q),_xlpm.q&gt;0,ISNUMBER(_xlpm.u),_xlpm.u&gt;0,ISNUMBER(_xlpm.r),_xlpm.r&gt;=0),
      1-(_xlpm.r/(_xlpm.q*_xlpm.u)),
      ""
   )
)
)</f>
        <v>0.15</v>
      </c>
      <c r="J15" s="4">
        <f>_xlfn.LET(
_xlpm.q,RawData!G15,
_xlpm.u,RawData!H15,
_xlpm.d,RawData!I15,
_xlpm.r,RawData!J15,
IF(AND(ISNUMBER(_xlpm.r),_xlpm.r&gt;=0),_xlpm.r,
   IF(AND(ISNUMBER(_xlpm.q),_xlpm.q&gt;0,ISNUMBER(_xlpm.u),_xlpm.u&gt;0,ISNUMBER(_xlpm.d),_xlpm.d&gt;=0,_xlpm.d&lt;1),
      _xlpm.q*_xlpm.u*(1-_xlpm.d),
      ""
   )
)
)</f>
        <v>27.85</v>
      </c>
      <c r="K15" s="4">
        <f>_xlfn.LET(
_xlpm.c,RawData!K15,
_xlpm.r,RawData!J15,
_xlpm.p,RawData!L15,
IF(AND(ISNUMBER(_xlpm.c),_xlpm.c&gt;=0),_xlpm.c,
   IF(AND(ISNUMBER(_xlpm.r),ISNUMBER(_xlpm.p)),
      _xlpm.r-_xlpm.p,
      ""
   )
)
)</f>
        <v>19.18</v>
      </c>
      <c r="L15" s="4">
        <f>_xlfn.LET(
_xlpm.p,RawData!L15,
_xlpm.r,RawData!J15,
_xlpm.c,RawData!K15,
IF(ISNUMBER(_xlpm.p),_xlpm.p,
IF(AND(ISNUMBER(_xlpm.r),ISNUMBER(_xlpm.c)),
_xlpm.r-_xlpm.c,
""
)
))</f>
        <v>8.67</v>
      </c>
    </row>
    <row r="16" spans="1:12" x14ac:dyDescent="0.35">
      <c r="A16" t="s">
        <v>42</v>
      </c>
      <c r="B16" s="7">
        <v>45783</v>
      </c>
      <c r="C16" t="str">
        <f>IF(RawData!C16="","Unknown",PROPER(TRIM(CLEAN(SUBSTITUTE(RawData!C16,CHAR(160)," ")))))</f>
        <v>South</v>
      </c>
      <c r="D16" t="str">
        <f>IF(RawData!D16="","Unknown",PROPER(TRIM(CLEAN(SUBSTITUTE(RawData!D16,CHAR(160)," ")))))</f>
        <v>Bengaluru</v>
      </c>
      <c r="E16" t="str">
        <f>IF(RawData!E16="","Unknown",PROPER(TRIM(CLEAN(SUBSTITUTE(RawData!E16,CHAR(160)," ")))))</f>
        <v>Printer</v>
      </c>
      <c r="F16" t="str">
        <f>IF(RawData!F16="","Unknown",PROPER(TRIM(CLEAN(SUBSTITUTE(RawData!F16,CHAR(160)," ")))))</f>
        <v>Office Supplies</v>
      </c>
      <c r="G16">
        <f>_xlfn.LET(
_xlpm.q,RawData!G16,
_xlpm.u,RawData!H16,
_xlpm.d,RawData!I16,
_xlpm.r,RawData!J16,
IF(AND(ISNUMBER(_xlpm.q),_xlpm.q&gt;0),_xlpm.q,
   IF(AND(ISNUMBER(_xlpm.r),ISNUMBER(_xlpm.u),_xlpm.u&gt;0,ISNUMBER(_xlpm.d),_xlpm.d&gt;=0,_xlpm.d&lt;1),
      ROUND(_xlpm.r/(_xlpm.u*(1-_xlpm.d)),0),
      ""
   )
)
)</f>
        <v>7</v>
      </c>
      <c r="H16" s="4">
        <f>_xlfn.LET(
_xlpm.q,RawData!G16,
_xlpm.u,RawData!H16,
_xlpm.d,RawData!I16,
_xlpm.r,RawData!J16,
IF(AND(ISNUMBER(_xlpm.u),_xlpm.u&gt;0),_xlpm.u,
   IF(AND(ISNUMBER(_xlpm.q),_xlpm.q&gt;0,ISNUMBER(_xlpm.r),ISNUMBER(_xlpm.d),_xlpm.d&gt;=0,_xlpm.d&lt;1),
      _xlpm.r/(_xlpm.q*(1-_xlpm.d)),
      ""
   )
)
)</f>
        <v>164.44</v>
      </c>
      <c r="I16" s="5">
        <f>_xlfn.LET(
_xlpm.q,RawData!G16,
_xlpm.u,RawData!H16,
_xlpm.d,RawData!I16,
_xlpm.r,RawData!J16,
IF(AND(ISNUMBER(_xlpm.d),_xlpm.d&gt;=0,_xlpm.d&lt;1),_xlpm.d,
   IF(AND(ISNUMBER(_xlpm.q),_xlpm.q&gt;0,ISNUMBER(_xlpm.u),_xlpm.u&gt;0,ISNUMBER(_xlpm.r),_xlpm.r&gt;=0),
      1-(_xlpm.r/(_xlpm.q*_xlpm.u)),
      ""
   )
)
)</f>
        <v>0.05</v>
      </c>
      <c r="J16" s="4">
        <f>_xlfn.LET(
_xlpm.q,RawData!G16,
_xlpm.u,RawData!H16,
_xlpm.d,RawData!I16,
_xlpm.r,RawData!J16,
IF(AND(ISNUMBER(_xlpm.r),_xlpm.r&gt;=0),_xlpm.r,
   IF(AND(ISNUMBER(_xlpm.q),_xlpm.q&gt;0,ISNUMBER(_xlpm.u),_xlpm.u&gt;0,ISNUMBER(_xlpm.d),_xlpm.d&gt;=0,_xlpm.d&lt;1),
      _xlpm.q*_xlpm.u*(1-_xlpm.d),
      ""
   )
)
)</f>
        <v>1093.53</v>
      </c>
      <c r="K16" s="4">
        <f>_xlfn.LET(
_xlpm.c,RawData!K16,
_xlpm.r,RawData!J16,
_xlpm.p,RawData!L16,
IF(AND(ISNUMBER(_xlpm.c),_xlpm.c&gt;=0),_xlpm.c,
   IF(AND(ISNUMBER(_xlpm.r),ISNUMBER(_xlpm.p)),
      _xlpm.r-_xlpm.p,
      ""
   )
)
)</f>
        <v>615.16</v>
      </c>
      <c r="L16" s="4">
        <f>_xlfn.LET(
_xlpm.p,RawData!L16,
_xlpm.r,RawData!J16,
_xlpm.c,RawData!K16,
IF(ISNUMBER(_xlpm.p),_xlpm.p,
IF(AND(ISNUMBER(_xlpm.r),ISNUMBER(_xlpm.c)),
_xlpm.r-_xlpm.c,
""
)
))</f>
        <v>478.37</v>
      </c>
    </row>
    <row r="17" spans="1:12" x14ac:dyDescent="0.35">
      <c r="A17" t="s">
        <v>43</v>
      </c>
      <c r="B17" s="7">
        <v>46010</v>
      </c>
      <c r="C17" t="str">
        <f>IF(RawData!C17="","Unknown",PROPER(TRIM(CLEAN(SUBSTITUTE(RawData!C17,CHAR(160)," ")))))</f>
        <v>South</v>
      </c>
      <c r="D17" t="str">
        <f>IF(RawData!D17="","Unknown",PROPER(TRIM(CLEAN(SUBSTITUTE(RawData!D17,CHAR(160)," ")))))</f>
        <v>Hyderabad</v>
      </c>
      <c r="E17" t="str">
        <f>IF(RawData!E17="","Unknown",PROPER(TRIM(CLEAN(SUBSTITUTE(RawData!E17,CHAR(160)," ")))))</f>
        <v>Backpack</v>
      </c>
      <c r="F17" t="str">
        <f>IF(RawData!F17="","Unknown",PROPER(TRIM(CLEAN(SUBSTITUTE(RawData!F17,CHAR(160)," ")))))</f>
        <v>Accessories</v>
      </c>
      <c r="G17">
        <f>_xlfn.LET(
_xlpm.q,RawData!G17,
_xlpm.u,RawData!H17,
_xlpm.d,RawData!I17,
_xlpm.r,RawData!J17,
IF(AND(ISNUMBER(_xlpm.q),_xlpm.q&gt;0),_xlpm.q,
   IF(AND(ISNUMBER(_xlpm.r),ISNUMBER(_xlpm.u),_xlpm.u&gt;0,ISNUMBER(_xlpm.d),_xlpm.d&gt;=0,_xlpm.d&lt;1),
      ROUND(_xlpm.r/(_xlpm.u*(1-_xlpm.d)),0),
      ""
   )
)
)</f>
        <v>6</v>
      </c>
      <c r="H17" s="4">
        <f>_xlfn.LET(
_xlpm.q,RawData!G17,
_xlpm.u,RawData!H17,
_xlpm.d,RawData!I17,
_xlpm.r,RawData!J17,
IF(AND(ISNUMBER(_xlpm.u),_xlpm.u&gt;0),_xlpm.u,
   IF(AND(ISNUMBER(_xlpm.q),_xlpm.q&gt;0,ISNUMBER(_xlpm.r),ISNUMBER(_xlpm.d),_xlpm.d&gt;=0,_xlpm.d&lt;1),
      _xlpm.r/(_xlpm.q*(1-_xlpm.d)),
      ""
   )
)
)</f>
        <v>46.45</v>
      </c>
      <c r="I17" s="5">
        <f>_xlfn.LET(
_xlpm.q,RawData!G17,
_xlpm.u,RawData!H17,
_xlpm.d,RawData!I17,
_xlpm.r,RawData!J17,
IF(AND(ISNUMBER(_xlpm.d),_xlpm.d&gt;=0,_xlpm.d&lt;1),_xlpm.d,
   IF(AND(ISNUMBER(_xlpm.q),_xlpm.q&gt;0,ISNUMBER(_xlpm.u),_xlpm.u&gt;0,ISNUMBER(_xlpm.r),_xlpm.r&gt;=0),
      1-(_xlpm.r/(_xlpm.q*_xlpm.u)),
      ""
   )
)
)</f>
        <v>0</v>
      </c>
      <c r="J17" s="4">
        <f>_xlfn.LET(
_xlpm.q,RawData!G17,
_xlpm.u,RawData!H17,
_xlpm.d,RawData!I17,
_xlpm.r,RawData!J17,
IF(AND(ISNUMBER(_xlpm.r),_xlpm.r&gt;=0),_xlpm.r,
   IF(AND(ISNUMBER(_xlpm.q),_xlpm.q&gt;0,ISNUMBER(_xlpm.u),_xlpm.u&gt;0,ISNUMBER(_xlpm.d),_xlpm.d&gt;=0,_xlpm.d&lt;1),
      _xlpm.q*_xlpm.u*(1-_xlpm.d),
      ""
   )
)
)</f>
        <v>278.7</v>
      </c>
      <c r="K17" s="4">
        <f>_xlfn.LET(
_xlpm.c,RawData!K17,
_xlpm.r,RawData!J17,
_xlpm.p,RawData!L17,
IF(AND(ISNUMBER(_xlpm.c),_xlpm.c&gt;=0),_xlpm.c,
   IF(AND(ISNUMBER(_xlpm.r),ISNUMBER(_xlpm.p)),
      _xlpm.r-_xlpm.p,
      ""
   )
)
)</f>
        <v>166.12</v>
      </c>
      <c r="L17" s="4">
        <f>_xlfn.LET(
_xlpm.p,RawData!L17,
_xlpm.r,RawData!J17,
_xlpm.c,RawData!K17,
IF(ISNUMBER(_xlpm.p),_xlpm.p,
IF(AND(ISNUMBER(_xlpm.r),ISNUMBER(_xlpm.c)),
_xlpm.r-_xlpm.c,
""
)
))</f>
        <v>112.58</v>
      </c>
    </row>
    <row r="18" spans="1:12" x14ac:dyDescent="0.35">
      <c r="A18" t="s">
        <v>44</v>
      </c>
      <c r="B18" s="7">
        <v>45674</v>
      </c>
      <c r="C18" t="str">
        <f>IF(RawData!C18="","Unknown",PROPER(TRIM(CLEAN(SUBSTITUTE(RawData!C18,CHAR(160)," ")))))</f>
        <v>East</v>
      </c>
      <c r="D18" t="str">
        <f>IF(RawData!D18="","Unknown",PROPER(TRIM(CLEAN(SUBSTITUTE(RawData!D18,CHAR(160)," ")))))</f>
        <v>Kolkata</v>
      </c>
      <c r="E18" t="str">
        <f>IF(RawData!E18="","Unknown",PROPER(TRIM(CLEAN(SUBSTITUTE(RawData!E18,CHAR(160)," ")))))</f>
        <v>Bookshelf</v>
      </c>
      <c r="F18" t="str">
        <f>IF(RawData!F18="","Unknown",PROPER(TRIM(CLEAN(SUBSTITUTE(RawData!F18,CHAR(160)," ")))))</f>
        <v>Furniture</v>
      </c>
      <c r="G18">
        <f>_xlfn.LET(
_xlpm.q,RawData!G18,
_xlpm.u,RawData!H18,
_xlpm.d,RawData!I18,
_xlpm.r,RawData!J18,
IF(AND(ISNUMBER(_xlpm.q),_xlpm.q&gt;0),_xlpm.q,
   IF(AND(ISNUMBER(_xlpm.r),ISNUMBER(_xlpm.u),_xlpm.u&gt;0,ISNUMBER(_xlpm.d),_xlpm.d&gt;=0,_xlpm.d&lt;1),
      ROUND(_xlpm.r/(_xlpm.u*(1-_xlpm.d)),0),
      ""
   )
)
)</f>
        <v>5</v>
      </c>
      <c r="H18" s="4">
        <f>_xlfn.LET(
_xlpm.q,RawData!G18,
_xlpm.u,RawData!H18,
_xlpm.d,RawData!I18,
_xlpm.r,RawData!J18,
IF(AND(ISNUMBER(_xlpm.u),_xlpm.u&gt;0),_xlpm.u,
   IF(AND(ISNUMBER(_xlpm.q),_xlpm.q&gt;0,ISNUMBER(_xlpm.r),ISNUMBER(_xlpm.d),_xlpm.d&gt;=0,_xlpm.d&lt;1),
      _xlpm.r/(_xlpm.q*(1-_xlpm.d)),
      ""
   )
)
)</f>
        <v>121.73</v>
      </c>
      <c r="I18" s="5">
        <f>_xlfn.LET(
_xlpm.q,RawData!G18,
_xlpm.u,RawData!H18,
_xlpm.d,RawData!I18,
_xlpm.r,RawData!J18,
IF(AND(ISNUMBER(_xlpm.d),_xlpm.d&gt;=0,_xlpm.d&lt;1),_xlpm.d,
   IF(AND(ISNUMBER(_xlpm.q),_xlpm.q&gt;0,ISNUMBER(_xlpm.u),_xlpm.u&gt;0,ISNUMBER(_xlpm.r),_xlpm.r&gt;=0),
      1-(_xlpm.r/(_xlpm.q*_xlpm.u)),
      ""
   )
)
)</f>
        <v>0</v>
      </c>
      <c r="J18" s="4">
        <f>_xlfn.LET(
_xlpm.q,RawData!G18,
_xlpm.u,RawData!H18,
_xlpm.d,RawData!I18,
_xlpm.r,RawData!J18,
IF(AND(ISNUMBER(_xlpm.r),_xlpm.r&gt;=0),_xlpm.r,
   IF(AND(ISNUMBER(_xlpm.q),_xlpm.q&gt;0,ISNUMBER(_xlpm.u),_xlpm.u&gt;0,ISNUMBER(_xlpm.d),_xlpm.d&gt;=0,_xlpm.d&lt;1),
      _xlpm.q*_xlpm.u*(1-_xlpm.d),
      ""
   )
)
)</f>
        <v>608.65</v>
      </c>
      <c r="K18" s="4">
        <f>_xlfn.LET(
_xlpm.c,RawData!K18,
_xlpm.r,RawData!J18,
_xlpm.p,RawData!L18,
IF(AND(ISNUMBER(_xlpm.c),_xlpm.c&gt;=0),_xlpm.c,
   IF(AND(ISNUMBER(_xlpm.r),ISNUMBER(_xlpm.p)),
      _xlpm.r-_xlpm.p,
      ""
   )
)
)</f>
        <v>490.69</v>
      </c>
      <c r="L18" s="4">
        <f>_xlfn.LET(
_xlpm.p,RawData!L18,
_xlpm.r,RawData!J18,
_xlpm.c,RawData!K18,
IF(ISNUMBER(_xlpm.p),_xlpm.p,
IF(AND(ISNUMBER(_xlpm.r),ISNUMBER(_xlpm.c)),
_xlpm.r-_xlpm.c,
""
)
))</f>
        <v>117.96</v>
      </c>
    </row>
    <row r="19" spans="1:12" x14ac:dyDescent="0.35">
      <c r="A19" t="s">
        <v>45</v>
      </c>
      <c r="B19" s="7">
        <v>45948</v>
      </c>
      <c r="C19" t="str">
        <f>IF(RawData!C19="","Unknown",PROPER(TRIM(CLEAN(SUBSTITUTE(RawData!C19,CHAR(160)," ")))))</f>
        <v>East</v>
      </c>
      <c r="D19" t="str">
        <f>IF(RawData!D19="","Unknown",PROPER(TRIM(CLEAN(SUBSTITUTE(RawData!D19,CHAR(160)," ")))))</f>
        <v>Patna</v>
      </c>
      <c r="E19" t="str">
        <f>IF(RawData!E19="","Unknown",PROPER(TRIM(CLEAN(SUBSTITUTE(RawData!E19,CHAR(160)," ")))))</f>
        <v>Monitor</v>
      </c>
      <c r="F19" t="str">
        <f>IF(RawData!F19="","Unknown",PROPER(TRIM(CLEAN(SUBSTITUTE(RawData!F19,CHAR(160)," ")))))</f>
        <v>Electronics</v>
      </c>
      <c r="G19">
        <f>_xlfn.LET(
_xlpm.q,RawData!G19,
_xlpm.u,RawData!H19,
_xlpm.d,RawData!I19,
_xlpm.r,RawData!J19,
IF(AND(ISNUMBER(_xlpm.q),_xlpm.q&gt;0),_xlpm.q,
   IF(AND(ISNUMBER(_xlpm.r),ISNUMBER(_xlpm.u),_xlpm.u&gt;0,ISNUMBER(_xlpm.d),_xlpm.d&gt;=0,_xlpm.d&lt;1),
      ROUND(_xlpm.r/(_xlpm.u*(1-_xlpm.d)),0),
      ""
   )
)
)</f>
        <v>8</v>
      </c>
      <c r="H19" s="4">
        <f>_xlfn.LET(
_xlpm.q,RawData!G19,
_xlpm.u,RawData!H19,
_xlpm.d,RawData!I19,
_xlpm.r,RawData!J19,
IF(AND(ISNUMBER(_xlpm.u),_xlpm.u&gt;0),_xlpm.u,
   IF(AND(ISNUMBER(_xlpm.q),_xlpm.q&gt;0,ISNUMBER(_xlpm.r),ISNUMBER(_xlpm.d),_xlpm.d&gt;=0,_xlpm.d&lt;1),
      _xlpm.r/(_xlpm.q*(1-_xlpm.d)),
      ""
   )
)
)</f>
        <v>250.73</v>
      </c>
      <c r="I19" s="5">
        <f>_xlfn.LET(
_xlpm.q,RawData!G19,
_xlpm.u,RawData!H19,
_xlpm.d,RawData!I19,
_xlpm.r,RawData!J19,
IF(AND(ISNUMBER(_xlpm.d),_xlpm.d&gt;=0,_xlpm.d&lt;1),_xlpm.d,
   IF(AND(ISNUMBER(_xlpm.q),_xlpm.q&gt;0,ISNUMBER(_xlpm.u),_xlpm.u&gt;0,ISNUMBER(_xlpm.r),_xlpm.r&gt;=0),
      1-(_xlpm.r/(_xlpm.q*_xlpm.u)),
      ""
   )
)
)</f>
        <v>0.1</v>
      </c>
      <c r="J19" s="4">
        <f>_xlfn.LET(
_xlpm.q,RawData!G19,
_xlpm.u,RawData!H19,
_xlpm.d,RawData!I19,
_xlpm.r,RawData!J19,
IF(AND(ISNUMBER(_xlpm.r),_xlpm.r&gt;=0),_xlpm.r,
   IF(AND(ISNUMBER(_xlpm.q),_xlpm.q&gt;0,ISNUMBER(_xlpm.u),_xlpm.u&gt;0,ISNUMBER(_xlpm.d),_xlpm.d&gt;=0,_xlpm.d&lt;1),
      _xlpm.q*_xlpm.u*(1-_xlpm.d),
      ""
   )
)
)</f>
        <v>1805.26</v>
      </c>
      <c r="K19" s="4">
        <f>_xlfn.LET(
_xlpm.c,RawData!K19,
_xlpm.r,RawData!J19,
_xlpm.p,RawData!L19,
IF(AND(ISNUMBER(_xlpm.c),_xlpm.c&gt;=0),_xlpm.c,
   IF(AND(ISNUMBER(_xlpm.r),ISNUMBER(_xlpm.p)),
      _xlpm.r-_xlpm.p,
      ""
   )
)
)</f>
        <v>1386.92</v>
      </c>
      <c r="L19" s="4">
        <f>_xlfn.LET(
_xlpm.p,RawData!L19,
_xlpm.r,RawData!J19,
_xlpm.c,RawData!K19,
IF(ISNUMBER(_xlpm.p),_xlpm.p,
IF(AND(ISNUMBER(_xlpm.r),ISNUMBER(_xlpm.c)),
_xlpm.r-_xlpm.c,
""
)
))</f>
        <v>418.34</v>
      </c>
    </row>
    <row r="20" spans="1:12" x14ac:dyDescent="0.35">
      <c r="A20" t="s">
        <v>47</v>
      </c>
      <c r="B20" s="7">
        <v>45892</v>
      </c>
      <c r="C20" t="str">
        <f>IF(RawData!C20="","Unknown",PROPER(TRIM(CLEAN(SUBSTITUTE(RawData!C20,CHAR(160)," ")))))</f>
        <v>South</v>
      </c>
      <c r="D20" t="str">
        <f>IF(RawData!D20="","Unknown",PROPER(TRIM(CLEAN(SUBSTITUTE(RawData!D20,CHAR(160)," ")))))</f>
        <v>Bengaluru</v>
      </c>
      <c r="E20" t="str">
        <f>IF(RawData!E20="","Unknown",PROPER(TRIM(CLEAN(SUBSTITUTE(RawData!E20,CHAR(160)," ")))))</f>
        <v>Office Chair</v>
      </c>
      <c r="F20" t="str">
        <f>IF(RawData!F20="","Unknown",PROPER(TRIM(CLEAN(SUBSTITUTE(RawData!F20,CHAR(160)," ")))))</f>
        <v>Furniture</v>
      </c>
      <c r="G20">
        <f>_xlfn.LET(
_xlpm.q,RawData!G20,
_xlpm.u,RawData!H20,
_xlpm.d,RawData!I20,
_xlpm.r,RawData!J20,
IF(AND(ISNUMBER(_xlpm.q),_xlpm.q&gt;0),_xlpm.q,
   IF(AND(ISNUMBER(_xlpm.r),ISNUMBER(_xlpm.u),_xlpm.u&gt;0,ISNUMBER(_xlpm.d),_xlpm.d&gt;=0,_xlpm.d&lt;1),
      ROUND(_xlpm.r/(_xlpm.u*(1-_xlpm.d)),0),
      ""
   )
)
)</f>
        <v>3</v>
      </c>
      <c r="H20" s="4">
        <f>_xlfn.LET(
_xlpm.q,RawData!G20,
_xlpm.u,RawData!H20,
_xlpm.d,RawData!I20,
_xlpm.r,RawData!J20,
IF(AND(ISNUMBER(_xlpm.u),_xlpm.u&gt;0),_xlpm.u,
   IF(AND(ISNUMBER(_xlpm.q),_xlpm.q&gt;0,ISNUMBER(_xlpm.r),ISNUMBER(_xlpm.d),_xlpm.d&gt;=0,_xlpm.d&lt;1),
      _xlpm.r/(_xlpm.q*(1-_xlpm.d)),
      ""
   )
)
)</f>
        <v>169.45</v>
      </c>
      <c r="I20" s="5">
        <f>_xlfn.LET(
_xlpm.q,RawData!G20,
_xlpm.u,RawData!H20,
_xlpm.d,RawData!I20,
_xlpm.r,RawData!J20,
IF(AND(ISNUMBER(_xlpm.d),_xlpm.d&gt;=0,_xlpm.d&lt;1),_xlpm.d,
   IF(AND(ISNUMBER(_xlpm.q),_xlpm.q&gt;0,ISNUMBER(_xlpm.u),_xlpm.u&gt;0,ISNUMBER(_xlpm.r),_xlpm.r&gt;=0),
      1-(_xlpm.r/(_xlpm.q*_xlpm.u)),
      ""
   )
)
)</f>
        <v>0.02</v>
      </c>
      <c r="J20" s="4">
        <f>_xlfn.LET(
_xlpm.q,RawData!G20,
_xlpm.u,RawData!H20,
_xlpm.d,RawData!I20,
_xlpm.r,RawData!J20,
IF(AND(ISNUMBER(_xlpm.r),_xlpm.r&gt;=0),_xlpm.r,
   IF(AND(ISNUMBER(_xlpm.q),_xlpm.q&gt;0,ISNUMBER(_xlpm.u),_xlpm.u&gt;0,ISNUMBER(_xlpm.d),_xlpm.d&gt;=0,_xlpm.d&lt;1),
      _xlpm.q*_xlpm.u*(1-_xlpm.d),
      ""
   )
)
)</f>
        <v>498.18</v>
      </c>
      <c r="K20" s="4">
        <f>_xlfn.LET(
_xlpm.c,RawData!K20,
_xlpm.r,RawData!J20,
_xlpm.p,RawData!L20,
IF(AND(ISNUMBER(_xlpm.c),_xlpm.c&gt;=0),_xlpm.c,
   IF(AND(ISNUMBER(_xlpm.r),ISNUMBER(_xlpm.p)),
      _xlpm.r-_xlpm.p,
      ""
   )
)
)</f>
        <v>287.14</v>
      </c>
      <c r="L20" s="4">
        <f>_xlfn.LET(
_xlpm.p,RawData!L20,
_xlpm.r,RawData!J20,
_xlpm.c,RawData!K20,
IF(ISNUMBER(_xlpm.p),_xlpm.p,
IF(AND(ISNUMBER(_xlpm.r),ISNUMBER(_xlpm.c)),
_xlpm.r-_xlpm.c,
""
)
))</f>
        <v>211.04</v>
      </c>
    </row>
    <row r="21" spans="1:12" x14ac:dyDescent="0.35">
      <c r="A21" t="s">
        <v>48</v>
      </c>
      <c r="B21" s="7">
        <v>45945</v>
      </c>
      <c r="C21" t="str">
        <f>IF(RawData!C21="","Unknown",PROPER(TRIM(CLEAN(SUBSTITUTE(RawData!C21,CHAR(160)," ")))))</f>
        <v>East</v>
      </c>
      <c r="D21" t="str">
        <f>IF(RawData!D21="","Unknown",PROPER(TRIM(CLEAN(SUBSTITUTE(RawData!D21,CHAR(160)," ")))))</f>
        <v>Patna</v>
      </c>
      <c r="E21" t="str">
        <f>IF(RawData!E21="","Unknown",PROPER(TRIM(CLEAN(SUBSTITUTE(RawData!E21,CHAR(160)," ")))))</f>
        <v>Smartphone</v>
      </c>
      <c r="F21" t="str">
        <f>IF(RawData!F21="","Unknown",PROPER(TRIM(CLEAN(SUBSTITUTE(RawData!F21,CHAR(160)," ")))))</f>
        <v>Accessories</v>
      </c>
      <c r="G21">
        <f>_xlfn.LET(
_xlpm.q,RawData!G21,
_xlpm.u,RawData!H21,
_xlpm.d,RawData!I21,
_xlpm.r,RawData!J21,
IF(AND(ISNUMBER(_xlpm.q),_xlpm.q&gt;0),_xlpm.q,
   IF(AND(ISNUMBER(_xlpm.r),ISNUMBER(_xlpm.u),_xlpm.u&gt;0,ISNUMBER(_xlpm.d),_xlpm.d&gt;=0,_xlpm.d&lt;1),
      ROUND(_xlpm.r/(_xlpm.u*(1-_xlpm.d)),0),
      ""
   )
)
)</f>
        <v>10</v>
      </c>
      <c r="H21" s="4">
        <f>_xlfn.LET(
_xlpm.q,RawData!G21,
_xlpm.u,RawData!H21,
_xlpm.d,RawData!I21,
_xlpm.r,RawData!J21,
IF(AND(ISNUMBER(_xlpm.u),_xlpm.u&gt;0),_xlpm.u,
   IF(AND(ISNUMBER(_xlpm.q),_xlpm.q&gt;0,ISNUMBER(_xlpm.r),ISNUMBER(_xlpm.d),_xlpm.d&gt;=0,_xlpm.d&lt;1),
      _xlpm.r/(_xlpm.q*(1-_xlpm.d)),
      ""
   )
)
)</f>
        <v>36.93</v>
      </c>
      <c r="I21" s="5">
        <f>_xlfn.LET(
_xlpm.q,RawData!G21,
_xlpm.u,RawData!H21,
_xlpm.d,RawData!I21,
_xlpm.r,RawData!J21,
IF(AND(ISNUMBER(_xlpm.d),_xlpm.d&gt;=0,_xlpm.d&lt;1),_xlpm.d,
   IF(AND(ISNUMBER(_xlpm.q),_xlpm.q&gt;0,ISNUMBER(_xlpm.u),_xlpm.u&gt;0,ISNUMBER(_xlpm.r),_xlpm.r&gt;=0),
      1-(_xlpm.r/(_xlpm.q*_xlpm.u)),
      ""
   )
)
)</f>
        <v>0.1</v>
      </c>
      <c r="J21" s="4">
        <f>_xlfn.LET(
_xlpm.q,RawData!G21,
_xlpm.u,RawData!H21,
_xlpm.d,RawData!I21,
_xlpm.r,RawData!J21,
IF(AND(ISNUMBER(_xlpm.r),_xlpm.r&gt;=0),_xlpm.r,
   IF(AND(ISNUMBER(_xlpm.q),_xlpm.q&gt;0,ISNUMBER(_xlpm.u),_xlpm.u&gt;0,ISNUMBER(_xlpm.d),_xlpm.d&gt;=0,_xlpm.d&lt;1),
      _xlpm.q*_xlpm.u*(1-_xlpm.d),
      ""
   )
)
)</f>
        <v>332.37</v>
      </c>
      <c r="K21" s="4">
        <f>_xlfn.LET(
_xlpm.c,RawData!K21,
_xlpm.r,RawData!J21,
_xlpm.p,RawData!L21,
IF(AND(ISNUMBER(_xlpm.c),_xlpm.c&gt;=0),_xlpm.c,
   IF(AND(ISNUMBER(_xlpm.r),ISNUMBER(_xlpm.p)),
      _xlpm.r-_xlpm.p,
      ""
   )
)
)</f>
        <v>222.3</v>
      </c>
      <c r="L21" s="4">
        <f>_xlfn.LET(
_xlpm.p,RawData!L21,
_xlpm.r,RawData!J21,
_xlpm.c,RawData!K21,
IF(ISNUMBER(_xlpm.p),_xlpm.p,
IF(AND(ISNUMBER(_xlpm.r),ISNUMBER(_xlpm.c)),
_xlpm.r-_xlpm.c,
""
)
))</f>
        <v>110.07</v>
      </c>
    </row>
    <row r="22" spans="1:12" x14ac:dyDescent="0.35">
      <c r="A22" t="s">
        <v>50</v>
      </c>
      <c r="B22" s="7">
        <v>45862</v>
      </c>
      <c r="C22" t="str">
        <f>IF(RawData!C22="","Unknown",PROPER(TRIM(CLEAN(SUBSTITUTE(RawData!C22,CHAR(160)," ")))))</f>
        <v>East</v>
      </c>
      <c r="D22" t="str">
        <f>IF(RawData!D22="","Unknown",PROPER(TRIM(CLEAN(SUBSTITUTE(RawData!D22,CHAR(160)," ")))))</f>
        <v>Bhubaneswar</v>
      </c>
      <c r="E22" t="str">
        <f>IF(RawData!E22="","Unknown",PROPER(TRIM(CLEAN(SUBSTITUTE(RawData!E22,CHAR(160)," ")))))</f>
        <v>Monitor</v>
      </c>
      <c r="F22" t="str">
        <f>IF(RawData!F22="","Unknown",PROPER(TRIM(CLEAN(SUBSTITUTE(RawData!F22,CHAR(160)," ")))))</f>
        <v>Electronics</v>
      </c>
      <c r="G22">
        <f>_xlfn.LET(
_xlpm.q,RawData!G22,
_xlpm.u,RawData!H22,
_xlpm.d,RawData!I22,
_xlpm.r,RawData!J22,
IF(AND(ISNUMBER(_xlpm.q),_xlpm.q&gt;0),_xlpm.q,
   IF(AND(ISNUMBER(_xlpm.r),ISNUMBER(_xlpm.u),_xlpm.u&gt;0,ISNUMBER(_xlpm.d),_xlpm.d&gt;=0,_xlpm.d&lt;1),
      ROUND(_xlpm.r/(_xlpm.u*(1-_xlpm.d)),0),
      ""
   )
)
)</f>
        <v>3</v>
      </c>
      <c r="H22" s="4">
        <f>_xlfn.LET(
_xlpm.q,RawData!G22,
_xlpm.u,RawData!H22,
_xlpm.d,RawData!I22,
_xlpm.r,RawData!J22,
IF(AND(ISNUMBER(_xlpm.u),_xlpm.u&gt;0),_xlpm.u,
   IF(AND(ISNUMBER(_xlpm.q),_xlpm.q&gt;0,ISNUMBER(_xlpm.r),ISNUMBER(_xlpm.d),_xlpm.d&gt;=0,_xlpm.d&lt;1),
      _xlpm.r/(_xlpm.q*(1-_xlpm.d)),
      ""
   )
)
)</f>
        <v>195.05</v>
      </c>
      <c r="I22" s="5">
        <f>_xlfn.LET(
_xlpm.q,RawData!G22,
_xlpm.u,RawData!H22,
_xlpm.d,RawData!I22,
_xlpm.r,RawData!J22,
IF(AND(ISNUMBER(_xlpm.d),_xlpm.d&gt;=0,_xlpm.d&lt;1),_xlpm.d,
   IF(AND(ISNUMBER(_xlpm.q),_xlpm.q&gt;0,ISNUMBER(_xlpm.u),_xlpm.u&gt;0,ISNUMBER(_xlpm.r),_xlpm.r&gt;=0),
      1-(_xlpm.r/(_xlpm.q*_xlpm.u)),
      ""
   )
)
)</f>
        <v>0.15</v>
      </c>
      <c r="J22" s="4">
        <f>_xlfn.LET(
_xlpm.q,RawData!G22,
_xlpm.u,RawData!H22,
_xlpm.d,RawData!I22,
_xlpm.r,RawData!J22,
IF(AND(ISNUMBER(_xlpm.r),_xlpm.r&gt;=0),_xlpm.r,
   IF(AND(ISNUMBER(_xlpm.q),_xlpm.q&gt;0,ISNUMBER(_xlpm.u),_xlpm.u&gt;0,ISNUMBER(_xlpm.d),_xlpm.d&gt;=0,_xlpm.d&lt;1),
      _xlpm.q*_xlpm.u*(1-_xlpm.d),
      ""
   )
)
)</f>
        <v>497.38</v>
      </c>
      <c r="K22" s="4">
        <f>_xlfn.LET(
_xlpm.c,RawData!K22,
_xlpm.r,RawData!J22,
_xlpm.p,RawData!L22,
IF(AND(ISNUMBER(_xlpm.c),_xlpm.c&gt;=0),_xlpm.c,
   IF(AND(ISNUMBER(_xlpm.r),ISNUMBER(_xlpm.p)),
      _xlpm.r-_xlpm.p,
      ""
   )
)
)</f>
        <v>340.06</v>
      </c>
      <c r="L22" s="4">
        <f>_xlfn.LET(
_xlpm.p,RawData!L22,
_xlpm.r,RawData!J22,
_xlpm.c,RawData!K22,
IF(ISNUMBER(_xlpm.p),_xlpm.p,
IF(AND(ISNUMBER(_xlpm.r),ISNUMBER(_xlpm.c)),
_xlpm.r-_xlpm.c,
""
)
))</f>
        <v>157.32</v>
      </c>
    </row>
    <row r="23" spans="1:12" x14ac:dyDescent="0.35">
      <c r="A23" t="s">
        <v>51</v>
      </c>
      <c r="B23" s="7">
        <v>45704</v>
      </c>
      <c r="C23" t="str">
        <f>IF(RawData!C23="","Unknown",PROPER(TRIM(CLEAN(SUBSTITUTE(RawData!C23,CHAR(160)," ")))))</f>
        <v>North</v>
      </c>
      <c r="D23" t="str">
        <f>IF(RawData!D23="","Unknown",PROPER(TRIM(CLEAN(SUBSTITUTE(RawData!D23,CHAR(160)," ")))))</f>
        <v>Delhi</v>
      </c>
      <c r="E23" t="str">
        <f>IF(RawData!E23="","Unknown",PROPER(TRIM(CLEAN(SUBSTITUTE(RawData!E23,CHAR(160)," ")))))</f>
        <v>Smartphone</v>
      </c>
      <c r="F23" t="str">
        <f>IF(RawData!F23="","Unknown",PROPER(TRIM(CLEAN(SUBSTITUTE(RawData!F23,CHAR(160)," ")))))</f>
        <v>Electronics</v>
      </c>
      <c r="G23">
        <f>_xlfn.LET(
_xlpm.q,RawData!G23,
_xlpm.u,RawData!H23,
_xlpm.d,RawData!I23,
_xlpm.r,RawData!J23,
IF(AND(ISNUMBER(_xlpm.q),_xlpm.q&gt;0),_xlpm.q,
   IF(AND(ISNUMBER(_xlpm.r),ISNUMBER(_xlpm.u),_xlpm.u&gt;0,ISNUMBER(_xlpm.d),_xlpm.d&gt;=0,_xlpm.d&lt;1),
      ROUND(_xlpm.r/(_xlpm.u*(1-_xlpm.d)),0),
      ""
   )
)
)</f>
        <v>3</v>
      </c>
      <c r="H23" s="4">
        <f>_xlfn.LET(
_xlpm.q,RawData!G23,
_xlpm.u,RawData!H23,
_xlpm.d,RawData!I23,
_xlpm.r,RawData!J23,
IF(AND(ISNUMBER(_xlpm.u),_xlpm.u&gt;0),_xlpm.u,
   IF(AND(ISNUMBER(_xlpm.q),_xlpm.q&gt;0,ISNUMBER(_xlpm.r),ISNUMBER(_xlpm.d),_xlpm.d&gt;=0,_xlpm.d&lt;1),
      _xlpm.r/(_xlpm.q*(1-_xlpm.d)),
      ""
   )
)
)</f>
        <v>473.17</v>
      </c>
      <c r="I23" s="5">
        <f>_xlfn.LET(
_xlpm.q,RawData!G23,
_xlpm.u,RawData!H23,
_xlpm.d,RawData!I23,
_xlpm.r,RawData!J23,
IF(AND(ISNUMBER(_xlpm.d),_xlpm.d&gt;=0,_xlpm.d&lt;1),_xlpm.d,
   IF(AND(ISNUMBER(_xlpm.q),_xlpm.q&gt;0,ISNUMBER(_xlpm.u),_xlpm.u&gt;0,ISNUMBER(_xlpm.r),_xlpm.r&gt;=0),
      1-(_xlpm.r/(_xlpm.q*_xlpm.u)),
      ""
   )
)
)</f>
        <v>0.2</v>
      </c>
      <c r="J23" s="4">
        <f>_xlfn.LET(
_xlpm.q,RawData!G23,
_xlpm.u,RawData!H23,
_xlpm.d,RawData!I23,
_xlpm.r,RawData!J23,
IF(AND(ISNUMBER(_xlpm.r),_xlpm.r&gt;=0),_xlpm.r,
   IF(AND(ISNUMBER(_xlpm.q),_xlpm.q&gt;0,ISNUMBER(_xlpm.u),_xlpm.u&gt;0,ISNUMBER(_xlpm.d),_xlpm.d&gt;=0,_xlpm.d&lt;1),
      _xlpm.q*_xlpm.u*(1-_xlpm.d),
      ""
   )
)
)</f>
        <v>1135.6099999999999</v>
      </c>
      <c r="K23" s="4">
        <f>_xlfn.LET(
_xlpm.c,RawData!K23,
_xlpm.r,RawData!J23,
_xlpm.p,RawData!L23,
IF(AND(ISNUMBER(_xlpm.c),_xlpm.c&gt;=0),_xlpm.c,
   IF(AND(ISNUMBER(_xlpm.r),ISNUMBER(_xlpm.p)),
      _xlpm.r-_xlpm.p,
      ""
   )
)
)</f>
        <v>903.4</v>
      </c>
      <c r="L23" s="4">
        <f>_xlfn.LET(
_xlpm.p,RawData!L23,
_xlpm.r,RawData!J23,
_xlpm.c,RawData!K23,
IF(ISNUMBER(_xlpm.p),_xlpm.p,
IF(AND(ISNUMBER(_xlpm.r),ISNUMBER(_xlpm.c)),
_xlpm.r-_xlpm.c,
""
)
))</f>
        <v>232.21</v>
      </c>
    </row>
    <row r="24" spans="1:12" x14ac:dyDescent="0.35">
      <c r="A24" t="s">
        <v>53</v>
      </c>
      <c r="B24" s="7">
        <v>46006</v>
      </c>
      <c r="C24" t="str">
        <f>IF(RawData!C24="","Unknown",PROPER(TRIM(CLEAN(SUBSTITUTE(RawData!C24,CHAR(160)," ")))))</f>
        <v>West</v>
      </c>
      <c r="D24" t="str">
        <f>IF(RawData!D24="","Unknown",PROPER(TRIM(CLEAN(SUBSTITUTE(RawData!D24,CHAR(160)," ")))))</f>
        <v>Pune</v>
      </c>
      <c r="E24" t="str">
        <f>IF(RawData!E24="","Unknown",PROPER(TRIM(CLEAN(SUBSTITUTE(RawData!E24,CHAR(160)," ")))))</f>
        <v>Pen Set</v>
      </c>
      <c r="F24" t="str">
        <f>IF(RawData!F24="","Unknown",PROPER(TRIM(CLEAN(SUBSTITUTE(RawData!F24,CHAR(160)," ")))))</f>
        <v>Office Supplies</v>
      </c>
      <c r="G24">
        <f>_xlfn.LET(
_xlpm.q,RawData!G24,
_xlpm.u,RawData!H24,
_xlpm.d,RawData!I24,
_xlpm.r,RawData!J24,
IF(AND(ISNUMBER(_xlpm.q),_xlpm.q&gt;0),_xlpm.q,
   IF(AND(ISNUMBER(_xlpm.r),ISNUMBER(_xlpm.u),_xlpm.u&gt;0,ISNUMBER(_xlpm.d),_xlpm.d&gt;=0,_xlpm.d&lt;1),
      ROUND(_xlpm.r/(_xlpm.u*(1-_xlpm.d)),0),
      ""
   )
)
)</f>
        <v>2</v>
      </c>
      <c r="H24" s="4">
        <f>_xlfn.LET(
_xlpm.q,RawData!G24,
_xlpm.u,RawData!H24,
_xlpm.d,RawData!I24,
_xlpm.r,RawData!J24,
IF(AND(ISNUMBER(_xlpm.u),_xlpm.u&gt;0),_xlpm.u,
   IF(AND(ISNUMBER(_xlpm.q),_xlpm.q&gt;0,ISNUMBER(_xlpm.r),ISNUMBER(_xlpm.d),_xlpm.d&gt;=0,_xlpm.d&lt;1),
      _xlpm.r/(_xlpm.q*(1-_xlpm.d)),
      ""
   )
)
)</f>
        <v>11.13</v>
      </c>
      <c r="I24" s="5">
        <f>_xlfn.LET(
_xlpm.q,RawData!G24,
_xlpm.u,RawData!H24,
_xlpm.d,RawData!I24,
_xlpm.r,RawData!J24,
IF(AND(ISNUMBER(_xlpm.d),_xlpm.d&gt;=0,_xlpm.d&lt;1),_xlpm.d,
   IF(AND(ISNUMBER(_xlpm.q),_xlpm.q&gt;0,ISNUMBER(_xlpm.u),_xlpm.u&gt;0,ISNUMBER(_xlpm.r),_xlpm.r&gt;=0),
      1-(_xlpm.r/(_xlpm.q*_xlpm.u)),
      ""
   )
)
)</f>
        <v>0.1</v>
      </c>
      <c r="J24" s="4">
        <f>_xlfn.LET(
_xlpm.q,RawData!G24,
_xlpm.u,RawData!H24,
_xlpm.d,RawData!I24,
_xlpm.r,RawData!J24,
IF(AND(ISNUMBER(_xlpm.r),_xlpm.r&gt;=0),_xlpm.r,
   IF(AND(ISNUMBER(_xlpm.q),_xlpm.q&gt;0,ISNUMBER(_xlpm.u),_xlpm.u&gt;0,ISNUMBER(_xlpm.d),_xlpm.d&gt;=0,_xlpm.d&lt;1),
      _xlpm.q*_xlpm.u*(1-_xlpm.d),
      ""
   )
)
)</f>
        <v>20.03</v>
      </c>
      <c r="K24" s="4">
        <f>_xlfn.LET(
_xlpm.c,RawData!K24,
_xlpm.r,RawData!J24,
_xlpm.p,RawData!L24,
IF(AND(ISNUMBER(_xlpm.c),_xlpm.c&gt;=0),_xlpm.c,
   IF(AND(ISNUMBER(_xlpm.r),ISNUMBER(_xlpm.p)),
      _xlpm.r-_xlpm.p,
      ""
   )
)
)</f>
        <v>14.6</v>
      </c>
      <c r="L24" s="4">
        <f>_xlfn.LET(
_xlpm.p,RawData!L24,
_xlpm.r,RawData!J24,
_xlpm.c,RawData!K24,
IF(ISNUMBER(_xlpm.p),_xlpm.p,
IF(AND(ISNUMBER(_xlpm.r),ISNUMBER(_xlpm.c)),
_xlpm.r-_xlpm.c,
""
)
))</f>
        <v>5.43</v>
      </c>
    </row>
    <row r="25" spans="1:12" x14ac:dyDescent="0.35">
      <c r="A25" t="s">
        <v>54</v>
      </c>
      <c r="B25" s="7">
        <v>45963</v>
      </c>
      <c r="C25" t="str">
        <f>IF(RawData!C25="","Unknown",PROPER(TRIM(CLEAN(SUBSTITUTE(RawData!C25,CHAR(160)," ")))))</f>
        <v>West</v>
      </c>
      <c r="D25" t="str">
        <f>IF(RawData!D25="","Unknown",PROPER(TRIM(CLEAN(SUBSTITUTE(RawData!D25,CHAR(160)," ")))))</f>
        <v>Mumbai</v>
      </c>
      <c r="E25" t="str">
        <f>IF(RawData!E25="","Unknown",PROPER(TRIM(CLEAN(SUBSTITUTE(RawData!E25,CHAR(160)," ")))))</f>
        <v>Notebook</v>
      </c>
      <c r="F25" t="str">
        <f>IF(RawData!F25="","Unknown",PROPER(TRIM(CLEAN(SUBSTITUTE(RawData!F25,CHAR(160)," ")))))</f>
        <v>Office Supplies</v>
      </c>
      <c r="G25">
        <f>_xlfn.LET(
_xlpm.q,RawData!G25,
_xlpm.u,RawData!H25,
_xlpm.d,RawData!I25,
_xlpm.r,RawData!J25,
IF(AND(ISNUMBER(_xlpm.q),_xlpm.q&gt;0),_xlpm.q,
   IF(AND(ISNUMBER(_xlpm.r),ISNUMBER(_xlpm.u),_xlpm.u&gt;0,ISNUMBER(_xlpm.d),_xlpm.d&gt;=0,_xlpm.d&lt;1),
      ROUND(_xlpm.r/(_xlpm.u*(1-_xlpm.d)),0),
      ""
   )
)
)</f>
        <v>5</v>
      </c>
      <c r="H25" s="4">
        <f>_xlfn.LET(
_xlpm.q,RawData!G25,
_xlpm.u,RawData!H25,
_xlpm.d,RawData!I25,
_xlpm.r,RawData!J25,
IF(AND(ISNUMBER(_xlpm.u),_xlpm.u&gt;0),_xlpm.u,
   IF(AND(ISNUMBER(_xlpm.q),_xlpm.q&gt;0,ISNUMBER(_xlpm.r),ISNUMBER(_xlpm.d),_xlpm.d&gt;=0,_xlpm.d&lt;1),
      _xlpm.r/(_xlpm.q*(1-_xlpm.d)),
      ""
   )
)
)</f>
        <v>7.55</v>
      </c>
      <c r="I25" s="5">
        <f>_xlfn.LET(
_xlpm.q,RawData!G25,
_xlpm.u,RawData!H25,
_xlpm.d,RawData!I25,
_xlpm.r,RawData!J25,
IF(AND(ISNUMBER(_xlpm.d),_xlpm.d&gt;=0,_xlpm.d&lt;1),_xlpm.d,
   IF(AND(ISNUMBER(_xlpm.q),_xlpm.q&gt;0,ISNUMBER(_xlpm.u),_xlpm.u&gt;0,ISNUMBER(_xlpm.r),_xlpm.r&gt;=0),
      1-(_xlpm.r/(_xlpm.q*_xlpm.u)),
      ""
   )
)
)</f>
        <v>0.15</v>
      </c>
      <c r="J25" s="4">
        <f>_xlfn.LET(
_xlpm.q,RawData!G25,
_xlpm.u,RawData!H25,
_xlpm.d,RawData!I25,
_xlpm.r,RawData!J25,
IF(AND(ISNUMBER(_xlpm.r),_xlpm.r&gt;=0),_xlpm.r,
   IF(AND(ISNUMBER(_xlpm.q),_xlpm.q&gt;0,ISNUMBER(_xlpm.u),_xlpm.u&gt;0,ISNUMBER(_xlpm.d),_xlpm.d&gt;=0,_xlpm.d&lt;1),
      _xlpm.q*_xlpm.u*(1-_xlpm.d),
      ""
   )
)
)</f>
        <v>32.090000000000003</v>
      </c>
      <c r="K25" s="4">
        <f>_xlfn.LET(
_xlpm.c,RawData!K25,
_xlpm.r,RawData!J25,
_xlpm.p,RawData!L25,
IF(AND(ISNUMBER(_xlpm.c),_xlpm.c&gt;=0),_xlpm.c,
   IF(AND(ISNUMBER(_xlpm.r),ISNUMBER(_xlpm.p)),
      _xlpm.r-_xlpm.p,
      ""
   )
)
)</f>
        <v>22.16</v>
      </c>
      <c r="L25" s="4">
        <f>_xlfn.LET(
_xlpm.p,RawData!L25,
_xlpm.r,RawData!J25,
_xlpm.c,RawData!K25,
IF(ISNUMBER(_xlpm.p),_xlpm.p,
IF(AND(ISNUMBER(_xlpm.r),ISNUMBER(_xlpm.c)),
_xlpm.r-_xlpm.c,
""
)
))</f>
        <v>9.93</v>
      </c>
    </row>
    <row r="26" spans="1:12" x14ac:dyDescent="0.35">
      <c r="A26" t="s">
        <v>56</v>
      </c>
      <c r="B26" s="7">
        <v>46006</v>
      </c>
      <c r="C26" t="str">
        <f>IF(RawData!C26="","Unknown",PROPER(TRIM(CLEAN(SUBSTITUTE(RawData!C26,CHAR(160)," ")))))</f>
        <v>North</v>
      </c>
      <c r="D26" t="str">
        <f>IF(RawData!D26="","Unknown",PROPER(TRIM(CLEAN(SUBSTITUTE(RawData!D26,CHAR(160)," ")))))</f>
        <v>Lucknow</v>
      </c>
      <c r="E26" t="str">
        <f>IF(RawData!E26="","Unknown",PROPER(TRIM(CLEAN(SUBSTITUTE(RawData!E26,CHAR(160)," ")))))</f>
        <v>Backpack</v>
      </c>
      <c r="F26" t="str">
        <f>IF(RawData!F26="","Unknown",PROPER(TRIM(CLEAN(SUBSTITUTE(RawData!F26,CHAR(160)," ")))))</f>
        <v>Accessories</v>
      </c>
      <c r="G26">
        <f>_xlfn.LET(
_xlpm.q,RawData!G26,
_xlpm.u,RawData!H26,
_xlpm.d,RawData!I26,
_xlpm.r,RawData!J26,
IF(AND(ISNUMBER(_xlpm.q),_xlpm.q&gt;0),_xlpm.q,
   IF(AND(ISNUMBER(_xlpm.r),ISNUMBER(_xlpm.u),_xlpm.u&gt;0,ISNUMBER(_xlpm.d),_xlpm.d&gt;=0,_xlpm.d&lt;1),
      ROUND(_xlpm.r/(_xlpm.u*(1-_xlpm.d)),0),
      ""
   )
)
)</f>
        <v>9</v>
      </c>
      <c r="H26" s="4">
        <f>_xlfn.LET(
_xlpm.q,RawData!G26,
_xlpm.u,RawData!H26,
_xlpm.d,RawData!I26,
_xlpm.r,RawData!J26,
IF(AND(ISNUMBER(_xlpm.u),_xlpm.u&gt;0),_xlpm.u,
   IF(AND(ISNUMBER(_xlpm.q),_xlpm.q&gt;0,ISNUMBER(_xlpm.r),ISNUMBER(_xlpm.d),_xlpm.d&gt;=0,_xlpm.d&lt;1),
      _xlpm.r/(_xlpm.q*(1-_xlpm.d)),
      ""
   )
)
)</f>
        <v>45.63</v>
      </c>
      <c r="I26" s="5">
        <f>_xlfn.LET(
_xlpm.q,RawData!G26,
_xlpm.u,RawData!H26,
_xlpm.d,RawData!I26,
_xlpm.r,RawData!J26,
IF(AND(ISNUMBER(_xlpm.d),_xlpm.d&gt;=0,_xlpm.d&lt;1),_xlpm.d,
   IF(AND(ISNUMBER(_xlpm.q),_xlpm.q&gt;0,ISNUMBER(_xlpm.u),_xlpm.u&gt;0,ISNUMBER(_xlpm.r),_xlpm.r&gt;=0),
      1-(_xlpm.r/(_xlpm.q*_xlpm.u)),
      ""
   )
)
)</f>
        <v>0.05</v>
      </c>
      <c r="J26" s="4">
        <f>_xlfn.LET(
_xlpm.q,RawData!G26,
_xlpm.u,RawData!H26,
_xlpm.d,RawData!I26,
_xlpm.r,RawData!J26,
IF(AND(ISNUMBER(_xlpm.r),_xlpm.r&gt;=0),_xlpm.r,
   IF(AND(ISNUMBER(_xlpm.q),_xlpm.q&gt;0,ISNUMBER(_xlpm.u),_xlpm.u&gt;0,ISNUMBER(_xlpm.d),_xlpm.d&gt;=0,_xlpm.d&lt;1),
      _xlpm.q*_xlpm.u*(1-_xlpm.d),
      ""
   )
)
)</f>
        <v>390.14</v>
      </c>
      <c r="K26" s="4">
        <f>_xlfn.LET(
_xlpm.c,RawData!K26,
_xlpm.r,RawData!J26,
_xlpm.p,RawData!L26,
IF(AND(ISNUMBER(_xlpm.c),_xlpm.c&gt;=0),_xlpm.c,
   IF(AND(ISNUMBER(_xlpm.r),ISNUMBER(_xlpm.p)),
      _xlpm.r-_xlpm.p,
      ""
   )
)
)</f>
        <v>234.05</v>
      </c>
      <c r="L26" s="4">
        <f>_xlfn.LET(
_xlpm.p,RawData!L26,
_xlpm.r,RawData!J26,
_xlpm.c,RawData!K26,
IF(ISNUMBER(_xlpm.p),_xlpm.p,
IF(AND(ISNUMBER(_xlpm.r),ISNUMBER(_xlpm.c)),
_xlpm.r-_xlpm.c,
""
)
))</f>
        <v>156.09</v>
      </c>
    </row>
    <row r="27" spans="1:12" x14ac:dyDescent="0.35">
      <c r="A27" t="s">
        <v>57</v>
      </c>
      <c r="B27" s="7">
        <v>45832</v>
      </c>
      <c r="C27" t="str">
        <f>IF(RawData!C27="","Unknown",PROPER(TRIM(CLEAN(SUBSTITUTE(RawData!C27,CHAR(160)," ")))))</f>
        <v>North</v>
      </c>
      <c r="D27" t="str">
        <f>IF(RawData!D27="","Unknown",PROPER(TRIM(CLEAN(SUBSTITUTE(RawData!D27,CHAR(160)," ")))))</f>
        <v>Jaipur</v>
      </c>
      <c r="E27" t="str">
        <f>IF(RawData!E27="","Unknown",PROPER(TRIM(CLEAN(SUBSTITUTE(RawData!E27,CHAR(160)," ")))))</f>
        <v>Office Chair</v>
      </c>
      <c r="F27" t="str">
        <f>IF(RawData!F27="","Unknown",PROPER(TRIM(CLEAN(SUBSTITUTE(RawData!F27,CHAR(160)," ")))))</f>
        <v>Furniture</v>
      </c>
      <c r="G27">
        <f>_xlfn.LET(
_xlpm.q,RawData!G27,
_xlpm.u,RawData!H27,
_xlpm.d,RawData!I27,
_xlpm.r,RawData!J27,
IF(AND(ISNUMBER(_xlpm.q),_xlpm.q&gt;0),_xlpm.q,
   IF(AND(ISNUMBER(_xlpm.r),ISNUMBER(_xlpm.u),_xlpm.u&gt;0,ISNUMBER(_xlpm.d),_xlpm.d&gt;=0,_xlpm.d&lt;1),
      ROUND(_xlpm.r/(_xlpm.u*(1-_xlpm.d)),0),
      ""
   )
)
)</f>
        <v>7</v>
      </c>
      <c r="H27" s="4">
        <f>_xlfn.LET(
_xlpm.q,RawData!G27,
_xlpm.u,RawData!H27,
_xlpm.d,RawData!I27,
_xlpm.r,RawData!J27,
IF(AND(ISNUMBER(_xlpm.u),_xlpm.u&gt;0),_xlpm.u,
   IF(AND(ISNUMBER(_xlpm.q),_xlpm.q&gt;0,ISNUMBER(_xlpm.r),ISNUMBER(_xlpm.d),_xlpm.d&gt;=0,_xlpm.d&lt;1),
      _xlpm.r/(_xlpm.q*(1-_xlpm.d)),
      ""
   )
)
)</f>
        <v>205.36</v>
      </c>
      <c r="I27" s="5">
        <f>_xlfn.LET(
_xlpm.q,RawData!G27,
_xlpm.u,RawData!H27,
_xlpm.d,RawData!I27,
_xlpm.r,RawData!J27,
IF(AND(ISNUMBER(_xlpm.d),_xlpm.d&gt;=0,_xlpm.d&lt;1),_xlpm.d,
   IF(AND(ISNUMBER(_xlpm.q),_xlpm.q&gt;0,ISNUMBER(_xlpm.u),_xlpm.u&gt;0,ISNUMBER(_xlpm.r),_xlpm.r&gt;=0),
      1-(_xlpm.r/(_xlpm.q*_xlpm.u)),
      ""
   )
)
)</f>
        <v>0.02</v>
      </c>
      <c r="J27" s="4">
        <f>_xlfn.LET(
_xlpm.q,RawData!G27,
_xlpm.u,RawData!H27,
_xlpm.d,RawData!I27,
_xlpm.r,RawData!J27,
IF(AND(ISNUMBER(_xlpm.r),_xlpm.r&gt;=0),_xlpm.r,
   IF(AND(ISNUMBER(_xlpm.q),_xlpm.q&gt;0,ISNUMBER(_xlpm.u),_xlpm.u&gt;0,ISNUMBER(_xlpm.d),_xlpm.d&gt;=0,_xlpm.d&lt;1),
      _xlpm.q*_xlpm.u*(1-_xlpm.d),
      ""
   )
)
)</f>
        <v>1408.77</v>
      </c>
      <c r="K27" s="4">
        <f>_xlfn.LET(
_xlpm.c,RawData!K27,
_xlpm.r,RawData!J27,
_xlpm.p,RawData!L27,
IF(AND(ISNUMBER(_xlpm.c),_xlpm.c&gt;=0),_xlpm.c,
   IF(AND(ISNUMBER(_xlpm.r),ISNUMBER(_xlpm.p)),
      _xlpm.r-_xlpm.p,
      ""
   )
)
)</f>
        <v>1069.6600000000001</v>
      </c>
      <c r="L27" s="4">
        <f>_xlfn.LET(
_xlpm.p,RawData!L27,
_xlpm.r,RawData!J27,
_xlpm.c,RawData!K27,
IF(ISNUMBER(_xlpm.p),_xlpm.p,
IF(AND(ISNUMBER(_xlpm.r),ISNUMBER(_xlpm.c)),
_xlpm.r-_xlpm.c,
""
)
))</f>
        <v>339.11</v>
      </c>
    </row>
    <row r="28" spans="1:12" x14ac:dyDescent="0.35">
      <c r="A28" t="s">
        <v>58</v>
      </c>
      <c r="B28" s="7">
        <v>45659</v>
      </c>
      <c r="C28" t="str">
        <f>IF(RawData!C28="","Unknown",PROPER(TRIM(CLEAN(SUBSTITUTE(RawData!C28,CHAR(160)," ")))))</f>
        <v>East</v>
      </c>
      <c r="D28" t="str">
        <f>IF(RawData!D28="","Unknown",PROPER(TRIM(CLEAN(SUBSTITUTE(RawData!D28,CHAR(160)," ")))))</f>
        <v>Kolkata</v>
      </c>
      <c r="E28" t="str">
        <f>IF(RawData!E28="","Unknown",PROPER(TRIM(CLEAN(SUBSTITUTE(RawData!E28,CHAR(160)," ")))))</f>
        <v>Notebook</v>
      </c>
      <c r="F28" t="str">
        <f>IF(RawData!F28="","Unknown",PROPER(TRIM(CLEAN(SUBSTITUTE(RawData!F28,CHAR(160)," ")))))</f>
        <v>Office Supplies</v>
      </c>
      <c r="G28">
        <f>_xlfn.LET(
_xlpm.q,RawData!G28,
_xlpm.u,RawData!H28,
_xlpm.d,RawData!I28,
_xlpm.r,RawData!J28,
IF(AND(ISNUMBER(_xlpm.q),_xlpm.q&gt;0),_xlpm.q,
   IF(AND(ISNUMBER(_xlpm.r),ISNUMBER(_xlpm.u),_xlpm.u&gt;0,ISNUMBER(_xlpm.d),_xlpm.d&gt;=0,_xlpm.d&lt;1),
      ROUND(_xlpm.r/(_xlpm.u*(1-_xlpm.d)),0),
      ""
   )
)
)</f>
        <v>3</v>
      </c>
      <c r="H28" s="4">
        <f>_xlfn.LET(
_xlpm.q,RawData!G28,
_xlpm.u,RawData!H28,
_xlpm.d,RawData!I28,
_xlpm.r,RawData!J28,
IF(AND(ISNUMBER(_xlpm.u),_xlpm.u&gt;0),_xlpm.u,
   IF(AND(ISNUMBER(_xlpm.q),_xlpm.q&gt;0,ISNUMBER(_xlpm.r),ISNUMBER(_xlpm.d),_xlpm.d&gt;=0,_xlpm.d&lt;1),
      _xlpm.r/(_xlpm.q*(1-_xlpm.d)),
      ""
   )
)
)</f>
        <v>9.0500000000000007</v>
      </c>
      <c r="I28" s="5">
        <f>_xlfn.LET(
_xlpm.q,RawData!G28,
_xlpm.u,RawData!H28,
_xlpm.d,RawData!I28,
_xlpm.r,RawData!J28,
IF(AND(ISNUMBER(_xlpm.d),_xlpm.d&gt;=0,_xlpm.d&lt;1),_xlpm.d,
   IF(AND(ISNUMBER(_xlpm.q),_xlpm.q&gt;0,ISNUMBER(_xlpm.u),_xlpm.u&gt;0,ISNUMBER(_xlpm.r),_xlpm.r&gt;=0),
      1-(_xlpm.r/(_xlpm.q*_xlpm.u)),
      ""
   )
)
)</f>
        <v>0.15</v>
      </c>
      <c r="J28" s="4">
        <f>_xlfn.LET(
_xlpm.q,RawData!G28,
_xlpm.u,RawData!H28,
_xlpm.d,RawData!I28,
_xlpm.r,RawData!J28,
IF(AND(ISNUMBER(_xlpm.r),_xlpm.r&gt;=0),_xlpm.r,
   IF(AND(ISNUMBER(_xlpm.q),_xlpm.q&gt;0,ISNUMBER(_xlpm.u),_xlpm.u&gt;0,ISNUMBER(_xlpm.d),_xlpm.d&gt;=0,_xlpm.d&lt;1),
      _xlpm.q*_xlpm.u*(1-_xlpm.d),
      ""
   )
)
)</f>
        <v>23.08</v>
      </c>
      <c r="K28" s="4">
        <f>_xlfn.LET(
_xlpm.c,RawData!K28,
_xlpm.r,RawData!J28,
_xlpm.p,RawData!L28,
IF(AND(ISNUMBER(_xlpm.c),_xlpm.c&gt;=0),_xlpm.c,
   IF(AND(ISNUMBER(_xlpm.r),ISNUMBER(_xlpm.p)),
      _xlpm.r-_xlpm.p,
      ""
   )
)
)</f>
        <v>18.27</v>
      </c>
      <c r="L28" s="4">
        <f>_xlfn.LET(
_xlpm.p,RawData!L28,
_xlpm.r,RawData!J28,
_xlpm.c,RawData!K28,
IF(ISNUMBER(_xlpm.p),_xlpm.p,
IF(AND(ISNUMBER(_xlpm.r),ISNUMBER(_xlpm.c)),
_xlpm.r-_xlpm.c,
""
)
))</f>
        <v>4.8099999999999996</v>
      </c>
    </row>
    <row r="29" spans="1:12" x14ac:dyDescent="0.35">
      <c r="A29" t="s">
        <v>59</v>
      </c>
      <c r="B29" s="7">
        <v>45978</v>
      </c>
      <c r="C29" t="str">
        <f>IF(RawData!C29="","Unknown",PROPER(TRIM(CLEAN(SUBSTITUTE(RawData!C29,CHAR(160)," ")))))</f>
        <v>East</v>
      </c>
      <c r="D29" t="str">
        <f>IF(RawData!D29="","Unknown",PROPER(TRIM(CLEAN(SUBSTITUTE(RawData!D29,CHAR(160)," ")))))</f>
        <v>Kolkata</v>
      </c>
      <c r="E29" t="str">
        <f>IF(RawData!E29="","Unknown",PROPER(TRIM(CLEAN(SUBSTITUTE(RawData!E29,CHAR(160)," ")))))</f>
        <v>Backpack</v>
      </c>
      <c r="F29" t="str">
        <f>IF(RawData!F29="","Unknown",PROPER(TRIM(CLEAN(SUBSTITUTE(RawData!F29,CHAR(160)," ")))))</f>
        <v>Accessories</v>
      </c>
      <c r="G29">
        <f>_xlfn.LET(
_xlpm.q,RawData!G29,
_xlpm.u,RawData!H29,
_xlpm.d,RawData!I29,
_xlpm.r,RawData!J29,
IF(AND(ISNUMBER(_xlpm.q),_xlpm.q&gt;0),_xlpm.q,
   IF(AND(ISNUMBER(_xlpm.r),ISNUMBER(_xlpm.u),_xlpm.u&gt;0,ISNUMBER(_xlpm.d),_xlpm.d&gt;=0,_xlpm.d&lt;1),
      ROUND(_xlpm.r/(_xlpm.u*(1-_xlpm.d)),0),
      ""
   )
)
)</f>
        <v>9</v>
      </c>
      <c r="H29" s="4">
        <f>_xlfn.LET(
_xlpm.q,RawData!G29,
_xlpm.u,RawData!H29,
_xlpm.d,RawData!I29,
_xlpm.r,RawData!J29,
IF(AND(ISNUMBER(_xlpm.u),_xlpm.u&gt;0),_xlpm.u,
   IF(AND(ISNUMBER(_xlpm.q),_xlpm.q&gt;0,ISNUMBER(_xlpm.r),ISNUMBER(_xlpm.d),_xlpm.d&gt;=0,_xlpm.d&lt;1),
      _xlpm.r/(_xlpm.q*(1-_xlpm.d)),
      ""
   )
)
)</f>
        <v>46.32</v>
      </c>
      <c r="I29" s="5">
        <f>_xlfn.LET(
_xlpm.q,RawData!G29,
_xlpm.u,RawData!H29,
_xlpm.d,RawData!I29,
_xlpm.r,RawData!J29,
IF(AND(ISNUMBER(_xlpm.d),_xlpm.d&gt;=0,_xlpm.d&lt;1),_xlpm.d,
   IF(AND(ISNUMBER(_xlpm.q),_xlpm.q&gt;0,ISNUMBER(_xlpm.u),_xlpm.u&gt;0,ISNUMBER(_xlpm.r),_xlpm.r&gt;=0),
      1-(_xlpm.r/(_xlpm.q*_xlpm.u)),
      ""
   )
)
)</f>
        <v>0.15</v>
      </c>
      <c r="J29" s="4">
        <f>_xlfn.LET(
_xlpm.q,RawData!G29,
_xlpm.u,RawData!H29,
_xlpm.d,RawData!I29,
_xlpm.r,RawData!J29,
IF(AND(ISNUMBER(_xlpm.r),_xlpm.r&gt;=0),_xlpm.r,
   IF(AND(ISNUMBER(_xlpm.q),_xlpm.q&gt;0,ISNUMBER(_xlpm.u),_xlpm.u&gt;0,ISNUMBER(_xlpm.d),_xlpm.d&gt;=0,_xlpm.d&lt;1),
      _xlpm.q*_xlpm.u*(1-_xlpm.d),
      ""
   )
)
)</f>
        <v>354.35</v>
      </c>
      <c r="K29" s="4">
        <f>_xlfn.LET(
_xlpm.c,RawData!K29,
_xlpm.r,RawData!J29,
_xlpm.p,RawData!L29,
IF(AND(ISNUMBER(_xlpm.c),_xlpm.c&gt;=0),_xlpm.c,
   IF(AND(ISNUMBER(_xlpm.r),ISNUMBER(_xlpm.p)),
      _xlpm.r-_xlpm.p,
      ""
   )
)
)</f>
        <v>283.08999999999997</v>
      </c>
      <c r="L29" s="4">
        <f>_xlfn.LET(
_xlpm.p,RawData!L29,
_xlpm.r,RawData!J29,
_xlpm.c,RawData!K29,
IF(ISNUMBER(_xlpm.p),_xlpm.p,
IF(AND(ISNUMBER(_xlpm.r),ISNUMBER(_xlpm.c)),
_xlpm.r-_xlpm.c,
""
)
))</f>
        <v>71.260000000000005</v>
      </c>
    </row>
    <row r="30" spans="1:12" x14ac:dyDescent="0.35">
      <c r="A30" t="s">
        <v>60</v>
      </c>
      <c r="B30" s="7">
        <v>45736</v>
      </c>
      <c r="C30" t="str">
        <f>IF(RawData!C30="","Unknown",PROPER(TRIM(CLEAN(SUBSTITUTE(RawData!C30,CHAR(160)," ")))))</f>
        <v>East</v>
      </c>
      <c r="D30" t="str">
        <f>IF(RawData!D30="","Unknown",PROPER(TRIM(CLEAN(SUBSTITUTE(RawData!D30,CHAR(160)," ")))))</f>
        <v>Kolkata</v>
      </c>
      <c r="E30" t="str">
        <f>IF(RawData!E30="","Unknown",PROPER(TRIM(CLEAN(SUBSTITUTE(RawData!E30,CHAR(160)," ")))))</f>
        <v>Headphones</v>
      </c>
      <c r="F30" t="str">
        <f>IF(RawData!F30="","Unknown",PROPER(TRIM(CLEAN(SUBSTITUTE(RawData!F30,CHAR(160)," ")))))</f>
        <v>Electronics</v>
      </c>
      <c r="G30">
        <f>_xlfn.LET(
_xlpm.q,RawData!G30,
_xlpm.u,RawData!H30,
_xlpm.d,RawData!I30,
_xlpm.r,RawData!J30,
IF(AND(ISNUMBER(_xlpm.q),_xlpm.q&gt;0),_xlpm.q,
   IF(AND(ISNUMBER(_xlpm.r),ISNUMBER(_xlpm.u),_xlpm.u&gt;0,ISNUMBER(_xlpm.d),_xlpm.d&gt;=0,_xlpm.d&lt;1),
      ROUND(_xlpm.r/(_xlpm.u*(1-_xlpm.d)),0),
      ""
   )
)
)</f>
        <v>9</v>
      </c>
      <c r="H30" s="4">
        <f>_xlfn.LET(
_xlpm.q,RawData!G30,
_xlpm.u,RawData!H30,
_xlpm.d,RawData!I30,
_xlpm.r,RawData!J30,
IF(AND(ISNUMBER(_xlpm.u),_xlpm.u&gt;0),_xlpm.u,
   IF(AND(ISNUMBER(_xlpm.q),_xlpm.q&gt;0,ISNUMBER(_xlpm.r),ISNUMBER(_xlpm.d),_xlpm.d&gt;=0,_xlpm.d&lt;1),
      _xlpm.r/(_xlpm.q*(1-_xlpm.d)),
      ""
   )
)
)</f>
        <v>70.12</v>
      </c>
      <c r="I30" s="5">
        <f>_xlfn.LET(
_xlpm.q,RawData!G30,
_xlpm.u,RawData!H30,
_xlpm.d,RawData!I30,
_xlpm.r,RawData!J30,
IF(AND(ISNUMBER(_xlpm.d),_xlpm.d&gt;=0,_xlpm.d&lt;1),_xlpm.d,
   IF(AND(ISNUMBER(_xlpm.q),_xlpm.q&gt;0,ISNUMBER(_xlpm.u),_xlpm.u&gt;0,ISNUMBER(_xlpm.r),_xlpm.r&gt;=0),
      1-(_xlpm.r/(_xlpm.q*_xlpm.u)),
      ""
   )
)
)</f>
        <v>0.15</v>
      </c>
      <c r="J30" s="4">
        <f>_xlfn.LET(
_xlpm.q,RawData!G30,
_xlpm.u,RawData!H30,
_xlpm.d,RawData!I30,
_xlpm.r,RawData!J30,
IF(AND(ISNUMBER(_xlpm.r),_xlpm.r&gt;=0),_xlpm.r,
   IF(AND(ISNUMBER(_xlpm.q),_xlpm.q&gt;0,ISNUMBER(_xlpm.u),_xlpm.u&gt;0,ISNUMBER(_xlpm.d),_xlpm.d&gt;=0,_xlpm.d&lt;1),
      _xlpm.q*_xlpm.u*(1-_xlpm.d),
      ""
   )
)
)</f>
        <v>536.41999999999996</v>
      </c>
      <c r="K30" s="4">
        <f>_xlfn.LET(
_xlpm.c,RawData!K30,
_xlpm.r,RawData!J30,
_xlpm.p,RawData!L30,
IF(AND(ISNUMBER(_xlpm.c),_xlpm.c&gt;=0),_xlpm.c,
   IF(AND(ISNUMBER(_xlpm.r),ISNUMBER(_xlpm.p)),
      _xlpm.r-_xlpm.p,
      ""
   )
)
)</f>
        <v>323.42</v>
      </c>
      <c r="L30" s="4">
        <f>_xlfn.LET(
_xlpm.p,RawData!L30,
_xlpm.r,RawData!J30,
_xlpm.c,RawData!K30,
IF(ISNUMBER(_xlpm.p),_xlpm.p,
IF(AND(ISNUMBER(_xlpm.r),ISNUMBER(_xlpm.c)),
_xlpm.r-_xlpm.c,
""
)
))</f>
        <v>213</v>
      </c>
    </row>
    <row r="31" spans="1:12" x14ac:dyDescent="0.35">
      <c r="A31" t="s">
        <v>62</v>
      </c>
      <c r="B31" s="7">
        <v>45964</v>
      </c>
      <c r="C31" t="str">
        <f>IF(RawData!C31="","Unknown",PROPER(TRIM(CLEAN(SUBSTITUTE(RawData!C31,CHAR(160)," ")))))</f>
        <v>East</v>
      </c>
      <c r="D31" t="str">
        <f>IF(RawData!D31="","Unknown",PROPER(TRIM(CLEAN(SUBSTITUTE(RawData!D31,CHAR(160)," ")))))</f>
        <v>Bhubaneswar</v>
      </c>
      <c r="E31" t="str">
        <f>IF(RawData!E31="","Unknown",PROPER(TRIM(CLEAN(SUBSTITUTE(RawData!E31,CHAR(160)," ")))))</f>
        <v>Printer</v>
      </c>
      <c r="F31" t="str">
        <f>IF(RawData!F31="","Unknown",PROPER(TRIM(CLEAN(SUBSTITUTE(RawData!F31,CHAR(160)," ")))))</f>
        <v>Office Supplies</v>
      </c>
      <c r="G31">
        <f>_xlfn.LET(
_xlpm.q,RawData!G31,
_xlpm.u,RawData!H31,
_xlpm.d,RawData!I31,
_xlpm.r,RawData!J31,
IF(AND(ISNUMBER(_xlpm.q),_xlpm.q&gt;0),_xlpm.q,
   IF(AND(ISNUMBER(_xlpm.r),ISNUMBER(_xlpm.u),_xlpm.u&gt;0,ISNUMBER(_xlpm.d),_xlpm.d&gt;=0,_xlpm.d&lt;1),
      ROUND(_xlpm.r/(_xlpm.u*(1-_xlpm.d)),0),
      ""
   )
)
)</f>
        <v>1</v>
      </c>
      <c r="H31" s="4">
        <f>_xlfn.LET(
_xlpm.q,RawData!G31,
_xlpm.u,RawData!H31,
_xlpm.d,RawData!I31,
_xlpm.r,RawData!J31,
IF(AND(ISNUMBER(_xlpm.u),_xlpm.u&gt;0),_xlpm.u,
   IF(AND(ISNUMBER(_xlpm.q),_xlpm.q&gt;0,ISNUMBER(_xlpm.r),ISNUMBER(_xlpm.d),_xlpm.d&gt;=0,_xlpm.d&lt;1),
      _xlpm.r/(_xlpm.q*(1-_xlpm.d)),
      ""
   )
)
)</f>
        <v>138.16999999999999</v>
      </c>
      <c r="I31" s="5">
        <f>_xlfn.LET(
_xlpm.q,RawData!G31,
_xlpm.u,RawData!H31,
_xlpm.d,RawData!I31,
_xlpm.r,RawData!J31,
IF(AND(ISNUMBER(_xlpm.d),_xlpm.d&gt;=0,_xlpm.d&lt;1),_xlpm.d,
   IF(AND(ISNUMBER(_xlpm.q),_xlpm.q&gt;0,ISNUMBER(_xlpm.u),_xlpm.u&gt;0,ISNUMBER(_xlpm.r),_xlpm.r&gt;=0),
      1-(_xlpm.r/(_xlpm.q*_xlpm.u)),
      ""
   )
)
)</f>
        <v>0</v>
      </c>
      <c r="J31" s="4">
        <f>_xlfn.LET(
_xlpm.q,RawData!G31,
_xlpm.u,RawData!H31,
_xlpm.d,RawData!I31,
_xlpm.r,RawData!J31,
IF(AND(ISNUMBER(_xlpm.r),_xlpm.r&gt;=0),_xlpm.r,
   IF(AND(ISNUMBER(_xlpm.q),_xlpm.q&gt;0,ISNUMBER(_xlpm.u),_xlpm.u&gt;0,ISNUMBER(_xlpm.d),_xlpm.d&gt;=0,_xlpm.d&lt;1),
      _xlpm.q*_xlpm.u*(1-_xlpm.d),
      ""
   )
)
)</f>
        <v>138.16999999999999</v>
      </c>
      <c r="K31" s="4">
        <f>_xlfn.LET(
_xlpm.c,RawData!K31,
_xlpm.r,RawData!J31,
_xlpm.p,RawData!L31,
IF(AND(ISNUMBER(_xlpm.c),_xlpm.c&gt;=0),_xlpm.c,
   IF(AND(ISNUMBER(_xlpm.r),ISNUMBER(_xlpm.p)),
      _xlpm.r-_xlpm.p,
      ""
   )
)
)</f>
        <v>88.13</v>
      </c>
      <c r="L31" s="4">
        <f>_xlfn.LET(
_xlpm.p,RawData!L31,
_xlpm.r,RawData!J31,
_xlpm.c,RawData!K31,
IF(ISNUMBER(_xlpm.p),_xlpm.p,
IF(AND(ISNUMBER(_xlpm.r),ISNUMBER(_xlpm.c)),
_xlpm.r-_xlpm.c,
""
)
))</f>
        <v>50.04</v>
      </c>
    </row>
    <row r="32" spans="1:12" x14ac:dyDescent="0.35">
      <c r="A32" t="s">
        <v>63</v>
      </c>
      <c r="B32" s="7">
        <v>45815</v>
      </c>
      <c r="C32" t="str">
        <f>IF(RawData!C32="","Unknown",PROPER(TRIM(CLEAN(SUBSTITUTE(RawData!C32,CHAR(160)," ")))))</f>
        <v>South</v>
      </c>
      <c r="D32" t="str">
        <f>IF(RawData!D32="","Unknown",PROPER(TRIM(CLEAN(SUBSTITUTE(RawData!D32,CHAR(160)," ")))))</f>
        <v>Hyderabad</v>
      </c>
      <c r="E32" t="str">
        <f>IF(RawData!E32="","Unknown",PROPER(TRIM(CLEAN(SUBSTITUTE(RawData!E32,CHAR(160)," ")))))</f>
        <v>Laptop</v>
      </c>
      <c r="F32" t="str">
        <f>IF(RawData!F32="","Unknown",PROPER(TRIM(CLEAN(SUBSTITUTE(RawData!F32,CHAR(160)," ")))))</f>
        <v>Electronics</v>
      </c>
      <c r="G32">
        <f>_xlfn.LET(
_xlpm.q,RawData!G32,
_xlpm.u,RawData!H32,
_xlpm.d,RawData!I32,
_xlpm.r,RawData!J32,
IF(AND(ISNUMBER(_xlpm.q),_xlpm.q&gt;0),_xlpm.q,
   IF(AND(ISNUMBER(_xlpm.r),ISNUMBER(_xlpm.u),_xlpm.u&gt;0,ISNUMBER(_xlpm.d),_xlpm.d&gt;=0,_xlpm.d&lt;1),
      ROUND(_xlpm.r/(_xlpm.u*(1-_xlpm.d)),0),
      ""
   )
)
)</f>
        <v>4</v>
      </c>
      <c r="H32" s="4">
        <f>_xlfn.LET(
_xlpm.q,RawData!G32,
_xlpm.u,RawData!H32,
_xlpm.d,RawData!I32,
_xlpm.r,RawData!J32,
IF(AND(ISNUMBER(_xlpm.u),_xlpm.u&gt;0),_xlpm.u,
   IF(AND(ISNUMBER(_xlpm.q),_xlpm.q&gt;0,ISNUMBER(_xlpm.r),ISNUMBER(_xlpm.d),_xlpm.d&gt;=0,_xlpm.d&lt;1),
      _xlpm.r/(_xlpm.q*(1-_xlpm.d)),
      ""
   )
)
)</f>
        <v>821.61</v>
      </c>
      <c r="I32" s="5">
        <f>_xlfn.LET(
_xlpm.q,RawData!G32,
_xlpm.u,RawData!H32,
_xlpm.d,RawData!I32,
_xlpm.r,RawData!J32,
IF(AND(ISNUMBER(_xlpm.d),_xlpm.d&gt;=0,_xlpm.d&lt;1),_xlpm.d,
   IF(AND(ISNUMBER(_xlpm.q),_xlpm.q&gt;0,ISNUMBER(_xlpm.u),_xlpm.u&gt;0,ISNUMBER(_xlpm.r),_xlpm.r&gt;=0),
      1-(_xlpm.r/(_xlpm.q*_xlpm.u)),
      ""
   )
)
)</f>
        <v>0.15</v>
      </c>
      <c r="J32" s="4">
        <f>_xlfn.LET(
_xlpm.q,RawData!G32,
_xlpm.u,RawData!H32,
_xlpm.d,RawData!I32,
_xlpm.r,RawData!J32,
IF(AND(ISNUMBER(_xlpm.r),_xlpm.r&gt;=0),_xlpm.r,
   IF(AND(ISNUMBER(_xlpm.q),_xlpm.q&gt;0,ISNUMBER(_xlpm.u),_xlpm.u&gt;0,ISNUMBER(_xlpm.d),_xlpm.d&gt;=0,_xlpm.d&lt;1),
      _xlpm.q*_xlpm.u*(1-_xlpm.d),
      ""
   )
)
)</f>
        <v>2793.47</v>
      </c>
      <c r="K32" s="4">
        <f>_xlfn.LET(
_xlpm.c,RawData!K32,
_xlpm.r,RawData!J32,
_xlpm.p,RawData!L32,
IF(AND(ISNUMBER(_xlpm.c),_xlpm.c&gt;=0),_xlpm.c,
   IF(AND(ISNUMBER(_xlpm.r),ISNUMBER(_xlpm.p)),
      _xlpm.r-_xlpm.p,
      ""
   )
)
)</f>
        <v>1741.07</v>
      </c>
      <c r="L32" s="4">
        <f>_xlfn.LET(
_xlpm.p,RawData!L32,
_xlpm.r,RawData!J32,
_xlpm.c,RawData!K32,
IF(ISNUMBER(_xlpm.p),_xlpm.p,
IF(AND(ISNUMBER(_xlpm.r),ISNUMBER(_xlpm.c)),
_xlpm.r-_xlpm.c,
""
)
))</f>
        <v>1052.4000000000001</v>
      </c>
    </row>
    <row r="33" spans="1:12" x14ac:dyDescent="0.35">
      <c r="A33" t="s">
        <v>64</v>
      </c>
      <c r="B33" s="7">
        <v>45701</v>
      </c>
      <c r="C33" t="str">
        <f>IF(RawData!C33="","Unknown",PROPER(TRIM(CLEAN(SUBSTITUTE(RawData!C33,CHAR(160)," ")))))</f>
        <v>West</v>
      </c>
      <c r="D33" t="str">
        <f>IF(RawData!D33="","Unknown",PROPER(TRIM(CLEAN(SUBSTITUTE(RawData!D33,CHAR(160)," ")))))</f>
        <v>Mumbai</v>
      </c>
      <c r="E33" t="str">
        <f>IF(RawData!E33="","Unknown",PROPER(TRIM(CLEAN(SUBSTITUTE(RawData!E33,CHAR(160)," ")))))</f>
        <v>Smartphone</v>
      </c>
      <c r="F33" t="str">
        <f>IF(RawData!F33="","Unknown",PROPER(TRIM(CLEAN(SUBSTITUTE(RawData!F33,CHAR(160)," ")))))</f>
        <v>Electronics</v>
      </c>
      <c r="G33">
        <f>_xlfn.LET(
_xlpm.q,RawData!G33,
_xlpm.u,RawData!H33,
_xlpm.d,RawData!I33,
_xlpm.r,RawData!J33,
IF(AND(ISNUMBER(_xlpm.q),_xlpm.q&gt;0),_xlpm.q,
   IF(AND(ISNUMBER(_xlpm.r),ISNUMBER(_xlpm.u),_xlpm.u&gt;0,ISNUMBER(_xlpm.d),_xlpm.d&gt;=0,_xlpm.d&lt;1),
      ROUND(_xlpm.r/(_xlpm.u*(1-_xlpm.d)),0),
      ""
   )
)
)</f>
        <v>9</v>
      </c>
      <c r="H33" s="4">
        <f>_xlfn.LET(
_xlpm.q,RawData!G33,
_xlpm.u,RawData!H33,
_xlpm.d,RawData!I33,
_xlpm.r,RawData!J33,
IF(AND(ISNUMBER(_xlpm.u),_xlpm.u&gt;0),_xlpm.u,
   IF(AND(ISNUMBER(_xlpm.q),_xlpm.q&gt;0,ISNUMBER(_xlpm.r),ISNUMBER(_xlpm.d),_xlpm.d&gt;=0,_xlpm.d&lt;1),
      _xlpm.r/(_xlpm.q*(1-_xlpm.d)),
      ""
   )
)
)</f>
        <v>604.24</v>
      </c>
      <c r="I33" s="5">
        <f>_xlfn.LET(
_xlpm.q,RawData!G33,
_xlpm.u,RawData!H33,
_xlpm.d,RawData!I33,
_xlpm.r,RawData!J33,
IF(AND(ISNUMBER(_xlpm.d),_xlpm.d&gt;=0,_xlpm.d&lt;1),_xlpm.d,
   IF(AND(ISNUMBER(_xlpm.q),_xlpm.q&gt;0,ISNUMBER(_xlpm.u),_xlpm.u&gt;0,ISNUMBER(_xlpm.r),_xlpm.r&gt;=0),
      1-(_xlpm.r/(_xlpm.q*_xlpm.u)),
      ""
   )
)
)</f>
        <v>0.02</v>
      </c>
      <c r="J33" s="4">
        <f>_xlfn.LET(
_xlpm.q,RawData!G33,
_xlpm.u,RawData!H33,
_xlpm.d,RawData!I33,
_xlpm.r,RawData!J33,
IF(AND(ISNUMBER(_xlpm.r),_xlpm.r&gt;=0),_xlpm.r,
   IF(AND(ISNUMBER(_xlpm.q),_xlpm.q&gt;0,ISNUMBER(_xlpm.u),_xlpm.u&gt;0,ISNUMBER(_xlpm.d),_xlpm.d&gt;=0,_xlpm.d&lt;1),
      _xlpm.q*_xlpm.u*(1-_xlpm.d),
      ""
   )
)
)</f>
        <v>5329.4</v>
      </c>
      <c r="K33" s="4">
        <f>_xlfn.LET(
_xlpm.c,RawData!K33,
_xlpm.r,RawData!J33,
_xlpm.p,RawData!L33,
IF(AND(ISNUMBER(_xlpm.c),_xlpm.c&gt;=0),_xlpm.c,
   IF(AND(ISNUMBER(_xlpm.r),ISNUMBER(_xlpm.p)),
      _xlpm.r-_xlpm.p,
      ""
   )
)
)</f>
        <v>3444.52</v>
      </c>
      <c r="L33" s="4">
        <f>_xlfn.LET(
_xlpm.p,RawData!L33,
_xlpm.r,RawData!J33,
_xlpm.c,RawData!K33,
IF(ISNUMBER(_xlpm.p),_xlpm.p,
IF(AND(ISNUMBER(_xlpm.r),ISNUMBER(_xlpm.c)),
_xlpm.r-_xlpm.c,
""
)
))</f>
        <v>1884.88</v>
      </c>
    </row>
    <row r="34" spans="1:12" x14ac:dyDescent="0.35">
      <c r="A34" t="s">
        <v>65</v>
      </c>
      <c r="B34" s="7">
        <v>45995</v>
      </c>
      <c r="C34" t="str">
        <f>IF(RawData!C34="","Unknown",PROPER(TRIM(CLEAN(SUBSTITUTE(RawData!C34,CHAR(160)," ")))))</f>
        <v>West</v>
      </c>
      <c r="D34" t="str">
        <f>IF(RawData!D34="","Unknown",PROPER(TRIM(CLEAN(SUBSTITUTE(RawData!D34,CHAR(160)," ")))))</f>
        <v>Ahmedabad</v>
      </c>
      <c r="E34" t="str">
        <f>IF(RawData!E34="","Unknown",PROPER(TRIM(CLEAN(SUBSTITUTE(RawData!E34,CHAR(160)," ")))))</f>
        <v>Notebook</v>
      </c>
      <c r="F34" t="str">
        <f>IF(RawData!F34="","Unknown",PROPER(TRIM(CLEAN(SUBSTITUTE(RawData!F34,CHAR(160)," ")))))</f>
        <v>Office Supplies</v>
      </c>
      <c r="G34">
        <f>_xlfn.LET(
_xlpm.q,RawData!G34,
_xlpm.u,RawData!H34,
_xlpm.d,RawData!I34,
_xlpm.r,RawData!J34,
IF(AND(ISNUMBER(_xlpm.q),_xlpm.q&gt;0),_xlpm.q,
   IF(AND(ISNUMBER(_xlpm.r),ISNUMBER(_xlpm.u),_xlpm.u&gt;0,ISNUMBER(_xlpm.d),_xlpm.d&gt;=0,_xlpm.d&lt;1),
      ROUND(_xlpm.r/(_xlpm.u*(1-_xlpm.d)),0),
      ""
   )
)
)</f>
        <v>3</v>
      </c>
      <c r="H34" s="4">
        <f>_xlfn.LET(
_xlpm.q,RawData!G34,
_xlpm.u,RawData!H34,
_xlpm.d,RawData!I34,
_xlpm.r,RawData!J34,
IF(AND(ISNUMBER(_xlpm.u),_xlpm.u&gt;0),_xlpm.u,
   IF(AND(ISNUMBER(_xlpm.q),_xlpm.q&gt;0,ISNUMBER(_xlpm.r),ISNUMBER(_xlpm.d),_xlpm.d&gt;=0,_xlpm.d&lt;1),
      _xlpm.r/(_xlpm.q*(1-_xlpm.d)),
      ""
   )
)
)</f>
        <v>7.47</v>
      </c>
      <c r="I34" s="5">
        <f>_xlfn.LET(
_xlpm.q,RawData!G34,
_xlpm.u,RawData!H34,
_xlpm.d,RawData!I34,
_xlpm.r,RawData!J34,
IF(AND(ISNUMBER(_xlpm.d),_xlpm.d&gt;=0,_xlpm.d&lt;1),_xlpm.d,
   IF(AND(ISNUMBER(_xlpm.q),_xlpm.q&gt;0,ISNUMBER(_xlpm.u),_xlpm.u&gt;0,ISNUMBER(_xlpm.r),_xlpm.r&gt;=0),
      1-(_xlpm.r/(_xlpm.q*_xlpm.u)),
      ""
   )
)
)</f>
        <v>0.05</v>
      </c>
      <c r="J34" s="4">
        <f>_xlfn.LET(
_xlpm.q,RawData!G34,
_xlpm.u,RawData!H34,
_xlpm.d,RawData!I34,
_xlpm.r,RawData!J34,
IF(AND(ISNUMBER(_xlpm.r),_xlpm.r&gt;=0),_xlpm.r,
   IF(AND(ISNUMBER(_xlpm.q),_xlpm.q&gt;0,ISNUMBER(_xlpm.u),_xlpm.u&gt;0,ISNUMBER(_xlpm.d),_xlpm.d&gt;=0,_xlpm.d&lt;1),
      _xlpm.q*_xlpm.u*(1-_xlpm.d),
      ""
   )
)
)</f>
        <v>21.29</v>
      </c>
      <c r="K34" s="4">
        <f>_xlfn.LET(
_xlpm.c,RawData!K34,
_xlpm.r,RawData!J34,
_xlpm.p,RawData!L34,
IF(AND(ISNUMBER(_xlpm.c),_xlpm.c&gt;=0),_xlpm.c,
   IF(AND(ISNUMBER(_xlpm.r),ISNUMBER(_xlpm.p)),
      _xlpm.r-_xlpm.p,
      ""
   )
)
)</f>
        <v>14.83</v>
      </c>
      <c r="L34" s="4">
        <f>_xlfn.LET(
_xlpm.p,RawData!L34,
_xlpm.r,RawData!J34,
_xlpm.c,RawData!K34,
IF(ISNUMBER(_xlpm.p),_xlpm.p,
IF(AND(ISNUMBER(_xlpm.r),ISNUMBER(_xlpm.c)),
_xlpm.r-_xlpm.c,
""
)
))</f>
        <v>6.46</v>
      </c>
    </row>
    <row r="35" spans="1:12" x14ac:dyDescent="0.35">
      <c r="A35" t="s">
        <v>67</v>
      </c>
      <c r="B35" s="7">
        <v>45968</v>
      </c>
      <c r="C35" t="str">
        <f>IF(RawData!C35="","Unknown",PROPER(TRIM(CLEAN(SUBSTITUTE(RawData!C35,CHAR(160)," ")))))</f>
        <v>West</v>
      </c>
      <c r="D35" t="str">
        <f>IF(RawData!D35="","Unknown",PROPER(TRIM(CLEAN(SUBSTITUTE(RawData!D35,CHAR(160)," ")))))</f>
        <v>Ahmedabad</v>
      </c>
      <c r="E35" t="str">
        <f>IF(RawData!E35="","Unknown",PROPER(TRIM(CLEAN(SUBSTITUTE(RawData!E35,CHAR(160)," ")))))</f>
        <v>Monitor</v>
      </c>
      <c r="F35" t="str">
        <f>IF(RawData!F35="","Unknown",PROPER(TRIM(CLEAN(SUBSTITUTE(RawData!F35,CHAR(160)," ")))))</f>
        <v>Electronics</v>
      </c>
      <c r="G35">
        <f>_xlfn.LET(
_xlpm.q,RawData!G35,
_xlpm.u,RawData!H35,
_xlpm.d,RawData!I35,
_xlpm.r,RawData!J35,
IF(AND(ISNUMBER(_xlpm.q),_xlpm.q&gt;0),_xlpm.q,
   IF(AND(ISNUMBER(_xlpm.r),ISNUMBER(_xlpm.u),_xlpm.u&gt;0,ISNUMBER(_xlpm.d),_xlpm.d&gt;=0,_xlpm.d&lt;1),
      ROUND(_xlpm.r/(_xlpm.u*(1-_xlpm.d)),0),
      ""
   )
)
)</f>
        <v>9</v>
      </c>
      <c r="H35" s="4">
        <f>_xlfn.LET(
_xlpm.q,RawData!G35,
_xlpm.u,RawData!H35,
_xlpm.d,RawData!I35,
_xlpm.r,RawData!J35,
IF(AND(ISNUMBER(_xlpm.u),_xlpm.u&gt;0),_xlpm.u,
   IF(AND(ISNUMBER(_xlpm.q),_xlpm.q&gt;0,ISNUMBER(_xlpm.r),ISNUMBER(_xlpm.d),_xlpm.d&gt;=0,_xlpm.d&lt;1),
      _xlpm.r/(_xlpm.q*(1-_xlpm.d)),
      ""
   )
)
)</f>
        <v>196.3</v>
      </c>
      <c r="I35" s="5">
        <f>_xlfn.LET(
_xlpm.q,RawData!G35,
_xlpm.u,RawData!H35,
_xlpm.d,RawData!I35,
_xlpm.r,RawData!J35,
IF(AND(ISNUMBER(_xlpm.d),_xlpm.d&gt;=0,_xlpm.d&lt;1),_xlpm.d,
   IF(AND(ISNUMBER(_xlpm.q),_xlpm.q&gt;0,ISNUMBER(_xlpm.u),_xlpm.u&gt;0,ISNUMBER(_xlpm.r),_xlpm.r&gt;=0),
      1-(_xlpm.r/(_xlpm.q*_xlpm.u)),
      ""
   )
)
)</f>
        <v>0.2</v>
      </c>
      <c r="J35" s="4">
        <f>_xlfn.LET(
_xlpm.q,RawData!G35,
_xlpm.u,RawData!H35,
_xlpm.d,RawData!I35,
_xlpm.r,RawData!J35,
IF(AND(ISNUMBER(_xlpm.r),_xlpm.r&gt;=0),_xlpm.r,
   IF(AND(ISNUMBER(_xlpm.q),_xlpm.q&gt;0,ISNUMBER(_xlpm.u),_xlpm.u&gt;0,ISNUMBER(_xlpm.d),_xlpm.d&gt;=0,_xlpm.d&lt;1),
      _xlpm.q*_xlpm.u*(1-_xlpm.d),
      ""
   )
)
)</f>
        <v>1413.36</v>
      </c>
      <c r="K35" s="4">
        <f>_xlfn.LET(
_xlpm.c,RawData!K35,
_xlpm.r,RawData!J35,
_xlpm.p,RawData!L35,
IF(AND(ISNUMBER(_xlpm.c),_xlpm.c&gt;=0),_xlpm.c,
   IF(AND(ISNUMBER(_xlpm.r),ISNUMBER(_xlpm.p)),
      _xlpm.r-_xlpm.p,
      ""
   )
)
)</f>
        <v>1083.47</v>
      </c>
      <c r="L35" s="4">
        <f>_xlfn.LET(
_xlpm.p,RawData!L35,
_xlpm.r,RawData!J35,
_xlpm.c,RawData!K35,
IF(ISNUMBER(_xlpm.p),_xlpm.p,
IF(AND(ISNUMBER(_xlpm.r),ISNUMBER(_xlpm.c)),
_xlpm.r-_xlpm.c,
""
)
))</f>
        <v>329.89</v>
      </c>
    </row>
    <row r="36" spans="1:12" x14ac:dyDescent="0.35">
      <c r="A36" t="s">
        <v>68</v>
      </c>
      <c r="B36" s="7">
        <v>45760</v>
      </c>
      <c r="C36" t="str">
        <f>IF(RawData!C36="","Unknown",PROPER(TRIM(CLEAN(SUBSTITUTE(RawData!C36,CHAR(160)," ")))))</f>
        <v>South</v>
      </c>
      <c r="D36" t="str">
        <f>IF(RawData!D36="","Unknown",PROPER(TRIM(CLEAN(SUBSTITUTE(RawData!D36,CHAR(160)," ")))))</f>
        <v>Patna</v>
      </c>
      <c r="E36" t="str">
        <f>IF(RawData!E36="","Unknown",PROPER(TRIM(CLEAN(SUBSTITUTE(RawData!E36,CHAR(160)," ")))))</f>
        <v>Bookshelf</v>
      </c>
      <c r="F36" t="str">
        <f>IF(RawData!F36="","Unknown",PROPER(TRIM(CLEAN(SUBSTITUTE(RawData!F36,CHAR(160)," ")))))</f>
        <v>Furniture</v>
      </c>
      <c r="G36">
        <f>_xlfn.LET(
_xlpm.q,RawData!G36,
_xlpm.u,RawData!H36,
_xlpm.d,RawData!I36,
_xlpm.r,RawData!J36,
IF(AND(ISNUMBER(_xlpm.q),_xlpm.q&gt;0),_xlpm.q,
   IF(AND(ISNUMBER(_xlpm.r),ISNUMBER(_xlpm.u),_xlpm.u&gt;0,ISNUMBER(_xlpm.d),_xlpm.d&gt;=0,_xlpm.d&lt;1),
      ROUND(_xlpm.r/(_xlpm.u*(1-_xlpm.d)),0),
      ""
   )
)
)</f>
        <v>6</v>
      </c>
      <c r="H36" s="4">
        <f>_xlfn.LET(
_xlpm.q,RawData!G36,
_xlpm.u,RawData!H36,
_xlpm.d,RawData!I36,
_xlpm.r,RawData!J36,
IF(AND(ISNUMBER(_xlpm.u),_xlpm.u&gt;0),_xlpm.u,
   IF(AND(ISNUMBER(_xlpm.q),_xlpm.q&gt;0,ISNUMBER(_xlpm.r),ISNUMBER(_xlpm.d),_xlpm.d&gt;=0,_xlpm.d&lt;1),
      _xlpm.r/(_xlpm.q*(1-_xlpm.d)),
      ""
   )
)
)</f>
        <v>122.13</v>
      </c>
      <c r="I36" s="5">
        <f>_xlfn.LET(
_xlpm.q,RawData!G36,
_xlpm.u,RawData!H36,
_xlpm.d,RawData!I36,
_xlpm.r,RawData!J36,
IF(AND(ISNUMBER(_xlpm.d),_xlpm.d&gt;=0,_xlpm.d&lt;1),_xlpm.d,
   IF(AND(ISNUMBER(_xlpm.q),_xlpm.q&gt;0,ISNUMBER(_xlpm.u),_xlpm.u&gt;0,ISNUMBER(_xlpm.r),_xlpm.r&gt;=0),
      1-(_xlpm.r/(_xlpm.q*_xlpm.u)),
      ""
   )
)
)</f>
        <v>0.1</v>
      </c>
      <c r="J36" s="4">
        <f>_xlfn.LET(
_xlpm.q,RawData!G36,
_xlpm.u,RawData!H36,
_xlpm.d,RawData!I36,
_xlpm.r,RawData!J36,
IF(AND(ISNUMBER(_xlpm.r),_xlpm.r&gt;=0),_xlpm.r,
   IF(AND(ISNUMBER(_xlpm.q),_xlpm.q&gt;0,ISNUMBER(_xlpm.u),_xlpm.u&gt;0,ISNUMBER(_xlpm.d),_xlpm.d&gt;=0,_xlpm.d&lt;1),
      _xlpm.q*_xlpm.u*(1-_xlpm.d),
      ""
   )
)
)</f>
        <v>659.5</v>
      </c>
      <c r="K36" s="4">
        <f>_xlfn.LET(
_xlpm.c,RawData!K36,
_xlpm.r,RawData!J36,
_xlpm.p,RawData!L36,
IF(AND(ISNUMBER(_xlpm.c),_xlpm.c&gt;=0),_xlpm.c,
   IF(AND(ISNUMBER(_xlpm.r),ISNUMBER(_xlpm.p)),
      _xlpm.r-_xlpm.p,
      ""
   )
)
)</f>
        <v>538.46</v>
      </c>
      <c r="L36" s="4">
        <f>_xlfn.LET(
_xlpm.p,RawData!L36,
_xlpm.r,RawData!J36,
_xlpm.c,RawData!K36,
IF(ISNUMBER(_xlpm.p),_xlpm.p,
IF(AND(ISNUMBER(_xlpm.r),ISNUMBER(_xlpm.c)),
_xlpm.r-_xlpm.c,
""
)
))</f>
        <v>121.04</v>
      </c>
    </row>
    <row r="37" spans="1:12" x14ac:dyDescent="0.35">
      <c r="A37" t="s">
        <v>70</v>
      </c>
      <c r="B37" s="7">
        <v>45889</v>
      </c>
      <c r="C37" t="str">
        <f>IF(RawData!C37="","Unknown",PROPER(TRIM(CLEAN(SUBSTITUTE(RawData!C37,CHAR(160)," ")))))</f>
        <v>North</v>
      </c>
      <c r="D37" t="str">
        <f>IF(RawData!D37="","Unknown",PROPER(TRIM(CLEAN(SUBSTITUTE(RawData!D37,CHAR(160)," ")))))</f>
        <v>Jaipur</v>
      </c>
      <c r="E37" t="str">
        <f>IF(RawData!E37="","Unknown",PROPER(TRIM(CLEAN(SUBSTITUTE(RawData!E37,CHAR(160)," ")))))</f>
        <v>Monitor</v>
      </c>
      <c r="F37" t="str">
        <f>IF(RawData!F37="","Unknown",PROPER(TRIM(CLEAN(SUBSTITUTE(RawData!F37,CHAR(160)," ")))))</f>
        <v>Electronics</v>
      </c>
      <c r="G37">
        <f>_xlfn.LET(
_xlpm.q,RawData!G37,
_xlpm.u,RawData!H37,
_xlpm.d,RawData!I37,
_xlpm.r,RawData!J37,
IF(AND(ISNUMBER(_xlpm.q),_xlpm.q&gt;0),_xlpm.q,
   IF(AND(ISNUMBER(_xlpm.r),ISNUMBER(_xlpm.u),_xlpm.u&gt;0,ISNUMBER(_xlpm.d),_xlpm.d&gt;=0,_xlpm.d&lt;1),
      ROUND(_xlpm.r/(_xlpm.u*(1-_xlpm.d)),0),
      ""
   )
)
)</f>
        <v>4</v>
      </c>
      <c r="H37" s="4">
        <f>_xlfn.LET(
_xlpm.q,RawData!G37,
_xlpm.u,RawData!H37,
_xlpm.d,RawData!I37,
_xlpm.r,RawData!J37,
IF(AND(ISNUMBER(_xlpm.u),_xlpm.u&gt;0),_xlpm.u,
   IF(AND(ISNUMBER(_xlpm.q),_xlpm.q&gt;0,ISNUMBER(_xlpm.r),ISNUMBER(_xlpm.d),_xlpm.d&gt;=0,_xlpm.d&lt;1),
      _xlpm.r/(_xlpm.q*(1-_xlpm.d)),
      ""
   )
)
)</f>
        <v>237.97</v>
      </c>
      <c r="I37" s="5">
        <f>_xlfn.LET(
_xlpm.q,RawData!G37,
_xlpm.u,RawData!H37,
_xlpm.d,RawData!I37,
_xlpm.r,RawData!J37,
IF(AND(ISNUMBER(_xlpm.d),_xlpm.d&gt;=0,_xlpm.d&lt;1),_xlpm.d,
   IF(AND(ISNUMBER(_xlpm.q),_xlpm.q&gt;0,ISNUMBER(_xlpm.u),_xlpm.u&gt;0,ISNUMBER(_xlpm.r),_xlpm.r&gt;=0),
      1-(_xlpm.r/(_xlpm.q*_xlpm.u)),
      ""
   )
)
)</f>
        <v>0</v>
      </c>
      <c r="J37" s="4">
        <f>_xlfn.LET(
_xlpm.q,RawData!G37,
_xlpm.u,RawData!H37,
_xlpm.d,RawData!I37,
_xlpm.r,RawData!J37,
IF(AND(ISNUMBER(_xlpm.r),_xlpm.r&gt;=0),_xlpm.r,
   IF(AND(ISNUMBER(_xlpm.q),_xlpm.q&gt;0,ISNUMBER(_xlpm.u),_xlpm.u&gt;0,ISNUMBER(_xlpm.d),_xlpm.d&gt;=0,_xlpm.d&lt;1),
      _xlpm.q*_xlpm.u*(1-_xlpm.d),
      ""
   )
)
)</f>
        <v>951.88</v>
      </c>
      <c r="K37" s="4">
        <f>_xlfn.LET(
_xlpm.c,RawData!K37,
_xlpm.r,RawData!J37,
_xlpm.p,RawData!L37,
IF(AND(ISNUMBER(_xlpm.c),_xlpm.c&gt;=0),_xlpm.c,
   IF(AND(ISNUMBER(_xlpm.r),ISNUMBER(_xlpm.p)),
      _xlpm.r-_xlpm.p,
      ""
   )
)
)</f>
        <v>574.61</v>
      </c>
      <c r="L37" s="4">
        <f>_xlfn.LET(
_xlpm.p,RawData!L37,
_xlpm.r,RawData!J37,
_xlpm.c,RawData!K37,
IF(ISNUMBER(_xlpm.p),_xlpm.p,
IF(AND(ISNUMBER(_xlpm.r),ISNUMBER(_xlpm.c)),
_xlpm.r-_xlpm.c,
""
)
))</f>
        <v>377.27</v>
      </c>
    </row>
    <row r="38" spans="1:12" x14ac:dyDescent="0.35">
      <c r="A38" t="s">
        <v>71</v>
      </c>
      <c r="B38" s="7">
        <v>45668</v>
      </c>
      <c r="C38" t="str">
        <f>IF(RawData!C38="","Unknown",PROPER(TRIM(CLEAN(SUBSTITUTE(RawData!C38,CHAR(160)," ")))))</f>
        <v>South</v>
      </c>
      <c r="D38" t="str">
        <f>IF(RawData!D38="","Unknown",PROPER(TRIM(CLEAN(SUBSTITUTE(RawData!D38,CHAR(160)," ")))))</f>
        <v>Hyderabad</v>
      </c>
      <c r="E38" t="str">
        <f>IF(RawData!E38="","Unknown",PROPER(TRIM(CLEAN(SUBSTITUTE(RawData!E38,CHAR(160)," ")))))</f>
        <v>Pen Set</v>
      </c>
      <c r="F38" t="str">
        <f>IF(RawData!F38="","Unknown",PROPER(TRIM(CLEAN(SUBSTITUTE(RawData!F38,CHAR(160)," ")))))</f>
        <v>Office Supplies</v>
      </c>
      <c r="G38">
        <f>_xlfn.LET(
_xlpm.q,RawData!G38,
_xlpm.u,RawData!H38,
_xlpm.d,RawData!I38,
_xlpm.r,RawData!J38,
IF(AND(ISNUMBER(_xlpm.q),_xlpm.q&gt;0),_xlpm.q,
   IF(AND(ISNUMBER(_xlpm.r),ISNUMBER(_xlpm.u),_xlpm.u&gt;0,ISNUMBER(_xlpm.d),_xlpm.d&gt;=0,_xlpm.d&lt;1),
      ROUND(_xlpm.r/(_xlpm.u*(1-_xlpm.d)),0),
      ""
   )
)
)</f>
        <v>4</v>
      </c>
      <c r="H38" s="4">
        <f>_xlfn.LET(
_xlpm.q,RawData!G38,
_xlpm.u,RawData!H38,
_xlpm.d,RawData!I38,
_xlpm.r,RawData!J38,
IF(AND(ISNUMBER(_xlpm.u),_xlpm.u&gt;0),_xlpm.u,
   IF(AND(ISNUMBER(_xlpm.q),_xlpm.q&gt;0,ISNUMBER(_xlpm.r),ISNUMBER(_xlpm.d),_xlpm.d&gt;=0,_xlpm.d&lt;1),
      _xlpm.r/(_xlpm.q*(1-_xlpm.d)),
      ""
   )
)
)</f>
        <v>10.220000000000001</v>
      </c>
      <c r="I38" s="5">
        <f>_xlfn.LET(
_xlpm.q,RawData!G38,
_xlpm.u,RawData!H38,
_xlpm.d,RawData!I38,
_xlpm.r,RawData!J38,
IF(AND(ISNUMBER(_xlpm.d),_xlpm.d&gt;=0,_xlpm.d&lt;1),_xlpm.d,
   IF(AND(ISNUMBER(_xlpm.q),_xlpm.q&gt;0,ISNUMBER(_xlpm.u),_xlpm.u&gt;0,ISNUMBER(_xlpm.r),_xlpm.r&gt;=0),
      1-(_xlpm.r/(_xlpm.q*_xlpm.u)),
      ""
   )
)
)</f>
        <v>0</v>
      </c>
      <c r="J38" s="4">
        <f>_xlfn.LET(
_xlpm.q,RawData!G38,
_xlpm.u,RawData!H38,
_xlpm.d,RawData!I38,
_xlpm.r,RawData!J38,
IF(AND(ISNUMBER(_xlpm.r),_xlpm.r&gt;=0),_xlpm.r,
   IF(AND(ISNUMBER(_xlpm.q),_xlpm.q&gt;0,ISNUMBER(_xlpm.u),_xlpm.u&gt;0,ISNUMBER(_xlpm.d),_xlpm.d&gt;=0,_xlpm.d&lt;1),
      _xlpm.q*_xlpm.u*(1-_xlpm.d),
      ""
   )
)
)</f>
        <v>40.880000000000003</v>
      </c>
      <c r="K38" s="4">
        <f>_xlfn.LET(
_xlpm.c,RawData!K38,
_xlpm.r,RawData!J38,
_xlpm.p,RawData!L38,
IF(AND(ISNUMBER(_xlpm.c),_xlpm.c&gt;=0),_xlpm.c,
   IF(AND(ISNUMBER(_xlpm.r),ISNUMBER(_xlpm.p)),
      _xlpm.r-_xlpm.p,
      ""
   )
)
)</f>
        <v>31.48</v>
      </c>
      <c r="L38" s="4">
        <f>_xlfn.LET(
_xlpm.p,RawData!L38,
_xlpm.r,RawData!J38,
_xlpm.c,RawData!K38,
IF(ISNUMBER(_xlpm.p),_xlpm.p,
IF(AND(ISNUMBER(_xlpm.r),ISNUMBER(_xlpm.c)),
_xlpm.r-_xlpm.c,
""
)
))</f>
        <v>9.4</v>
      </c>
    </row>
    <row r="39" spans="1:12" x14ac:dyDescent="0.35">
      <c r="A39" t="s">
        <v>72</v>
      </c>
      <c r="B39" s="7">
        <v>46020</v>
      </c>
      <c r="C39" t="str">
        <f>IF(RawData!C39="","Unknown",PROPER(TRIM(CLEAN(SUBSTITUTE(RawData!C39,CHAR(160)," ")))))</f>
        <v>North</v>
      </c>
      <c r="D39" t="str">
        <f>IF(RawData!D39="","Unknown",PROPER(TRIM(CLEAN(SUBSTITUTE(RawData!D39,CHAR(160)," ")))))</f>
        <v>Jaipur</v>
      </c>
      <c r="E39" t="str">
        <f>IF(RawData!E39="","Unknown",PROPER(TRIM(CLEAN(SUBSTITUTE(RawData!E39,CHAR(160)," ")))))</f>
        <v>Monitor</v>
      </c>
      <c r="F39" t="str">
        <f>IF(RawData!F39="","Unknown",PROPER(TRIM(CLEAN(SUBSTITUTE(RawData!F39,CHAR(160)," ")))))</f>
        <v>Electronics</v>
      </c>
      <c r="G39">
        <f>_xlfn.LET(
_xlpm.q,RawData!G39,
_xlpm.u,RawData!H39,
_xlpm.d,RawData!I39,
_xlpm.r,RawData!J39,
IF(AND(ISNUMBER(_xlpm.q),_xlpm.q&gt;0),_xlpm.q,
   IF(AND(ISNUMBER(_xlpm.r),ISNUMBER(_xlpm.u),_xlpm.u&gt;0,ISNUMBER(_xlpm.d),_xlpm.d&gt;=0,_xlpm.d&lt;1),
      ROUND(_xlpm.r/(_xlpm.u*(1-_xlpm.d)),0),
      ""
   )
)
)</f>
        <v>2</v>
      </c>
      <c r="H39" s="4">
        <f>_xlfn.LET(
_xlpm.q,RawData!G39,
_xlpm.u,RawData!H39,
_xlpm.d,RawData!I39,
_xlpm.r,RawData!J39,
IF(AND(ISNUMBER(_xlpm.u),_xlpm.u&gt;0),_xlpm.u,
   IF(AND(ISNUMBER(_xlpm.q),_xlpm.q&gt;0,ISNUMBER(_xlpm.r),ISNUMBER(_xlpm.d),_xlpm.d&gt;=0,_xlpm.d&lt;1),
      _xlpm.r/(_xlpm.q*(1-_xlpm.d)),
      ""
   )
)
)</f>
        <v>233.65</v>
      </c>
      <c r="I39" s="5">
        <f>_xlfn.LET(
_xlpm.q,RawData!G39,
_xlpm.u,RawData!H39,
_xlpm.d,RawData!I39,
_xlpm.r,RawData!J39,
IF(AND(ISNUMBER(_xlpm.d),_xlpm.d&gt;=0,_xlpm.d&lt;1),_xlpm.d,
   IF(AND(ISNUMBER(_xlpm.q),_xlpm.q&gt;0,ISNUMBER(_xlpm.u),_xlpm.u&gt;0,ISNUMBER(_xlpm.r),_xlpm.r&gt;=0),
      1-(_xlpm.r/(_xlpm.q*_xlpm.u)),
      ""
   )
)
)</f>
        <v>0</v>
      </c>
      <c r="J39" s="4">
        <f>_xlfn.LET(
_xlpm.q,RawData!G39,
_xlpm.u,RawData!H39,
_xlpm.d,RawData!I39,
_xlpm.r,RawData!J39,
IF(AND(ISNUMBER(_xlpm.r),_xlpm.r&gt;=0),_xlpm.r,
   IF(AND(ISNUMBER(_xlpm.q),_xlpm.q&gt;0,ISNUMBER(_xlpm.u),_xlpm.u&gt;0,ISNUMBER(_xlpm.d),_xlpm.d&gt;=0,_xlpm.d&lt;1),
      _xlpm.q*_xlpm.u*(1-_xlpm.d),
      ""
   )
)
)</f>
        <v>467.3</v>
      </c>
      <c r="K39" s="4">
        <f>_xlfn.LET(
_xlpm.c,RawData!K39,
_xlpm.r,RawData!J39,
_xlpm.p,RawData!L39,
IF(AND(ISNUMBER(_xlpm.c),_xlpm.c&gt;=0),_xlpm.c,
   IF(AND(ISNUMBER(_xlpm.r),ISNUMBER(_xlpm.p)),
      _xlpm.r-_xlpm.p,
      ""
   )
)
)</f>
        <v>348.99</v>
      </c>
      <c r="L39" s="4">
        <f>_xlfn.LET(
_xlpm.p,RawData!L39,
_xlpm.r,RawData!J39,
_xlpm.c,RawData!K39,
IF(ISNUMBER(_xlpm.p),_xlpm.p,
IF(AND(ISNUMBER(_xlpm.r),ISNUMBER(_xlpm.c)),
_xlpm.r-_xlpm.c,
""
)
))</f>
        <v>118.31</v>
      </c>
    </row>
    <row r="40" spans="1:12" x14ac:dyDescent="0.35">
      <c r="A40" t="s">
        <v>73</v>
      </c>
      <c r="B40" s="7">
        <v>45694</v>
      </c>
      <c r="C40" t="str">
        <f>IF(RawData!C40="","Unknown",PROPER(TRIM(CLEAN(SUBSTITUTE(RawData!C40,CHAR(160)," ")))))</f>
        <v>South</v>
      </c>
      <c r="D40" t="str">
        <f>IF(RawData!D40="","Unknown",PROPER(TRIM(CLEAN(SUBSTITUTE(RawData!D40,CHAR(160)," ")))))</f>
        <v>Bengaluru</v>
      </c>
      <c r="E40" t="str">
        <f>IF(RawData!E40="","Unknown",PROPER(TRIM(CLEAN(SUBSTITUTE(RawData!E40,CHAR(160)," ")))))</f>
        <v>Office Chair</v>
      </c>
      <c r="F40" t="str">
        <f>IF(RawData!F40="","Unknown",PROPER(TRIM(CLEAN(SUBSTITUTE(RawData!F40,CHAR(160)," ")))))</f>
        <v>Furniture</v>
      </c>
      <c r="G40">
        <f>_xlfn.LET(
_xlpm.q,RawData!G40,
_xlpm.u,RawData!H40,
_xlpm.d,RawData!I40,
_xlpm.r,RawData!J40,
IF(AND(ISNUMBER(_xlpm.q),_xlpm.q&gt;0),_xlpm.q,
   IF(AND(ISNUMBER(_xlpm.r),ISNUMBER(_xlpm.u),_xlpm.u&gt;0,ISNUMBER(_xlpm.d),_xlpm.d&gt;=0,_xlpm.d&lt;1),
      ROUND(_xlpm.r/(_xlpm.u*(1-_xlpm.d)),0),
      ""
   )
)
)</f>
        <v>8</v>
      </c>
      <c r="H40" s="4">
        <f>_xlfn.LET(
_xlpm.q,RawData!G40,
_xlpm.u,RawData!H40,
_xlpm.d,RawData!I40,
_xlpm.r,RawData!J40,
IF(AND(ISNUMBER(_xlpm.u),_xlpm.u&gt;0),_xlpm.u,
   IF(AND(ISNUMBER(_xlpm.q),_xlpm.q&gt;0,ISNUMBER(_xlpm.r),ISNUMBER(_xlpm.d),_xlpm.d&gt;=0,_xlpm.d&lt;1),
      _xlpm.r/(_xlpm.q*(1-_xlpm.d)),
      ""
   )
)
)</f>
        <v>194.65</v>
      </c>
      <c r="I40" s="5">
        <f>_xlfn.LET(
_xlpm.q,RawData!G40,
_xlpm.u,RawData!H40,
_xlpm.d,RawData!I40,
_xlpm.r,RawData!J40,
IF(AND(ISNUMBER(_xlpm.d),_xlpm.d&gt;=0,_xlpm.d&lt;1),_xlpm.d,
   IF(AND(ISNUMBER(_xlpm.q),_xlpm.q&gt;0,ISNUMBER(_xlpm.u),_xlpm.u&gt;0,ISNUMBER(_xlpm.r),_xlpm.r&gt;=0),
      1-(_xlpm.r/(_xlpm.q*_xlpm.u)),
      ""
   )
)
)</f>
        <v>0.02</v>
      </c>
      <c r="J40" s="4">
        <f>_xlfn.LET(
_xlpm.q,RawData!G40,
_xlpm.u,RawData!H40,
_xlpm.d,RawData!I40,
_xlpm.r,RawData!J40,
IF(AND(ISNUMBER(_xlpm.r),_xlpm.r&gt;=0),_xlpm.r,
   IF(AND(ISNUMBER(_xlpm.q),_xlpm.q&gt;0,ISNUMBER(_xlpm.u),_xlpm.u&gt;0,ISNUMBER(_xlpm.d),_xlpm.d&gt;=0,_xlpm.d&lt;1),
      _xlpm.q*_xlpm.u*(1-_xlpm.d),
      ""
   )
)
)</f>
        <v>1526.06</v>
      </c>
      <c r="K40" s="4">
        <f>_xlfn.LET(
_xlpm.c,RawData!K40,
_xlpm.r,RawData!J40,
_xlpm.p,RawData!L40,
IF(AND(ISNUMBER(_xlpm.c),_xlpm.c&gt;=0),_xlpm.c,
   IF(AND(ISNUMBER(_xlpm.r),ISNUMBER(_xlpm.p)),
      _xlpm.r-_xlpm.p,
      ""
   )
)
)</f>
        <v>869.84</v>
      </c>
      <c r="L40" s="4">
        <f>_xlfn.LET(
_xlpm.p,RawData!L40,
_xlpm.r,RawData!J40,
_xlpm.c,RawData!K40,
IF(ISNUMBER(_xlpm.p),_xlpm.p,
IF(AND(ISNUMBER(_xlpm.r),ISNUMBER(_xlpm.c)),
_xlpm.r-_xlpm.c,
""
)
))</f>
        <v>656.22</v>
      </c>
    </row>
    <row r="41" spans="1:12" x14ac:dyDescent="0.35">
      <c r="A41" t="s">
        <v>74</v>
      </c>
      <c r="B41" s="7">
        <v>45725</v>
      </c>
      <c r="C41" t="str">
        <f>IF(RawData!C41="","Unknown",PROPER(TRIM(CLEAN(SUBSTITUTE(RawData!C41,CHAR(160)," ")))))</f>
        <v>West</v>
      </c>
      <c r="D41" t="str">
        <f>IF(RawData!D41="","Unknown",PROPER(TRIM(CLEAN(SUBSTITUTE(RawData!D41,CHAR(160)," ")))))</f>
        <v>Mumbai</v>
      </c>
      <c r="E41" t="str">
        <f>IF(RawData!E41="","Unknown",PROPER(TRIM(CLEAN(SUBSTITUTE(RawData!E41,CHAR(160)," ")))))</f>
        <v>Monitor</v>
      </c>
      <c r="F41" t="str">
        <f>IF(RawData!F41="","Unknown",PROPER(TRIM(CLEAN(SUBSTITUTE(RawData!F41,CHAR(160)," ")))))</f>
        <v>Electronics</v>
      </c>
      <c r="G41">
        <f>_xlfn.LET(
_xlpm.q,RawData!G41,
_xlpm.u,RawData!H41,
_xlpm.d,RawData!I41,
_xlpm.r,RawData!J41,
IF(AND(ISNUMBER(_xlpm.q),_xlpm.q&gt;0),_xlpm.q,
   IF(AND(ISNUMBER(_xlpm.r),ISNUMBER(_xlpm.u),_xlpm.u&gt;0,ISNUMBER(_xlpm.d),_xlpm.d&gt;=0,_xlpm.d&lt;1),
      ROUND(_xlpm.r/(_xlpm.u*(1-_xlpm.d)),0),
      ""
   )
)
)</f>
        <v>8</v>
      </c>
      <c r="H41" s="4">
        <f>_xlfn.LET(
_xlpm.q,RawData!G41,
_xlpm.u,RawData!H41,
_xlpm.d,RawData!I41,
_xlpm.r,RawData!J41,
IF(AND(ISNUMBER(_xlpm.u),_xlpm.u&gt;0),_xlpm.u,
   IF(AND(ISNUMBER(_xlpm.q),_xlpm.q&gt;0,ISNUMBER(_xlpm.r),ISNUMBER(_xlpm.d),_xlpm.d&gt;=0,_xlpm.d&lt;1),
      _xlpm.r/(_xlpm.q*(1-_xlpm.d)),
      ""
   )
)
)</f>
        <v>210.66</v>
      </c>
      <c r="I41" s="5">
        <f>_xlfn.LET(
_xlpm.q,RawData!G41,
_xlpm.u,RawData!H41,
_xlpm.d,RawData!I41,
_xlpm.r,RawData!J41,
IF(AND(ISNUMBER(_xlpm.d),_xlpm.d&gt;=0,_xlpm.d&lt;1),_xlpm.d,
   IF(AND(ISNUMBER(_xlpm.q),_xlpm.q&gt;0,ISNUMBER(_xlpm.u),_xlpm.u&gt;0,ISNUMBER(_xlpm.r),_xlpm.r&gt;=0),
      1-(_xlpm.r/(_xlpm.q*_xlpm.u)),
      ""
   )
)
)</f>
        <v>0.1</v>
      </c>
      <c r="J41" s="4">
        <f>_xlfn.LET(
_xlpm.q,RawData!G41,
_xlpm.u,RawData!H41,
_xlpm.d,RawData!I41,
_xlpm.r,RawData!J41,
IF(AND(ISNUMBER(_xlpm.r),_xlpm.r&gt;=0),_xlpm.r,
   IF(AND(ISNUMBER(_xlpm.q),_xlpm.q&gt;0,ISNUMBER(_xlpm.u),_xlpm.u&gt;0,ISNUMBER(_xlpm.d),_xlpm.d&gt;=0,_xlpm.d&lt;1),
      _xlpm.q*_xlpm.u*(1-_xlpm.d),
      ""
   )
)
)</f>
        <v>1516.75</v>
      </c>
      <c r="K41" s="4">
        <f>_xlfn.LET(
_xlpm.c,RawData!K41,
_xlpm.r,RawData!J41,
_xlpm.p,RawData!L41,
IF(AND(ISNUMBER(_xlpm.c),_xlpm.c&gt;=0),_xlpm.c,
   IF(AND(ISNUMBER(_xlpm.r),ISNUMBER(_xlpm.p)),
      _xlpm.r-_xlpm.p,
      ""
   )
)
)</f>
        <v>881.66</v>
      </c>
      <c r="L41" s="4">
        <f>_xlfn.LET(
_xlpm.p,RawData!L41,
_xlpm.r,RawData!J41,
_xlpm.c,RawData!K41,
IF(ISNUMBER(_xlpm.p),_xlpm.p,
IF(AND(ISNUMBER(_xlpm.r),ISNUMBER(_xlpm.c)),
_xlpm.r-_xlpm.c,
""
)
))</f>
        <v>635.09</v>
      </c>
    </row>
    <row r="42" spans="1:12" x14ac:dyDescent="0.35">
      <c r="A42" t="s">
        <v>75</v>
      </c>
      <c r="B42" s="7">
        <v>45706</v>
      </c>
      <c r="C42" t="str">
        <f>IF(RawData!C42="","Unknown",PROPER(TRIM(CLEAN(SUBSTITUTE(RawData!C42,CHAR(160)," ")))))</f>
        <v>North</v>
      </c>
      <c r="D42" t="str">
        <f>IF(RawData!D42="","Unknown",PROPER(TRIM(CLEAN(SUBSTITUTE(RawData!D42,CHAR(160)," ")))))</f>
        <v>Jaipur</v>
      </c>
      <c r="E42" t="str">
        <f>IF(RawData!E42="","Unknown",PROPER(TRIM(CLEAN(SUBSTITUTE(RawData!E42,CHAR(160)," ")))))</f>
        <v>Backpack</v>
      </c>
      <c r="F42" t="str">
        <f>IF(RawData!F42="","Unknown",PROPER(TRIM(CLEAN(SUBSTITUTE(RawData!F42,CHAR(160)," ")))))</f>
        <v>Accessories</v>
      </c>
      <c r="G42">
        <f>_xlfn.LET(
_xlpm.q,RawData!G42,
_xlpm.u,RawData!H42,
_xlpm.d,RawData!I42,
_xlpm.r,RawData!J42,
IF(AND(ISNUMBER(_xlpm.q),_xlpm.q&gt;0),_xlpm.q,
   IF(AND(ISNUMBER(_xlpm.r),ISNUMBER(_xlpm.u),_xlpm.u&gt;0,ISNUMBER(_xlpm.d),_xlpm.d&gt;=0,_xlpm.d&lt;1),
      ROUND(_xlpm.r/(_xlpm.u*(1-_xlpm.d)),0),
      ""
   )
)
)</f>
        <v>7</v>
      </c>
      <c r="H42" s="4">
        <f>_xlfn.LET(
_xlpm.q,RawData!G42,
_xlpm.u,RawData!H42,
_xlpm.d,RawData!I42,
_xlpm.r,RawData!J42,
IF(AND(ISNUMBER(_xlpm.u),_xlpm.u&gt;0),_xlpm.u,
   IF(AND(ISNUMBER(_xlpm.q),_xlpm.q&gt;0,ISNUMBER(_xlpm.r),ISNUMBER(_xlpm.d),_xlpm.d&gt;=0,_xlpm.d&lt;1),
      _xlpm.r/(_xlpm.q*(1-_xlpm.d)),
      ""
   )
)
)</f>
        <v>49.9</v>
      </c>
      <c r="I42" s="5">
        <f>_xlfn.LET(
_xlpm.q,RawData!G42,
_xlpm.u,RawData!H42,
_xlpm.d,RawData!I42,
_xlpm.r,RawData!J42,
IF(AND(ISNUMBER(_xlpm.d),_xlpm.d&gt;=0,_xlpm.d&lt;1),_xlpm.d,
   IF(AND(ISNUMBER(_xlpm.q),_xlpm.q&gt;0,ISNUMBER(_xlpm.u),_xlpm.u&gt;0,ISNUMBER(_xlpm.r),_xlpm.r&gt;=0),
      1-(_xlpm.r/(_xlpm.q*_xlpm.u)),
      ""
   )
)
)</f>
        <v>0.05</v>
      </c>
      <c r="J42" s="4">
        <f>_xlfn.LET(
_xlpm.q,RawData!G42,
_xlpm.u,RawData!H42,
_xlpm.d,RawData!I42,
_xlpm.r,RawData!J42,
IF(AND(ISNUMBER(_xlpm.r),_xlpm.r&gt;=0),_xlpm.r,
   IF(AND(ISNUMBER(_xlpm.q),_xlpm.q&gt;0,ISNUMBER(_xlpm.u),_xlpm.u&gt;0,ISNUMBER(_xlpm.d),_xlpm.d&gt;=0,_xlpm.d&lt;1),
      _xlpm.q*_xlpm.u*(1-_xlpm.d),
      ""
   )
)
)</f>
        <v>331.83</v>
      </c>
      <c r="K42" s="4">
        <f>_xlfn.LET(
_xlpm.c,RawData!K42,
_xlpm.r,RawData!J42,
_xlpm.p,RawData!L42,
IF(AND(ISNUMBER(_xlpm.c),_xlpm.c&gt;=0),_xlpm.c,
   IF(AND(ISNUMBER(_xlpm.r),ISNUMBER(_xlpm.p)),
      _xlpm.r-_xlpm.p,
      ""
   )
)
)</f>
        <v>238.35</v>
      </c>
      <c r="L42" s="4">
        <f>_xlfn.LET(
_xlpm.p,RawData!L42,
_xlpm.r,RawData!J42,
_xlpm.c,RawData!K42,
IF(ISNUMBER(_xlpm.p),_xlpm.p,
IF(AND(ISNUMBER(_xlpm.r),ISNUMBER(_xlpm.c)),
_xlpm.r-_xlpm.c,
""
)
))</f>
        <v>93.48</v>
      </c>
    </row>
    <row r="43" spans="1:12" x14ac:dyDescent="0.35">
      <c r="A43" t="s">
        <v>76</v>
      </c>
      <c r="B43" s="7">
        <v>45868</v>
      </c>
      <c r="C43" t="str">
        <f>IF(RawData!C43="","Unknown",PROPER(TRIM(CLEAN(SUBSTITUTE(RawData!C43,CHAR(160)," ")))))</f>
        <v>West</v>
      </c>
      <c r="D43" t="str">
        <f>IF(RawData!D43="","Unknown",PROPER(TRIM(CLEAN(SUBSTITUTE(RawData!D43,CHAR(160)," ")))))</f>
        <v>Ahmedabad</v>
      </c>
      <c r="E43" t="str">
        <f>IF(RawData!E43="","Unknown",PROPER(TRIM(CLEAN(SUBSTITUTE(RawData!E43,CHAR(160)," ")))))</f>
        <v>Keyboard</v>
      </c>
      <c r="F43" t="str">
        <f>IF(RawData!F43="","Unknown",PROPER(TRIM(CLEAN(SUBSTITUTE(RawData!F43,CHAR(160)," ")))))</f>
        <v>Accessories</v>
      </c>
      <c r="G43">
        <f>_xlfn.LET(
_xlpm.q,RawData!G43,
_xlpm.u,RawData!H43,
_xlpm.d,RawData!I43,
_xlpm.r,RawData!J43,
IF(AND(ISNUMBER(_xlpm.q),_xlpm.q&gt;0),_xlpm.q,
   IF(AND(ISNUMBER(_xlpm.r),ISNUMBER(_xlpm.u),_xlpm.u&gt;0,ISNUMBER(_xlpm.d),_xlpm.d&gt;=0,_xlpm.d&lt;1),
      ROUND(_xlpm.r/(_xlpm.u*(1-_xlpm.d)),0),
      ""
   )
)
)</f>
        <v>1</v>
      </c>
      <c r="H43" s="4">
        <f>_xlfn.LET(
_xlpm.q,RawData!G43,
_xlpm.u,RawData!H43,
_xlpm.d,RawData!I43,
_xlpm.r,RawData!J43,
IF(AND(ISNUMBER(_xlpm.u),_xlpm.u&gt;0),_xlpm.u,
   IF(AND(ISNUMBER(_xlpm.q),_xlpm.q&gt;0,ISNUMBER(_xlpm.r),ISNUMBER(_xlpm.d),_xlpm.d&gt;=0,_xlpm.d&lt;1),
      _xlpm.r/(_xlpm.q*(1-_xlpm.d)),
      ""
   )
)
)</f>
        <v>33.22</v>
      </c>
      <c r="I43" s="5">
        <f>_xlfn.LET(
_xlpm.q,RawData!G43,
_xlpm.u,RawData!H43,
_xlpm.d,RawData!I43,
_xlpm.r,RawData!J43,
IF(AND(ISNUMBER(_xlpm.d),_xlpm.d&gt;=0,_xlpm.d&lt;1),_xlpm.d,
   IF(AND(ISNUMBER(_xlpm.q),_xlpm.q&gt;0,ISNUMBER(_xlpm.u),_xlpm.u&gt;0,ISNUMBER(_xlpm.r),_xlpm.r&gt;=0),
      1-(_xlpm.r/(_xlpm.q*_xlpm.u)),
      ""
   )
)
)</f>
        <v>0.2</v>
      </c>
      <c r="J43" s="4">
        <f>_xlfn.LET(
_xlpm.q,RawData!G43,
_xlpm.u,RawData!H43,
_xlpm.d,RawData!I43,
_xlpm.r,RawData!J43,
IF(AND(ISNUMBER(_xlpm.r),_xlpm.r&gt;=0),_xlpm.r,
   IF(AND(ISNUMBER(_xlpm.q),_xlpm.q&gt;0,ISNUMBER(_xlpm.u),_xlpm.u&gt;0,ISNUMBER(_xlpm.d),_xlpm.d&gt;=0,_xlpm.d&lt;1),
      _xlpm.q*_xlpm.u*(1-_xlpm.d),
      ""
   )
)
)</f>
        <v>26.58</v>
      </c>
      <c r="K43" s="4">
        <f>_xlfn.LET(
_xlpm.c,RawData!K43,
_xlpm.r,RawData!J43,
_xlpm.p,RawData!L43,
IF(AND(ISNUMBER(_xlpm.c),_xlpm.c&gt;=0),_xlpm.c,
   IF(AND(ISNUMBER(_xlpm.r),ISNUMBER(_xlpm.p)),
      _xlpm.r-_xlpm.p,
      ""
   )
)
)</f>
        <v>15.08</v>
      </c>
      <c r="L43" s="4">
        <f>_xlfn.LET(
_xlpm.p,RawData!L43,
_xlpm.r,RawData!J43,
_xlpm.c,RawData!K43,
IF(ISNUMBER(_xlpm.p),_xlpm.p,
IF(AND(ISNUMBER(_xlpm.r),ISNUMBER(_xlpm.c)),
_xlpm.r-_xlpm.c,
""
)
))</f>
        <v>11.5</v>
      </c>
    </row>
    <row r="44" spans="1:12" x14ac:dyDescent="0.35">
      <c r="A44" t="s">
        <v>77</v>
      </c>
      <c r="B44" s="7">
        <v>45988</v>
      </c>
      <c r="C44" t="str">
        <f>IF(RawData!C44="","Unknown",PROPER(TRIM(CLEAN(SUBSTITUTE(RawData!C44,CHAR(160)," ")))))</f>
        <v>North</v>
      </c>
      <c r="D44" t="str">
        <f>IF(RawData!D44="","Unknown",PROPER(TRIM(CLEAN(SUBSTITUTE(RawData!D44,CHAR(160)," ")))))</f>
        <v>Jaipur</v>
      </c>
      <c r="E44" t="str">
        <f>IF(RawData!E44="","Unknown",PROPER(TRIM(CLEAN(SUBSTITUTE(RawData!E44,CHAR(160)," ")))))</f>
        <v>Laptop</v>
      </c>
      <c r="F44" t="str">
        <f>IF(RawData!F44="","Unknown",PROPER(TRIM(CLEAN(SUBSTITUTE(RawData!F44,CHAR(160)," ")))))</f>
        <v>Electronics</v>
      </c>
      <c r="G44">
        <f>_xlfn.LET(
_xlpm.q,RawData!G44,
_xlpm.u,RawData!H44,
_xlpm.d,RawData!I44,
_xlpm.r,RawData!J44,
IF(AND(ISNUMBER(_xlpm.q),_xlpm.q&gt;0),_xlpm.q,
   IF(AND(ISNUMBER(_xlpm.r),ISNUMBER(_xlpm.u),_xlpm.u&gt;0,ISNUMBER(_xlpm.d),_xlpm.d&gt;=0,_xlpm.d&lt;1),
      ROUND(_xlpm.r/(_xlpm.u*(1-_xlpm.d)),0),
      ""
   )
)
)</f>
        <v>7</v>
      </c>
      <c r="H44" s="4">
        <f>_xlfn.LET(
_xlpm.q,RawData!G44,
_xlpm.u,RawData!H44,
_xlpm.d,RawData!I44,
_xlpm.r,RawData!J44,
IF(AND(ISNUMBER(_xlpm.u),_xlpm.u&gt;0),_xlpm.u,
   IF(AND(ISNUMBER(_xlpm.q),_xlpm.q&gt;0,ISNUMBER(_xlpm.r),ISNUMBER(_xlpm.d),_xlpm.d&gt;=0,_xlpm.d&lt;1),
      _xlpm.r/(_xlpm.q*(1-_xlpm.d)),
      ""
   )
)
)</f>
        <v>801.8</v>
      </c>
      <c r="I44" s="5">
        <f>_xlfn.LET(
_xlpm.q,RawData!G44,
_xlpm.u,RawData!H44,
_xlpm.d,RawData!I44,
_xlpm.r,RawData!J44,
IF(AND(ISNUMBER(_xlpm.d),_xlpm.d&gt;=0,_xlpm.d&lt;1),_xlpm.d,
   IF(AND(ISNUMBER(_xlpm.q),_xlpm.q&gt;0,ISNUMBER(_xlpm.u),_xlpm.u&gt;0,ISNUMBER(_xlpm.r),_xlpm.r&gt;=0),
      1-(_xlpm.r/(_xlpm.q*_xlpm.u)),
      ""
   )
)
)</f>
        <v>0.2</v>
      </c>
      <c r="J44" s="4">
        <f>_xlfn.LET(
_xlpm.q,RawData!G44,
_xlpm.u,RawData!H44,
_xlpm.d,RawData!I44,
_xlpm.r,RawData!J44,
IF(AND(ISNUMBER(_xlpm.r),_xlpm.r&gt;=0),_xlpm.r,
   IF(AND(ISNUMBER(_xlpm.q),_xlpm.q&gt;0,ISNUMBER(_xlpm.u),_xlpm.u&gt;0,ISNUMBER(_xlpm.d),_xlpm.d&gt;=0,_xlpm.d&lt;1),
      _xlpm.q*_xlpm.u*(1-_xlpm.d),
      ""
   )
)
)</f>
        <v>4490.08</v>
      </c>
      <c r="K44" s="4">
        <f>_xlfn.LET(
_xlpm.c,RawData!K44,
_xlpm.r,RawData!J44,
_xlpm.p,RawData!L44,
IF(AND(ISNUMBER(_xlpm.c),_xlpm.c&gt;=0),_xlpm.c,
   IF(AND(ISNUMBER(_xlpm.r),ISNUMBER(_xlpm.p)),
      _xlpm.r-_xlpm.p,
      ""
   )
)
)</f>
        <v>2863.77</v>
      </c>
      <c r="L44" s="4">
        <f>_xlfn.LET(
_xlpm.p,RawData!L44,
_xlpm.r,RawData!J44,
_xlpm.c,RawData!K44,
IF(ISNUMBER(_xlpm.p),_xlpm.p,
IF(AND(ISNUMBER(_xlpm.r),ISNUMBER(_xlpm.c)),
_xlpm.r-_xlpm.c,
""
)
))</f>
        <v>1626.31</v>
      </c>
    </row>
    <row r="45" spans="1:12" x14ac:dyDescent="0.35">
      <c r="A45" t="s">
        <v>78</v>
      </c>
      <c r="B45" s="7">
        <v>45713</v>
      </c>
      <c r="C45" t="str">
        <f>IF(RawData!C45="","Unknown",PROPER(TRIM(CLEAN(SUBSTITUTE(RawData!C45,CHAR(160)," ")))))</f>
        <v>South</v>
      </c>
      <c r="D45" t="str">
        <f>IF(RawData!D45="","Unknown",PROPER(TRIM(CLEAN(SUBSTITUTE(RawData!D45,CHAR(160)," ")))))</f>
        <v>Chennai</v>
      </c>
      <c r="E45" t="str">
        <f>IF(RawData!E45="","Unknown",PROPER(TRIM(CLEAN(SUBSTITUTE(RawData!E45,CHAR(160)," ")))))</f>
        <v>Monitor</v>
      </c>
      <c r="F45" t="str">
        <f>IF(RawData!F45="","Unknown",PROPER(TRIM(CLEAN(SUBSTITUTE(RawData!F45,CHAR(160)," ")))))</f>
        <v>Electronics</v>
      </c>
      <c r="G45">
        <f>_xlfn.LET(
_xlpm.q,RawData!G45,
_xlpm.u,RawData!H45,
_xlpm.d,RawData!I45,
_xlpm.r,RawData!J45,
IF(AND(ISNUMBER(_xlpm.q),_xlpm.q&gt;0),_xlpm.q,
   IF(AND(ISNUMBER(_xlpm.r),ISNUMBER(_xlpm.u),_xlpm.u&gt;0,ISNUMBER(_xlpm.d),_xlpm.d&gt;=0,_xlpm.d&lt;1),
      ROUND(_xlpm.r/(_xlpm.u*(1-_xlpm.d)),0),
      ""
   )
)
)</f>
        <v>4</v>
      </c>
      <c r="H45" s="4">
        <f>_xlfn.LET(
_xlpm.q,RawData!G45,
_xlpm.u,RawData!H45,
_xlpm.d,RawData!I45,
_xlpm.r,RawData!J45,
IF(AND(ISNUMBER(_xlpm.u),_xlpm.u&gt;0),_xlpm.u,
   IF(AND(ISNUMBER(_xlpm.q),_xlpm.q&gt;0,ISNUMBER(_xlpm.r),ISNUMBER(_xlpm.d),_xlpm.d&gt;=0,_xlpm.d&lt;1),
      _xlpm.r/(_xlpm.q*(1-_xlpm.d)),
      ""
   )
)
)</f>
        <v>235.15</v>
      </c>
      <c r="I45" s="5">
        <f>_xlfn.LET(
_xlpm.q,RawData!G45,
_xlpm.u,RawData!H45,
_xlpm.d,RawData!I45,
_xlpm.r,RawData!J45,
IF(AND(ISNUMBER(_xlpm.d),_xlpm.d&gt;=0,_xlpm.d&lt;1),_xlpm.d,
   IF(AND(ISNUMBER(_xlpm.q),_xlpm.q&gt;0,ISNUMBER(_xlpm.u),_xlpm.u&gt;0,ISNUMBER(_xlpm.r),_xlpm.r&gt;=0),
      1-(_xlpm.r/(_xlpm.q*_xlpm.u)),
      ""
   )
)
)</f>
        <v>0.15</v>
      </c>
      <c r="J45" s="4">
        <f>_xlfn.LET(
_xlpm.q,RawData!G45,
_xlpm.u,RawData!H45,
_xlpm.d,RawData!I45,
_xlpm.r,RawData!J45,
IF(AND(ISNUMBER(_xlpm.r),_xlpm.r&gt;=0),_xlpm.r,
   IF(AND(ISNUMBER(_xlpm.q),_xlpm.q&gt;0,ISNUMBER(_xlpm.u),_xlpm.u&gt;0,ISNUMBER(_xlpm.d),_xlpm.d&gt;=0,_xlpm.d&lt;1),
      _xlpm.q*_xlpm.u*(1-_xlpm.d),
      ""
   )
)
)</f>
        <v>799.51</v>
      </c>
      <c r="K45" s="4">
        <f>_xlfn.LET(
_xlpm.c,RawData!K45,
_xlpm.r,RawData!J45,
_xlpm.p,RawData!L45,
IF(AND(ISNUMBER(_xlpm.c),_xlpm.c&gt;=0),_xlpm.c,
   IF(AND(ISNUMBER(_xlpm.r),ISNUMBER(_xlpm.p)),
      _xlpm.r-_xlpm.p,
      ""
   )
)
)</f>
        <v>577.36</v>
      </c>
      <c r="L45" s="4">
        <f>_xlfn.LET(
_xlpm.p,RawData!L45,
_xlpm.r,RawData!J45,
_xlpm.c,RawData!K45,
IF(ISNUMBER(_xlpm.p),_xlpm.p,
IF(AND(ISNUMBER(_xlpm.r),ISNUMBER(_xlpm.c)),
_xlpm.r-_xlpm.c,
""
)
))</f>
        <v>222.15</v>
      </c>
    </row>
    <row r="46" spans="1:12" x14ac:dyDescent="0.35">
      <c r="A46" t="s">
        <v>79</v>
      </c>
      <c r="B46" s="7">
        <v>45729</v>
      </c>
      <c r="C46" t="str">
        <f>IF(RawData!C46="","Unknown",PROPER(TRIM(CLEAN(SUBSTITUTE(RawData!C46,CHAR(160)," ")))))</f>
        <v>West</v>
      </c>
      <c r="D46" t="str">
        <f>IF(RawData!D46="","Unknown",PROPER(TRIM(CLEAN(SUBSTITUTE(RawData!D46,CHAR(160)," ")))))</f>
        <v>Mumbai</v>
      </c>
      <c r="E46" t="str">
        <f>IF(RawData!E46="","Unknown",PROPER(TRIM(CLEAN(SUBSTITUTE(RawData!E46,CHAR(160)," ")))))</f>
        <v>Headphones</v>
      </c>
      <c r="F46" t="str">
        <f>IF(RawData!F46="","Unknown",PROPER(TRIM(CLEAN(SUBSTITUTE(RawData!F46,CHAR(160)," ")))))</f>
        <v>Electronics</v>
      </c>
      <c r="G46">
        <f>_xlfn.LET(
_xlpm.q,RawData!G46,
_xlpm.u,RawData!H46,
_xlpm.d,RawData!I46,
_xlpm.r,RawData!J46,
IF(AND(ISNUMBER(_xlpm.q),_xlpm.q&gt;0),_xlpm.q,
   IF(AND(ISNUMBER(_xlpm.r),ISNUMBER(_xlpm.u),_xlpm.u&gt;0,ISNUMBER(_xlpm.d),_xlpm.d&gt;=0,_xlpm.d&lt;1),
      ROUND(_xlpm.r/(_xlpm.u*(1-_xlpm.d)),0),
      ""
   )
)
)</f>
        <v>5</v>
      </c>
      <c r="H46" s="4">
        <f>_xlfn.LET(
_xlpm.q,RawData!G46,
_xlpm.u,RawData!H46,
_xlpm.d,RawData!I46,
_xlpm.r,RawData!J46,
IF(AND(ISNUMBER(_xlpm.u),_xlpm.u&gt;0),_xlpm.u,
   IF(AND(ISNUMBER(_xlpm.q),_xlpm.q&gt;0,ISNUMBER(_xlpm.r),ISNUMBER(_xlpm.d),_xlpm.d&gt;=0,_xlpm.d&lt;1),
      _xlpm.r/(_xlpm.q*(1-_xlpm.d)),
      ""
   )
)
)</f>
        <v>89.29</v>
      </c>
      <c r="I46" s="5">
        <f>_xlfn.LET(
_xlpm.q,RawData!G46,
_xlpm.u,RawData!H46,
_xlpm.d,RawData!I46,
_xlpm.r,RawData!J46,
IF(AND(ISNUMBER(_xlpm.d),_xlpm.d&gt;=0,_xlpm.d&lt;1),_xlpm.d,
   IF(AND(ISNUMBER(_xlpm.q),_xlpm.q&gt;0,ISNUMBER(_xlpm.u),_xlpm.u&gt;0,ISNUMBER(_xlpm.r),_xlpm.r&gt;=0),
      1-(_xlpm.r/(_xlpm.q*_xlpm.u)),
      ""
   )
)
)</f>
        <v>0.1</v>
      </c>
      <c r="J46" s="4">
        <f>_xlfn.LET(
_xlpm.q,RawData!G46,
_xlpm.u,RawData!H46,
_xlpm.d,RawData!I46,
_xlpm.r,RawData!J46,
IF(AND(ISNUMBER(_xlpm.r),_xlpm.r&gt;=0),_xlpm.r,
   IF(AND(ISNUMBER(_xlpm.q),_xlpm.q&gt;0,ISNUMBER(_xlpm.u),_xlpm.u&gt;0,ISNUMBER(_xlpm.d),_xlpm.d&gt;=0,_xlpm.d&lt;1),
      _xlpm.q*_xlpm.u*(1-_xlpm.d),
      ""
   )
)
)</f>
        <v>401.81</v>
      </c>
      <c r="K46" s="4">
        <f>_xlfn.LET(
_xlpm.c,RawData!K46,
_xlpm.r,RawData!J46,
_xlpm.p,RawData!L46,
IF(AND(ISNUMBER(_xlpm.c),_xlpm.c&gt;=0),_xlpm.c,
   IF(AND(ISNUMBER(_xlpm.r),ISNUMBER(_xlpm.p)),
      _xlpm.r-_xlpm.p,
      ""
   )
)
)</f>
        <v>272.23</v>
      </c>
      <c r="L46" s="4">
        <f>_xlfn.LET(
_xlpm.p,RawData!L46,
_xlpm.r,RawData!J46,
_xlpm.c,RawData!K46,
IF(ISNUMBER(_xlpm.p),_xlpm.p,
IF(AND(ISNUMBER(_xlpm.r),ISNUMBER(_xlpm.c)),
_xlpm.r-_xlpm.c,
""
)
))</f>
        <v>129.58000000000001</v>
      </c>
    </row>
    <row r="47" spans="1:12" x14ac:dyDescent="0.35">
      <c r="A47" t="s">
        <v>80</v>
      </c>
      <c r="B47" s="7">
        <v>45696</v>
      </c>
      <c r="C47" t="str">
        <f>IF(RawData!C47="","Unknown",PROPER(TRIM(CLEAN(SUBSTITUTE(RawData!C47,CHAR(160)," ")))))</f>
        <v>West</v>
      </c>
      <c r="D47" t="str">
        <f>IF(RawData!D47="","Unknown",PROPER(TRIM(CLEAN(SUBSTITUTE(RawData!D47,CHAR(160)," ")))))</f>
        <v>Ahmedabad</v>
      </c>
      <c r="E47" t="str">
        <f>IF(RawData!E47="","Unknown",PROPER(TRIM(CLEAN(SUBSTITUTE(RawData!E47,CHAR(160)," ")))))</f>
        <v>Notebook</v>
      </c>
      <c r="F47" t="str">
        <f>IF(RawData!F47="","Unknown",PROPER(TRIM(CLEAN(SUBSTITUTE(RawData!F47,CHAR(160)," ")))))</f>
        <v>Office Supplies</v>
      </c>
      <c r="G47">
        <f>_xlfn.LET(
_xlpm.q,RawData!G47,
_xlpm.u,RawData!H47,
_xlpm.d,RawData!I47,
_xlpm.r,RawData!J47,
IF(AND(ISNUMBER(_xlpm.q),_xlpm.q&gt;0),_xlpm.q,
   IF(AND(ISNUMBER(_xlpm.r),ISNUMBER(_xlpm.u),_xlpm.u&gt;0,ISNUMBER(_xlpm.d),_xlpm.d&gt;=0,_xlpm.d&lt;1),
      ROUND(_xlpm.r/(_xlpm.u*(1-_xlpm.d)),0),
      ""
   )
)
)</f>
        <v>2</v>
      </c>
      <c r="H47" s="4">
        <f>_xlfn.LET(
_xlpm.q,RawData!G47,
_xlpm.u,RawData!H47,
_xlpm.d,RawData!I47,
_xlpm.r,RawData!J47,
IF(AND(ISNUMBER(_xlpm.u),_xlpm.u&gt;0),_xlpm.u,
   IF(AND(ISNUMBER(_xlpm.q),_xlpm.q&gt;0,ISNUMBER(_xlpm.r),ISNUMBER(_xlpm.d),_xlpm.d&gt;=0,_xlpm.d&lt;1),
      _xlpm.r/(_xlpm.q*(1-_xlpm.d)),
      ""
   )
)
)</f>
        <v>7.09</v>
      </c>
      <c r="I47" s="5">
        <f>_xlfn.LET(
_xlpm.q,RawData!G47,
_xlpm.u,RawData!H47,
_xlpm.d,RawData!I47,
_xlpm.r,RawData!J47,
IF(AND(ISNUMBER(_xlpm.d),_xlpm.d&gt;=0,_xlpm.d&lt;1),_xlpm.d,
   IF(AND(ISNUMBER(_xlpm.q),_xlpm.q&gt;0,ISNUMBER(_xlpm.u),_xlpm.u&gt;0,ISNUMBER(_xlpm.r),_xlpm.r&gt;=0),
      1-(_xlpm.r/(_xlpm.q*_xlpm.u)),
      ""
   )
)
)</f>
        <v>0</v>
      </c>
      <c r="J47" s="4">
        <f>_xlfn.LET(
_xlpm.q,RawData!G47,
_xlpm.u,RawData!H47,
_xlpm.d,RawData!I47,
_xlpm.r,RawData!J47,
IF(AND(ISNUMBER(_xlpm.r),_xlpm.r&gt;=0),_xlpm.r,
   IF(AND(ISNUMBER(_xlpm.q),_xlpm.q&gt;0,ISNUMBER(_xlpm.u),_xlpm.u&gt;0,ISNUMBER(_xlpm.d),_xlpm.d&gt;=0,_xlpm.d&lt;1),
      _xlpm.q*_xlpm.u*(1-_xlpm.d),
      ""
   )
)
)</f>
        <v>14.18</v>
      </c>
      <c r="K47" s="4">
        <f>_xlfn.LET(
_xlpm.c,RawData!K47,
_xlpm.r,RawData!J47,
_xlpm.p,RawData!L47,
IF(AND(ISNUMBER(_xlpm.c),_xlpm.c&gt;=0),_xlpm.c,
   IF(AND(ISNUMBER(_xlpm.r),ISNUMBER(_xlpm.p)),
      _xlpm.r-_xlpm.p,
      ""
   )
)
)</f>
        <v>10.53</v>
      </c>
      <c r="L47" s="4">
        <f>_xlfn.LET(
_xlpm.p,RawData!L47,
_xlpm.r,RawData!J47,
_xlpm.c,RawData!K47,
IF(ISNUMBER(_xlpm.p),_xlpm.p,
IF(AND(ISNUMBER(_xlpm.r),ISNUMBER(_xlpm.c)),
_xlpm.r-_xlpm.c,
""
)
))</f>
        <v>3.65</v>
      </c>
    </row>
    <row r="48" spans="1:12" x14ac:dyDescent="0.35">
      <c r="A48" t="s">
        <v>81</v>
      </c>
      <c r="B48" s="7">
        <v>45934</v>
      </c>
      <c r="C48" t="str">
        <f>IF(RawData!C48="","Unknown",PROPER(TRIM(CLEAN(SUBSTITUTE(RawData!C48,CHAR(160)," ")))))</f>
        <v>North</v>
      </c>
      <c r="D48" t="str">
        <f>IF(RawData!D48="","Unknown",PROPER(TRIM(CLEAN(SUBSTITUTE(RawData!D48,CHAR(160)," ")))))</f>
        <v>Jaipur</v>
      </c>
      <c r="E48" t="str">
        <f>IF(RawData!E48="","Unknown",PROPER(TRIM(CLEAN(SUBSTITUTE(RawData!E48,CHAR(160)," ")))))</f>
        <v>Smartphone</v>
      </c>
      <c r="F48" t="str">
        <f>IF(RawData!F48="","Unknown",PROPER(TRIM(CLEAN(SUBSTITUTE(RawData!F48,CHAR(160)," ")))))</f>
        <v>Electronics</v>
      </c>
      <c r="G48">
        <f>_xlfn.LET(
_xlpm.q,RawData!G48,
_xlpm.u,RawData!H48,
_xlpm.d,RawData!I48,
_xlpm.r,RawData!J48,
IF(AND(ISNUMBER(_xlpm.q),_xlpm.q&gt;0),_xlpm.q,
   IF(AND(ISNUMBER(_xlpm.r),ISNUMBER(_xlpm.u),_xlpm.u&gt;0,ISNUMBER(_xlpm.d),_xlpm.d&gt;=0,_xlpm.d&lt;1),
      ROUND(_xlpm.r/(_xlpm.u*(1-_xlpm.d)),0),
      ""
   )
)
)</f>
        <v>4</v>
      </c>
      <c r="H48" s="4">
        <f>_xlfn.LET(
_xlpm.q,RawData!G48,
_xlpm.u,RawData!H48,
_xlpm.d,RawData!I48,
_xlpm.r,RawData!J48,
IF(AND(ISNUMBER(_xlpm.u),_xlpm.u&gt;0),_xlpm.u,
   IF(AND(ISNUMBER(_xlpm.q),_xlpm.q&gt;0,ISNUMBER(_xlpm.r),ISNUMBER(_xlpm.d),_xlpm.d&gt;=0,_xlpm.d&lt;1),
      _xlpm.r/(_xlpm.q*(1-_xlpm.d)),
      ""
   )
)
)</f>
        <v>593.03</v>
      </c>
      <c r="I48" s="5">
        <f>_xlfn.LET(
_xlpm.q,RawData!G48,
_xlpm.u,RawData!H48,
_xlpm.d,RawData!I48,
_xlpm.r,RawData!J48,
IF(AND(ISNUMBER(_xlpm.d),_xlpm.d&gt;=0,_xlpm.d&lt;1),_xlpm.d,
   IF(AND(ISNUMBER(_xlpm.q),_xlpm.q&gt;0,ISNUMBER(_xlpm.u),_xlpm.u&gt;0,ISNUMBER(_xlpm.r),_xlpm.r&gt;=0),
      1-(_xlpm.r/(_xlpm.q*_xlpm.u)),
      ""
   )
)
)</f>
        <v>0.02</v>
      </c>
      <c r="J48" s="4">
        <f>_xlfn.LET(
_xlpm.q,RawData!G48,
_xlpm.u,RawData!H48,
_xlpm.d,RawData!I48,
_xlpm.r,RawData!J48,
IF(AND(ISNUMBER(_xlpm.r),_xlpm.r&gt;=0),_xlpm.r,
   IF(AND(ISNUMBER(_xlpm.q),_xlpm.q&gt;0,ISNUMBER(_xlpm.u),_xlpm.u&gt;0,ISNUMBER(_xlpm.d),_xlpm.d&gt;=0,_xlpm.d&lt;1),
      _xlpm.q*_xlpm.u*(1-_xlpm.d),
      ""
   )
)
)</f>
        <v>2324.6799999999998</v>
      </c>
      <c r="K48" s="4">
        <f>_xlfn.LET(
_xlpm.c,RawData!K48,
_xlpm.r,RawData!J48,
_xlpm.p,RawData!L48,
IF(AND(ISNUMBER(_xlpm.c),_xlpm.c&gt;=0),_xlpm.c,
   IF(AND(ISNUMBER(_xlpm.r),ISNUMBER(_xlpm.p)),
      _xlpm.r-_xlpm.p,
      ""
   )
)
)</f>
        <v>1630.87</v>
      </c>
      <c r="L48" s="4">
        <f>_xlfn.LET(
_xlpm.p,RawData!L48,
_xlpm.r,RawData!J48,
_xlpm.c,RawData!K48,
IF(ISNUMBER(_xlpm.p),_xlpm.p,
IF(AND(ISNUMBER(_xlpm.r),ISNUMBER(_xlpm.c)),
_xlpm.r-_xlpm.c,
""
)
))</f>
        <v>693.81</v>
      </c>
    </row>
    <row r="49" spans="1:12" x14ac:dyDescent="0.35">
      <c r="A49" t="s">
        <v>82</v>
      </c>
      <c r="B49" s="7">
        <v>45906</v>
      </c>
      <c r="C49" t="str">
        <f>IF(RawData!C49="","Unknown",PROPER(TRIM(CLEAN(SUBSTITUTE(RawData!C49,CHAR(160)," ")))))</f>
        <v>West</v>
      </c>
      <c r="D49" t="str">
        <f>IF(RawData!D49="","Unknown",PROPER(TRIM(CLEAN(SUBSTITUTE(RawData!D49,CHAR(160)," ")))))</f>
        <v>Mumbai</v>
      </c>
      <c r="E49" t="str">
        <f>IF(RawData!E49="","Unknown",PROPER(TRIM(CLEAN(SUBSTITUTE(RawData!E49,CHAR(160)," ")))))</f>
        <v>Monitor</v>
      </c>
      <c r="F49" t="str">
        <f>IF(RawData!F49="","Unknown",PROPER(TRIM(CLEAN(SUBSTITUTE(RawData!F49,CHAR(160)," ")))))</f>
        <v>Electronics</v>
      </c>
      <c r="G49">
        <f>_xlfn.LET(
_xlpm.q,RawData!G49,
_xlpm.u,RawData!H49,
_xlpm.d,RawData!I49,
_xlpm.r,RawData!J49,
IF(AND(ISNUMBER(_xlpm.q),_xlpm.q&gt;0),_xlpm.q,
   IF(AND(ISNUMBER(_xlpm.r),ISNUMBER(_xlpm.u),_xlpm.u&gt;0,ISNUMBER(_xlpm.d),_xlpm.d&gt;=0,_xlpm.d&lt;1),
      ROUND(_xlpm.r/(_xlpm.u*(1-_xlpm.d)),0),
      ""
   )
)
)</f>
        <v>7</v>
      </c>
      <c r="H49" s="4">
        <f>_xlfn.LET(
_xlpm.q,RawData!G49,
_xlpm.u,RawData!H49,
_xlpm.d,RawData!I49,
_xlpm.r,RawData!J49,
IF(AND(ISNUMBER(_xlpm.u),_xlpm.u&gt;0),_xlpm.u,
   IF(AND(ISNUMBER(_xlpm.q),_xlpm.q&gt;0,ISNUMBER(_xlpm.r),ISNUMBER(_xlpm.d),_xlpm.d&gt;=0,_xlpm.d&lt;1),
      _xlpm.r/(_xlpm.q*(1-_xlpm.d)),
      ""
   )
)
)</f>
        <v>237.88</v>
      </c>
      <c r="I49" s="5">
        <f>_xlfn.LET(
_xlpm.q,RawData!G49,
_xlpm.u,RawData!H49,
_xlpm.d,RawData!I49,
_xlpm.r,RawData!J49,
IF(AND(ISNUMBER(_xlpm.d),_xlpm.d&gt;=0,_xlpm.d&lt;1),_xlpm.d,
   IF(AND(ISNUMBER(_xlpm.q),_xlpm.q&gt;0,ISNUMBER(_xlpm.u),_xlpm.u&gt;0,ISNUMBER(_xlpm.r),_xlpm.r&gt;=0),
      1-(_xlpm.r/(_xlpm.q*_xlpm.u)),
      ""
   )
)
)</f>
        <v>0</v>
      </c>
      <c r="J49" s="4">
        <f>_xlfn.LET(
_xlpm.q,RawData!G49,
_xlpm.u,RawData!H49,
_xlpm.d,RawData!I49,
_xlpm.r,RawData!J49,
IF(AND(ISNUMBER(_xlpm.r),_xlpm.r&gt;=0),_xlpm.r,
   IF(AND(ISNUMBER(_xlpm.q),_xlpm.q&gt;0,ISNUMBER(_xlpm.u),_xlpm.u&gt;0,ISNUMBER(_xlpm.d),_xlpm.d&gt;=0,_xlpm.d&lt;1),
      _xlpm.q*_xlpm.u*(1-_xlpm.d),
      ""
   )
)
)</f>
        <v>1665.16</v>
      </c>
      <c r="K49" s="4">
        <f>_xlfn.LET(
_xlpm.c,RawData!K49,
_xlpm.r,RawData!J49,
_xlpm.p,RawData!L49,
IF(AND(ISNUMBER(_xlpm.c),_xlpm.c&gt;=0),_xlpm.c,
   IF(AND(ISNUMBER(_xlpm.r),ISNUMBER(_xlpm.p)),
      _xlpm.r-_xlpm.p,
      ""
   )
)
)</f>
        <v>1137.8499999999999</v>
      </c>
      <c r="L49" s="4">
        <f>_xlfn.LET(
_xlpm.p,RawData!L49,
_xlpm.r,RawData!J49,
_xlpm.c,RawData!K49,
IF(ISNUMBER(_xlpm.p),_xlpm.p,
IF(AND(ISNUMBER(_xlpm.r),ISNUMBER(_xlpm.c)),
_xlpm.r-_xlpm.c,
""
)
))</f>
        <v>527.30999999999995</v>
      </c>
    </row>
    <row r="50" spans="1:12" x14ac:dyDescent="0.35">
      <c r="A50" t="s">
        <v>83</v>
      </c>
      <c r="B50" s="7">
        <v>45852</v>
      </c>
      <c r="C50" t="str">
        <f>IF(RawData!C50="","Unknown",PROPER(TRIM(CLEAN(SUBSTITUTE(RawData!C50,CHAR(160)," ")))))</f>
        <v>North</v>
      </c>
      <c r="D50" t="str">
        <f>IF(RawData!D50="","Unknown",PROPER(TRIM(CLEAN(SUBSTITUTE(RawData!D50,CHAR(160)," ")))))</f>
        <v>Jaipur</v>
      </c>
      <c r="E50" t="str">
        <f>IF(RawData!E50="","Unknown",PROPER(TRIM(CLEAN(SUBSTITUTE(RawData!E50,CHAR(160)," ")))))</f>
        <v>Bookshelf</v>
      </c>
      <c r="F50" t="str">
        <f>IF(RawData!F50="","Unknown",PROPER(TRIM(CLEAN(SUBSTITUTE(RawData!F50,CHAR(160)," ")))))</f>
        <v>Furniture</v>
      </c>
      <c r="G50">
        <f>_xlfn.LET(
_xlpm.q,RawData!G50,
_xlpm.u,RawData!H50,
_xlpm.d,RawData!I50,
_xlpm.r,RawData!J50,
IF(AND(ISNUMBER(_xlpm.q),_xlpm.q&gt;0),_xlpm.q,
   IF(AND(ISNUMBER(_xlpm.r),ISNUMBER(_xlpm.u),_xlpm.u&gt;0,ISNUMBER(_xlpm.d),_xlpm.d&gt;=0,_xlpm.d&lt;1),
      ROUND(_xlpm.r/(_xlpm.u*(1-_xlpm.d)),0),
      ""
   )
)
)</f>
        <v>5</v>
      </c>
      <c r="H50" s="4">
        <f>_xlfn.LET(
_xlpm.q,RawData!G50,
_xlpm.u,RawData!H50,
_xlpm.d,RawData!I50,
_xlpm.r,RawData!J50,
IF(AND(ISNUMBER(_xlpm.u),_xlpm.u&gt;0),_xlpm.u,
   IF(AND(ISNUMBER(_xlpm.q),_xlpm.q&gt;0,ISNUMBER(_xlpm.r),ISNUMBER(_xlpm.d),_xlpm.d&gt;=0,_xlpm.d&lt;1),
      _xlpm.r/(_xlpm.q*(1-_xlpm.d)),
      ""
   )
)
)</f>
        <v>140.94999999999999</v>
      </c>
      <c r="I50" s="5">
        <f>_xlfn.LET(
_xlpm.q,RawData!G50,
_xlpm.u,RawData!H50,
_xlpm.d,RawData!I50,
_xlpm.r,RawData!J50,
IF(AND(ISNUMBER(_xlpm.d),_xlpm.d&gt;=0,_xlpm.d&lt;1),_xlpm.d,
   IF(AND(ISNUMBER(_xlpm.q),_xlpm.q&gt;0,ISNUMBER(_xlpm.u),_xlpm.u&gt;0,ISNUMBER(_xlpm.r),_xlpm.r&gt;=0),
      1-(_xlpm.r/(_xlpm.q*_xlpm.u)),
      ""
   )
)
)</f>
        <v>0.1</v>
      </c>
      <c r="J50" s="4">
        <f>_xlfn.LET(
_xlpm.q,RawData!G50,
_xlpm.u,RawData!H50,
_xlpm.d,RawData!I50,
_xlpm.r,RawData!J50,
IF(AND(ISNUMBER(_xlpm.r),_xlpm.r&gt;=0),_xlpm.r,
   IF(AND(ISNUMBER(_xlpm.q),_xlpm.q&gt;0,ISNUMBER(_xlpm.u),_xlpm.u&gt;0,ISNUMBER(_xlpm.d),_xlpm.d&gt;=0,_xlpm.d&lt;1),
      _xlpm.q*_xlpm.u*(1-_xlpm.d),
      ""
   )
)
)</f>
        <v>634.27</v>
      </c>
      <c r="K50" s="4">
        <f>_xlfn.LET(
_xlpm.c,RawData!K50,
_xlpm.r,RawData!J50,
_xlpm.p,RawData!L50,
IF(AND(ISNUMBER(_xlpm.c),_xlpm.c&gt;=0),_xlpm.c,
   IF(AND(ISNUMBER(_xlpm.r),ISNUMBER(_xlpm.p)),
      _xlpm.r-_xlpm.p,
      ""
   )
)
)</f>
        <v>422.07</v>
      </c>
      <c r="L50" s="4">
        <f>_xlfn.LET(
_xlpm.p,RawData!L50,
_xlpm.r,RawData!J50,
_xlpm.c,RawData!K50,
IF(ISNUMBER(_xlpm.p),_xlpm.p,
IF(AND(ISNUMBER(_xlpm.r),ISNUMBER(_xlpm.c)),
_xlpm.r-_xlpm.c,
""
)
))</f>
        <v>212.2</v>
      </c>
    </row>
    <row r="51" spans="1:12" x14ac:dyDescent="0.35">
      <c r="A51" t="s">
        <v>84</v>
      </c>
      <c r="B51" s="7">
        <v>45874</v>
      </c>
      <c r="C51" t="str">
        <f>IF(RawData!C51="","Unknown",PROPER(TRIM(CLEAN(SUBSTITUTE(RawData!C51,CHAR(160)," ")))))</f>
        <v>West</v>
      </c>
      <c r="D51" t="str">
        <f>IF(RawData!D51="","Unknown",PROPER(TRIM(CLEAN(SUBSTITUTE(RawData!D51,CHAR(160)," ")))))</f>
        <v>Mumbai</v>
      </c>
      <c r="E51" t="str">
        <f>IF(RawData!E51="","Unknown",PROPER(TRIM(CLEAN(SUBSTITUTE(RawData!E51,CHAR(160)," ")))))</f>
        <v>Headphones</v>
      </c>
      <c r="F51" t="str">
        <f>IF(RawData!F51="","Unknown",PROPER(TRIM(CLEAN(SUBSTITUTE(RawData!F51,CHAR(160)," ")))))</f>
        <v>Electronics</v>
      </c>
      <c r="G51">
        <f>_xlfn.LET(
_xlpm.q,RawData!G51,
_xlpm.u,RawData!H51,
_xlpm.d,RawData!I51,
_xlpm.r,RawData!J51,
IF(AND(ISNUMBER(_xlpm.q),_xlpm.q&gt;0),_xlpm.q,
   IF(AND(ISNUMBER(_xlpm.r),ISNUMBER(_xlpm.u),_xlpm.u&gt;0,ISNUMBER(_xlpm.d),_xlpm.d&gt;=0,_xlpm.d&lt;1),
      ROUND(_xlpm.r/(_xlpm.u*(1-_xlpm.d)),0),
      ""
   )
)
)</f>
        <v>4</v>
      </c>
      <c r="H51" s="4">
        <f>_xlfn.LET(
_xlpm.q,RawData!G51,
_xlpm.u,RawData!H51,
_xlpm.d,RawData!I51,
_xlpm.r,RawData!J51,
IF(AND(ISNUMBER(_xlpm.u),_xlpm.u&gt;0),_xlpm.u,
   IF(AND(ISNUMBER(_xlpm.q),_xlpm.q&gt;0,ISNUMBER(_xlpm.r),ISNUMBER(_xlpm.d),_xlpm.d&gt;=0,_xlpm.d&lt;1),
      _xlpm.r/(_xlpm.q*(1-_xlpm.d)),
      ""
   )
)
)</f>
        <v>68.61</v>
      </c>
      <c r="I51" s="5">
        <f>_xlfn.LET(
_xlpm.q,RawData!G51,
_xlpm.u,RawData!H51,
_xlpm.d,RawData!I51,
_xlpm.r,RawData!J51,
IF(AND(ISNUMBER(_xlpm.d),_xlpm.d&gt;=0,_xlpm.d&lt;1),_xlpm.d,
   IF(AND(ISNUMBER(_xlpm.q),_xlpm.q&gt;0,ISNUMBER(_xlpm.u),_xlpm.u&gt;0,ISNUMBER(_xlpm.r),_xlpm.r&gt;=0),
      1-(_xlpm.r/(_xlpm.q*_xlpm.u)),
      ""
   )
)
)</f>
        <v>0.05</v>
      </c>
      <c r="J51" s="4">
        <f>_xlfn.LET(
_xlpm.q,RawData!G51,
_xlpm.u,RawData!H51,
_xlpm.d,RawData!I51,
_xlpm.r,RawData!J51,
IF(AND(ISNUMBER(_xlpm.r),_xlpm.r&gt;=0),_xlpm.r,
   IF(AND(ISNUMBER(_xlpm.q),_xlpm.q&gt;0,ISNUMBER(_xlpm.u),_xlpm.u&gt;0,ISNUMBER(_xlpm.d),_xlpm.d&gt;=0,_xlpm.d&lt;1),
      _xlpm.q*_xlpm.u*(1-_xlpm.d),
      ""
   )
)
)</f>
        <v>260.72000000000003</v>
      </c>
      <c r="K51" s="4">
        <f>_xlfn.LET(
_xlpm.c,RawData!K51,
_xlpm.r,RawData!J51,
_xlpm.p,RawData!L51,
IF(AND(ISNUMBER(_xlpm.c),_xlpm.c&gt;=0),_xlpm.c,
   IF(AND(ISNUMBER(_xlpm.r),ISNUMBER(_xlpm.p)),
      _xlpm.r-_xlpm.p,
      ""
   )
)
)</f>
        <v>150.99</v>
      </c>
      <c r="L51" s="4">
        <f>_xlfn.LET(
_xlpm.p,RawData!L51,
_xlpm.r,RawData!J51,
_xlpm.c,RawData!K51,
IF(ISNUMBER(_xlpm.p),_xlpm.p,
IF(AND(ISNUMBER(_xlpm.r),ISNUMBER(_xlpm.c)),
_xlpm.r-_xlpm.c,
""
)
))</f>
        <v>109.73</v>
      </c>
    </row>
    <row r="52" spans="1:12" x14ac:dyDescent="0.35">
      <c r="A52" t="s">
        <v>85</v>
      </c>
      <c r="B52" s="7">
        <v>45687</v>
      </c>
      <c r="C52" t="str">
        <f>IF(RawData!C52="","Unknown",PROPER(TRIM(CLEAN(SUBSTITUTE(RawData!C52,CHAR(160)," ")))))</f>
        <v>North</v>
      </c>
      <c r="D52" t="str">
        <f>IF(RawData!D52="","Unknown",PROPER(TRIM(CLEAN(SUBSTITUTE(RawData!D52,CHAR(160)," ")))))</f>
        <v>Delhi</v>
      </c>
      <c r="E52" t="str">
        <f>IF(RawData!E52="","Unknown",PROPER(TRIM(CLEAN(SUBSTITUTE(RawData!E52,CHAR(160)," ")))))</f>
        <v>Keyboard</v>
      </c>
      <c r="F52" t="str">
        <f>IF(RawData!F52="","Unknown",PROPER(TRIM(CLEAN(SUBSTITUTE(RawData!F52,CHAR(160)," ")))))</f>
        <v>Accessories</v>
      </c>
      <c r="G52">
        <f>_xlfn.LET(
_xlpm.q,RawData!G52,
_xlpm.u,RawData!H52,
_xlpm.d,RawData!I52,
_xlpm.r,RawData!J52,
IF(AND(ISNUMBER(_xlpm.q),_xlpm.q&gt;0),_xlpm.q,
   IF(AND(ISNUMBER(_xlpm.r),ISNUMBER(_xlpm.u),_xlpm.u&gt;0,ISNUMBER(_xlpm.d),_xlpm.d&gt;=0,_xlpm.d&lt;1),
      ROUND(_xlpm.r/(_xlpm.u*(1-_xlpm.d)),0),
      ""
   )
)
)</f>
        <v>6</v>
      </c>
      <c r="H52" s="4">
        <f>_xlfn.LET(
_xlpm.q,RawData!G52,
_xlpm.u,RawData!H52,
_xlpm.d,RawData!I52,
_xlpm.r,RawData!J52,
IF(AND(ISNUMBER(_xlpm.u),_xlpm.u&gt;0),_xlpm.u,
   IF(AND(ISNUMBER(_xlpm.q),_xlpm.q&gt;0,ISNUMBER(_xlpm.r),ISNUMBER(_xlpm.d),_xlpm.d&gt;=0,_xlpm.d&lt;1),
      _xlpm.r/(_xlpm.q*(1-_xlpm.d)),
      ""
   )
)
)</f>
        <v>30.08</v>
      </c>
      <c r="I52" s="5">
        <f>_xlfn.LET(
_xlpm.q,RawData!G52,
_xlpm.u,RawData!H52,
_xlpm.d,RawData!I52,
_xlpm.r,RawData!J52,
IF(AND(ISNUMBER(_xlpm.d),_xlpm.d&gt;=0,_xlpm.d&lt;1),_xlpm.d,
   IF(AND(ISNUMBER(_xlpm.q),_xlpm.q&gt;0,ISNUMBER(_xlpm.u),_xlpm.u&gt;0,ISNUMBER(_xlpm.r),_xlpm.r&gt;=0),
      1-(_xlpm.r/(_xlpm.q*_xlpm.u)),
      ""
   )
)
)</f>
        <v>0</v>
      </c>
      <c r="J52" s="4">
        <f>_xlfn.LET(
_xlpm.q,RawData!G52,
_xlpm.u,RawData!H52,
_xlpm.d,RawData!I52,
_xlpm.r,RawData!J52,
IF(AND(ISNUMBER(_xlpm.r),_xlpm.r&gt;=0),_xlpm.r,
   IF(AND(ISNUMBER(_xlpm.q),_xlpm.q&gt;0,ISNUMBER(_xlpm.u),_xlpm.u&gt;0,ISNUMBER(_xlpm.d),_xlpm.d&gt;=0,_xlpm.d&lt;1),
      _xlpm.q*_xlpm.u*(1-_xlpm.d),
      ""
   )
)
)</f>
        <v>180.48</v>
      </c>
      <c r="K52" s="4">
        <f>_xlfn.LET(
_xlpm.c,RawData!K52,
_xlpm.r,RawData!J52,
_xlpm.p,RawData!L52,
IF(AND(ISNUMBER(_xlpm.c),_xlpm.c&gt;=0),_xlpm.c,
   IF(AND(ISNUMBER(_xlpm.r),ISNUMBER(_xlpm.p)),
      _xlpm.r-_xlpm.p,
      ""
   )
)
)</f>
        <v>130.28</v>
      </c>
      <c r="L52" s="4">
        <f>_xlfn.LET(
_xlpm.p,RawData!L52,
_xlpm.r,RawData!J52,
_xlpm.c,RawData!K52,
IF(ISNUMBER(_xlpm.p),_xlpm.p,
IF(AND(ISNUMBER(_xlpm.r),ISNUMBER(_xlpm.c)),
_xlpm.r-_xlpm.c,
""
)
))</f>
        <v>50.2</v>
      </c>
    </row>
    <row r="53" spans="1:12" x14ac:dyDescent="0.35">
      <c r="A53" t="s">
        <v>86</v>
      </c>
      <c r="B53" s="7">
        <v>45957</v>
      </c>
      <c r="C53" t="str">
        <f>IF(RawData!C53="","Unknown",PROPER(TRIM(CLEAN(SUBSTITUTE(RawData!C53,CHAR(160)," ")))))</f>
        <v>West</v>
      </c>
      <c r="D53" t="str">
        <f>IF(RawData!D53="","Unknown",PROPER(TRIM(CLEAN(SUBSTITUTE(RawData!D53,CHAR(160)," ")))))</f>
        <v>Mumbai</v>
      </c>
      <c r="E53" t="str">
        <f>IF(RawData!E53="","Unknown",PROPER(TRIM(CLEAN(SUBSTITUTE(RawData!E53,CHAR(160)," ")))))</f>
        <v>Notebook</v>
      </c>
      <c r="F53" t="str">
        <f>IF(RawData!F53="","Unknown",PROPER(TRIM(CLEAN(SUBSTITUTE(RawData!F53,CHAR(160)," ")))))</f>
        <v>Office Supplies</v>
      </c>
      <c r="G53">
        <f>_xlfn.LET(
_xlpm.q,RawData!G53,
_xlpm.u,RawData!H53,
_xlpm.d,RawData!I53,
_xlpm.r,RawData!J53,
IF(AND(ISNUMBER(_xlpm.q),_xlpm.q&gt;0),_xlpm.q,
   IF(AND(ISNUMBER(_xlpm.r),ISNUMBER(_xlpm.u),_xlpm.u&gt;0,ISNUMBER(_xlpm.d),_xlpm.d&gt;=0,_xlpm.d&lt;1),
      ROUND(_xlpm.r/(_xlpm.u*(1-_xlpm.d)),0),
      ""
   )
)
)</f>
        <v>9</v>
      </c>
      <c r="H53" s="4">
        <f>_xlfn.LET(
_xlpm.q,RawData!G53,
_xlpm.u,RawData!H53,
_xlpm.d,RawData!I53,
_xlpm.r,RawData!J53,
IF(AND(ISNUMBER(_xlpm.u),_xlpm.u&gt;0),_xlpm.u,
   IF(AND(ISNUMBER(_xlpm.q),_xlpm.q&gt;0,ISNUMBER(_xlpm.r),ISNUMBER(_xlpm.d),_xlpm.d&gt;=0,_xlpm.d&lt;1),
      _xlpm.r/(_xlpm.q*(1-_xlpm.d)),
      ""
   )
)
)</f>
        <v>7.55</v>
      </c>
      <c r="I53" s="5">
        <f>_xlfn.LET(
_xlpm.q,RawData!G53,
_xlpm.u,RawData!H53,
_xlpm.d,RawData!I53,
_xlpm.r,RawData!J53,
IF(AND(ISNUMBER(_xlpm.d),_xlpm.d&gt;=0,_xlpm.d&lt;1),_xlpm.d,
   IF(AND(ISNUMBER(_xlpm.q),_xlpm.q&gt;0,ISNUMBER(_xlpm.u),_xlpm.u&gt;0,ISNUMBER(_xlpm.r),_xlpm.r&gt;=0),
      1-(_xlpm.r/(_xlpm.q*_xlpm.u)),
      ""
   )
)
)</f>
        <v>0.02</v>
      </c>
      <c r="J53" s="4">
        <f>_xlfn.LET(
_xlpm.q,RawData!G53,
_xlpm.u,RawData!H53,
_xlpm.d,RawData!I53,
_xlpm.r,RawData!J53,
IF(AND(ISNUMBER(_xlpm.r),_xlpm.r&gt;=0),_xlpm.r,
   IF(AND(ISNUMBER(_xlpm.q),_xlpm.q&gt;0,ISNUMBER(_xlpm.u),_xlpm.u&gt;0,ISNUMBER(_xlpm.d),_xlpm.d&gt;=0,_xlpm.d&lt;1),
      _xlpm.q*_xlpm.u*(1-_xlpm.d),
      ""
   )
)
)</f>
        <v>66.59</v>
      </c>
      <c r="K53" s="4">
        <f>_xlfn.LET(
_xlpm.c,RawData!K53,
_xlpm.r,RawData!J53,
_xlpm.p,RawData!L53,
IF(AND(ISNUMBER(_xlpm.c),_xlpm.c&gt;=0),_xlpm.c,
   IF(AND(ISNUMBER(_xlpm.r),ISNUMBER(_xlpm.p)),
      _xlpm.r-_xlpm.p,
      ""
   )
)
)</f>
        <v>45.77</v>
      </c>
      <c r="L53" s="4">
        <f>_xlfn.LET(
_xlpm.p,RawData!L53,
_xlpm.r,RawData!J53,
_xlpm.c,RawData!K53,
IF(ISNUMBER(_xlpm.p),_xlpm.p,
IF(AND(ISNUMBER(_xlpm.r),ISNUMBER(_xlpm.c)),
_xlpm.r-_xlpm.c,
""
)
))</f>
        <v>20.82</v>
      </c>
    </row>
    <row r="54" spans="1:12" x14ac:dyDescent="0.35">
      <c r="A54" t="s">
        <v>87</v>
      </c>
      <c r="B54" s="7">
        <v>45918</v>
      </c>
      <c r="C54" t="str">
        <f>IF(RawData!C54="","Unknown",PROPER(TRIM(CLEAN(SUBSTITUTE(RawData!C54,CHAR(160)," ")))))</f>
        <v>North</v>
      </c>
      <c r="D54" t="str">
        <f>IF(RawData!D54="","Unknown",PROPER(TRIM(CLEAN(SUBSTITUTE(RawData!D54,CHAR(160)," ")))))</f>
        <v>Delhi</v>
      </c>
      <c r="E54" t="str">
        <f>IF(RawData!E54="","Unknown",PROPER(TRIM(CLEAN(SUBSTITUTE(RawData!E54,CHAR(160)," ")))))</f>
        <v>Headphones</v>
      </c>
      <c r="F54" t="str">
        <f>IF(RawData!F54="","Unknown",PROPER(TRIM(CLEAN(SUBSTITUTE(RawData!F54,CHAR(160)," ")))))</f>
        <v>Electronics</v>
      </c>
      <c r="G54">
        <f>_xlfn.LET(
_xlpm.q,RawData!G54,
_xlpm.u,RawData!H54,
_xlpm.d,RawData!I54,
_xlpm.r,RawData!J54,
IF(AND(ISNUMBER(_xlpm.q),_xlpm.q&gt;0),_xlpm.q,
   IF(AND(ISNUMBER(_xlpm.r),ISNUMBER(_xlpm.u),_xlpm.u&gt;0,ISNUMBER(_xlpm.d),_xlpm.d&gt;=0,_xlpm.d&lt;1),
      ROUND(_xlpm.r/(_xlpm.u*(1-_xlpm.d)),0),
      ""
   )
)
)</f>
        <v>2</v>
      </c>
      <c r="H54" s="4">
        <f>_xlfn.LET(
_xlpm.q,RawData!G54,
_xlpm.u,RawData!H54,
_xlpm.d,RawData!I54,
_xlpm.r,RawData!J54,
IF(AND(ISNUMBER(_xlpm.u),_xlpm.u&gt;0),_xlpm.u,
   IF(AND(ISNUMBER(_xlpm.q),_xlpm.q&gt;0,ISNUMBER(_xlpm.r),ISNUMBER(_xlpm.d),_xlpm.d&gt;=0,_xlpm.d&lt;1),
      _xlpm.r/(_xlpm.q*(1-_xlpm.d)),
      ""
   )
)
)</f>
        <v>89.78</v>
      </c>
      <c r="I54" s="5">
        <f>_xlfn.LET(
_xlpm.q,RawData!G54,
_xlpm.u,RawData!H54,
_xlpm.d,RawData!I54,
_xlpm.r,RawData!J54,
IF(AND(ISNUMBER(_xlpm.d),_xlpm.d&gt;=0,_xlpm.d&lt;1),_xlpm.d,
   IF(AND(ISNUMBER(_xlpm.q),_xlpm.q&gt;0,ISNUMBER(_xlpm.u),_xlpm.u&gt;0,ISNUMBER(_xlpm.r),_xlpm.r&gt;=0),
      1-(_xlpm.r/(_xlpm.q*_xlpm.u)),
      ""
   )
)
)</f>
        <v>0.15</v>
      </c>
      <c r="J54" s="4">
        <f>_xlfn.LET(
_xlpm.q,RawData!G54,
_xlpm.u,RawData!H54,
_xlpm.d,RawData!I54,
_xlpm.r,RawData!J54,
IF(AND(ISNUMBER(_xlpm.r),_xlpm.r&gt;=0),_xlpm.r,
   IF(AND(ISNUMBER(_xlpm.q),_xlpm.q&gt;0,ISNUMBER(_xlpm.u),_xlpm.u&gt;0,ISNUMBER(_xlpm.d),_xlpm.d&gt;=0,_xlpm.d&lt;1),
      _xlpm.q*_xlpm.u*(1-_xlpm.d),
      ""
   )
)
)</f>
        <v>152.63</v>
      </c>
      <c r="K54" s="4">
        <f>_xlfn.LET(
_xlpm.c,RawData!K54,
_xlpm.r,RawData!J54,
_xlpm.p,RawData!L54,
IF(AND(ISNUMBER(_xlpm.c),_xlpm.c&gt;=0),_xlpm.c,
   IF(AND(ISNUMBER(_xlpm.r),ISNUMBER(_xlpm.p)),
      _xlpm.r-_xlpm.p,
      ""
   )
)
)</f>
        <v>94.22</v>
      </c>
      <c r="L54" s="4">
        <f>_xlfn.LET(
_xlpm.p,RawData!L54,
_xlpm.r,RawData!J54,
_xlpm.c,RawData!K54,
IF(ISNUMBER(_xlpm.p),_xlpm.p,
IF(AND(ISNUMBER(_xlpm.r),ISNUMBER(_xlpm.c)),
_xlpm.r-_xlpm.c,
""
)
))</f>
        <v>58.41</v>
      </c>
    </row>
    <row r="55" spans="1:12" x14ac:dyDescent="0.35">
      <c r="A55" t="s">
        <v>88</v>
      </c>
      <c r="B55" s="7">
        <v>46003</v>
      </c>
      <c r="C55" t="str">
        <f>IF(RawData!C55="","Unknown",PROPER(TRIM(CLEAN(SUBSTITUTE(RawData!C55,CHAR(160)," ")))))</f>
        <v>South</v>
      </c>
      <c r="D55" t="str">
        <f>IF(RawData!D55="","Unknown",PROPER(TRIM(CLEAN(SUBSTITUTE(RawData!D55,CHAR(160)," ")))))</f>
        <v>Hyderabad</v>
      </c>
      <c r="E55" t="str">
        <f>IF(RawData!E55="","Unknown",PROPER(TRIM(CLEAN(SUBSTITUTE(RawData!E55,CHAR(160)," ")))))</f>
        <v>Bookshelf</v>
      </c>
      <c r="F55" t="str">
        <f>IF(RawData!F55="","Unknown",PROPER(TRIM(CLEAN(SUBSTITUTE(RawData!F55,CHAR(160)," ")))))</f>
        <v>Furniture</v>
      </c>
      <c r="G55">
        <f>_xlfn.LET(
_xlpm.q,RawData!G55,
_xlpm.u,RawData!H55,
_xlpm.d,RawData!I55,
_xlpm.r,RawData!J55,
IF(AND(ISNUMBER(_xlpm.q),_xlpm.q&gt;0),_xlpm.q,
   IF(AND(ISNUMBER(_xlpm.r),ISNUMBER(_xlpm.u),_xlpm.u&gt;0,ISNUMBER(_xlpm.d),_xlpm.d&gt;=0,_xlpm.d&lt;1),
      ROUND(_xlpm.r/(_xlpm.u*(1-_xlpm.d)),0),
      ""
   )
)
)</f>
        <v>2</v>
      </c>
      <c r="H55" s="4">
        <f>_xlfn.LET(
_xlpm.q,RawData!G55,
_xlpm.u,RawData!H55,
_xlpm.d,RawData!I55,
_xlpm.r,RawData!J55,
IF(AND(ISNUMBER(_xlpm.u),_xlpm.u&gt;0),_xlpm.u,
   IF(AND(ISNUMBER(_xlpm.q),_xlpm.q&gt;0,ISNUMBER(_xlpm.r),ISNUMBER(_xlpm.d),_xlpm.d&gt;=0,_xlpm.d&lt;1),
      _xlpm.r/(_xlpm.q*(1-_xlpm.d)),
      ""
   )
)
)</f>
        <v>136.24</v>
      </c>
      <c r="I55" s="5">
        <f>_xlfn.LET(
_xlpm.q,RawData!G55,
_xlpm.u,RawData!H55,
_xlpm.d,RawData!I55,
_xlpm.r,RawData!J55,
IF(AND(ISNUMBER(_xlpm.d),_xlpm.d&gt;=0,_xlpm.d&lt;1),_xlpm.d,
   IF(AND(ISNUMBER(_xlpm.q),_xlpm.q&gt;0,ISNUMBER(_xlpm.u),_xlpm.u&gt;0,ISNUMBER(_xlpm.r),_xlpm.r&gt;=0),
      1-(_xlpm.r/(_xlpm.q*_xlpm.u)),
      ""
   )
)
)</f>
        <v>0.15</v>
      </c>
      <c r="J55" s="4">
        <f>_xlfn.LET(
_xlpm.q,RawData!G55,
_xlpm.u,RawData!H55,
_xlpm.d,RawData!I55,
_xlpm.r,RawData!J55,
IF(AND(ISNUMBER(_xlpm.r),_xlpm.r&gt;=0),_xlpm.r,
   IF(AND(ISNUMBER(_xlpm.q),_xlpm.q&gt;0,ISNUMBER(_xlpm.u),_xlpm.u&gt;0,ISNUMBER(_xlpm.d),_xlpm.d&gt;=0,_xlpm.d&lt;1),
      _xlpm.q*_xlpm.u*(1-_xlpm.d),
      ""
   )
)
)</f>
        <v>231.61</v>
      </c>
      <c r="K55" s="4">
        <f>_xlfn.LET(
_xlpm.c,RawData!K55,
_xlpm.r,RawData!J55,
_xlpm.p,RawData!L55,
IF(AND(ISNUMBER(_xlpm.c),_xlpm.c&gt;=0),_xlpm.c,
   IF(AND(ISNUMBER(_xlpm.r),ISNUMBER(_xlpm.p)),
      _xlpm.r-_xlpm.p,
      ""
   )
)
)</f>
        <v>174.63</v>
      </c>
      <c r="L55" s="4">
        <f>_xlfn.LET(
_xlpm.p,RawData!L55,
_xlpm.r,RawData!J55,
_xlpm.c,RawData!K55,
IF(ISNUMBER(_xlpm.p),_xlpm.p,
IF(AND(ISNUMBER(_xlpm.r),ISNUMBER(_xlpm.c)),
_xlpm.r-_xlpm.c,
""
)
))</f>
        <v>56.98</v>
      </c>
    </row>
    <row r="56" spans="1:12" x14ac:dyDescent="0.35">
      <c r="A56" t="s">
        <v>89</v>
      </c>
      <c r="B56" s="7">
        <v>45954</v>
      </c>
      <c r="C56" t="str">
        <f>IF(RawData!C56="","Unknown",PROPER(TRIM(CLEAN(SUBSTITUTE(RawData!C56,CHAR(160)," ")))))</f>
        <v>North</v>
      </c>
      <c r="D56" t="str">
        <f>IF(RawData!D56="","Unknown",PROPER(TRIM(CLEAN(SUBSTITUTE(RawData!D56,CHAR(160)," ")))))</f>
        <v>Lucknow</v>
      </c>
      <c r="E56" t="str">
        <f>IF(RawData!E56="","Unknown",PROPER(TRIM(CLEAN(SUBSTITUTE(RawData!E56,CHAR(160)," ")))))</f>
        <v>Pen Set</v>
      </c>
      <c r="F56" t="str">
        <f>IF(RawData!F56="","Unknown",PROPER(TRIM(CLEAN(SUBSTITUTE(RawData!F56,CHAR(160)," ")))))</f>
        <v>Office Supplies</v>
      </c>
      <c r="G56">
        <f>_xlfn.LET(
_xlpm.q,RawData!G56,
_xlpm.u,RawData!H56,
_xlpm.d,RawData!I56,
_xlpm.r,RawData!J56,
IF(AND(ISNUMBER(_xlpm.q),_xlpm.q&gt;0),_xlpm.q,
   IF(AND(ISNUMBER(_xlpm.r),ISNUMBER(_xlpm.u),_xlpm.u&gt;0,ISNUMBER(_xlpm.d),_xlpm.d&gt;=0,_xlpm.d&lt;1),
      ROUND(_xlpm.r/(_xlpm.u*(1-_xlpm.d)),0),
      ""
   )
)
)</f>
        <v>2</v>
      </c>
      <c r="H56" s="4">
        <f>_xlfn.LET(
_xlpm.q,RawData!G56,
_xlpm.u,RawData!H56,
_xlpm.d,RawData!I56,
_xlpm.r,RawData!J56,
IF(AND(ISNUMBER(_xlpm.u),_xlpm.u&gt;0),_xlpm.u,
   IF(AND(ISNUMBER(_xlpm.q),_xlpm.q&gt;0,ISNUMBER(_xlpm.r),ISNUMBER(_xlpm.d),_xlpm.d&gt;=0,_xlpm.d&lt;1),
      _xlpm.r/(_xlpm.q*(1-_xlpm.d)),
      ""
   )
)
)</f>
        <v>11.02</v>
      </c>
      <c r="I56" s="5">
        <f>_xlfn.LET(
_xlpm.q,RawData!G56,
_xlpm.u,RawData!H56,
_xlpm.d,RawData!I56,
_xlpm.r,RawData!J56,
IF(AND(ISNUMBER(_xlpm.d),_xlpm.d&gt;=0,_xlpm.d&lt;1),_xlpm.d,
   IF(AND(ISNUMBER(_xlpm.q),_xlpm.q&gt;0,ISNUMBER(_xlpm.u),_xlpm.u&gt;0,ISNUMBER(_xlpm.r),_xlpm.r&gt;=0),
      1-(_xlpm.r/(_xlpm.q*_xlpm.u)),
      ""
   )
)
)</f>
        <v>0.1</v>
      </c>
      <c r="J56" s="4">
        <f>_xlfn.LET(
_xlpm.q,RawData!G56,
_xlpm.u,RawData!H56,
_xlpm.d,RawData!I56,
_xlpm.r,RawData!J56,
IF(AND(ISNUMBER(_xlpm.r),_xlpm.r&gt;=0),_xlpm.r,
   IF(AND(ISNUMBER(_xlpm.q),_xlpm.q&gt;0,ISNUMBER(_xlpm.u),_xlpm.u&gt;0,ISNUMBER(_xlpm.d),_xlpm.d&gt;=0,_xlpm.d&lt;1),
      _xlpm.q*_xlpm.u*(1-_xlpm.d),
      ""
   )
)
)</f>
        <v>19.84</v>
      </c>
      <c r="K56" s="4">
        <f>_xlfn.LET(
_xlpm.c,RawData!K56,
_xlpm.r,RawData!J56,
_xlpm.p,RawData!L56,
IF(AND(ISNUMBER(_xlpm.c),_xlpm.c&gt;=0),_xlpm.c,
   IF(AND(ISNUMBER(_xlpm.r),ISNUMBER(_xlpm.p)),
      _xlpm.r-_xlpm.p,
      ""
   )
)
)</f>
        <v>11.32</v>
      </c>
      <c r="L56" s="4">
        <f>_xlfn.LET(
_xlpm.p,RawData!L56,
_xlpm.r,RawData!J56,
_xlpm.c,RawData!K56,
IF(ISNUMBER(_xlpm.p),_xlpm.p,
IF(AND(ISNUMBER(_xlpm.r),ISNUMBER(_xlpm.c)),
_xlpm.r-_xlpm.c,
""
)
))</f>
        <v>8.52</v>
      </c>
    </row>
    <row r="57" spans="1:12" x14ac:dyDescent="0.35">
      <c r="A57" t="s">
        <v>90</v>
      </c>
      <c r="B57" s="7">
        <v>45956</v>
      </c>
      <c r="C57" t="str">
        <f>IF(RawData!C57="","Unknown",PROPER(TRIM(CLEAN(SUBSTITUTE(RawData!C57,CHAR(160)," ")))))</f>
        <v>East</v>
      </c>
      <c r="D57" t="str">
        <f>IF(RawData!D57="","Unknown",PROPER(TRIM(CLEAN(SUBSTITUTE(RawData!D57,CHAR(160)," ")))))</f>
        <v>Patna</v>
      </c>
      <c r="E57" t="str">
        <f>IF(RawData!E57="","Unknown",PROPER(TRIM(CLEAN(SUBSTITUTE(RawData!E57,CHAR(160)," ")))))</f>
        <v>Office Chair</v>
      </c>
      <c r="F57" t="str">
        <f>IF(RawData!F57="","Unknown",PROPER(TRIM(CLEAN(SUBSTITUTE(RawData!F57,CHAR(160)," ")))))</f>
        <v>Furniture</v>
      </c>
      <c r="G57">
        <f>_xlfn.LET(
_xlpm.q,RawData!G57,
_xlpm.u,RawData!H57,
_xlpm.d,RawData!I57,
_xlpm.r,RawData!J57,
IF(AND(ISNUMBER(_xlpm.q),_xlpm.q&gt;0),_xlpm.q,
   IF(AND(ISNUMBER(_xlpm.r),ISNUMBER(_xlpm.u),_xlpm.u&gt;0,ISNUMBER(_xlpm.d),_xlpm.d&gt;=0,_xlpm.d&lt;1),
      ROUND(_xlpm.r/(_xlpm.u*(1-_xlpm.d)),0),
      ""
   )
)
)</f>
        <v>4</v>
      </c>
      <c r="H57" s="4">
        <f>_xlfn.LET(
_xlpm.q,RawData!G57,
_xlpm.u,RawData!H57,
_xlpm.d,RawData!I57,
_xlpm.r,RawData!J57,
IF(AND(ISNUMBER(_xlpm.u),_xlpm.u&gt;0),_xlpm.u,
   IF(AND(ISNUMBER(_xlpm.q),_xlpm.q&gt;0,ISNUMBER(_xlpm.r),ISNUMBER(_xlpm.d),_xlpm.d&gt;=0,_xlpm.d&lt;1),
      _xlpm.r/(_xlpm.q*(1-_xlpm.d)),
      ""
   )
)
)</f>
        <v>168.65</v>
      </c>
      <c r="I57" s="5">
        <f>_xlfn.LET(
_xlpm.q,RawData!G57,
_xlpm.u,RawData!H57,
_xlpm.d,RawData!I57,
_xlpm.r,RawData!J57,
IF(AND(ISNUMBER(_xlpm.d),_xlpm.d&gt;=0,_xlpm.d&lt;1),_xlpm.d,
   IF(AND(ISNUMBER(_xlpm.q),_xlpm.q&gt;0,ISNUMBER(_xlpm.u),_xlpm.u&gt;0,ISNUMBER(_xlpm.r),_xlpm.r&gt;=0),
      1-(_xlpm.r/(_xlpm.q*_xlpm.u)),
      ""
   )
)
)</f>
        <v>0.2</v>
      </c>
      <c r="J57" s="4">
        <f>_xlfn.LET(
_xlpm.q,RawData!G57,
_xlpm.u,RawData!H57,
_xlpm.d,RawData!I57,
_xlpm.r,RawData!J57,
IF(AND(ISNUMBER(_xlpm.r),_xlpm.r&gt;=0),_xlpm.r,
   IF(AND(ISNUMBER(_xlpm.q),_xlpm.q&gt;0,ISNUMBER(_xlpm.u),_xlpm.u&gt;0,ISNUMBER(_xlpm.d),_xlpm.d&gt;=0,_xlpm.d&lt;1),
      _xlpm.q*_xlpm.u*(1-_xlpm.d),
      ""
   )
)
)</f>
        <v>539.67999999999995</v>
      </c>
      <c r="K57" s="4">
        <f>_xlfn.LET(
_xlpm.c,RawData!K57,
_xlpm.r,RawData!J57,
_xlpm.p,RawData!L57,
IF(AND(ISNUMBER(_xlpm.c),_xlpm.c&gt;=0),_xlpm.c,
   IF(AND(ISNUMBER(_xlpm.r),ISNUMBER(_xlpm.p)),
      _xlpm.r-_xlpm.p,
      ""
   )
)
)</f>
        <v>320.32</v>
      </c>
      <c r="L57" s="4">
        <f>_xlfn.LET(
_xlpm.p,RawData!L57,
_xlpm.r,RawData!J57,
_xlpm.c,RawData!K57,
IF(ISNUMBER(_xlpm.p),_xlpm.p,
IF(AND(ISNUMBER(_xlpm.r),ISNUMBER(_xlpm.c)),
_xlpm.r-_xlpm.c,
""
)
))</f>
        <v>219.36</v>
      </c>
    </row>
    <row r="58" spans="1:12" x14ac:dyDescent="0.35">
      <c r="A58" t="s">
        <v>91</v>
      </c>
      <c r="B58" s="7">
        <v>45818</v>
      </c>
      <c r="C58" t="str">
        <f>IF(RawData!C58="","Unknown",PROPER(TRIM(CLEAN(SUBSTITUTE(RawData!C58,CHAR(160)," ")))))</f>
        <v>South</v>
      </c>
      <c r="D58" t="str">
        <f>IF(RawData!D58="","Unknown",PROPER(TRIM(CLEAN(SUBSTITUTE(RawData!D58,CHAR(160)," ")))))</f>
        <v>Bengaluru</v>
      </c>
      <c r="E58" t="str">
        <f>IF(RawData!E58="","Unknown",PROPER(TRIM(CLEAN(SUBSTITUTE(RawData!E58,CHAR(160)," ")))))</f>
        <v>Office Chair</v>
      </c>
      <c r="F58" t="str">
        <f>IF(RawData!F58="","Unknown",PROPER(TRIM(CLEAN(SUBSTITUTE(RawData!F58,CHAR(160)," ")))))</f>
        <v>Furniture</v>
      </c>
      <c r="G58">
        <f>_xlfn.LET(
_xlpm.q,RawData!G58,
_xlpm.u,RawData!H58,
_xlpm.d,RawData!I58,
_xlpm.r,RawData!J58,
IF(AND(ISNUMBER(_xlpm.q),_xlpm.q&gt;0),_xlpm.q,
   IF(AND(ISNUMBER(_xlpm.r),ISNUMBER(_xlpm.u),_xlpm.u&gt;0,ISNUMBER(_xlpm.d),_xlpm.d&gt;=0,_xlpm.d&lt;1),
      ROUND(_xlpm.r/(_xlpm.u*(1-_xlpm.d)),0),
      ""
   )
)
)</f>
        <v>7</v>
      </c>
      <c r="H58" s="4">
        <f>_xlfn.LET(
_xlpm.q,RawData!G58,
_xlpm.u,RawData!H58,
_xlpm.d,RawData!I58,
_xlpm.r,RawData!J58,
IF(AND(ISNUMBER(_xlpm.u),_xlpm.u&gt;0),_xlpm.u,
   IF(AND(ISNUMBER(_xlpm.q),_xlpm.q&gt;0,ISNUMBER(_xlpm.r),ISNUMBER(_xlpm.d),_xlpm.d&gt;=0,_xlpm.d&lt;1),
      _xlpm.r/(_xlpm.q*(1-_xlpm.d)),
      ""
   )
)
)</f>
        <v>203.2</v>
      </c>
      <c r="I58" s="5">
        <f>_xlfn.LET(
_xlpm.q,RawData!G58,
_xlpm.u,RawData!H58,
_xlpm.d,RawData!I58,
_xlpm.r,RawData!J58,
IF(AND(ISNUMBER(_xlpm.d),_xlpm.d&gt;=0,_xlpm.d&lt;1),_xlpm.d,
   IF(AND(ISNUMBER(_xlpm.q),_xlpm.q&gt;0,ISNUMBER(_xlpm.u),_xlpm.u&gt;0,ISNUMBER(_xlpm.r),_xlpm.r&gt;=0),
      1-(_xlpm.r/(_xlpm.q*_xlpm.u)),
      ""
   )
)
)</f>
        <v>0.02</v>
      </c>
      <c r="J58" s="4">
        <f>_xlfn.LET(
_xlpm.q,RawData!G58,
_xlpm.u,RawData!H58,
_xlpm.d,RawData!I58,
_xlpm.r,RawData!J58,
IF(AND(ISNUMBER(_xlpm.r),_xlpm.r&gt;=0),_xlpm.r,
   IF(AND(ISNUMBER(_xlpm.q),_xlpm.q&gt;0,ISNUMBER(_xlpm.u),_xlpm.u&gt;0,ISNUMBER(_xlpm.d),_xlpm.d&gt;=0,_xlpm.d&lt;1),
      _xlpm.q*_xlpm.u*(1-_xlpm.d),
      ""
   )
)
)</f>
        <v>1393.95</v>
      </c>
      <c r="K58" s="4">
        <f>_xlfn.LET(
_xlpm.c,RawData!K58,
_xlpm.r,RawData!J58,
_xlpm.p,RawData!L58,
IF(AND(ISNUMBER(_xlpm.c),_xlpm.c&gt;=0),_xlpm.c,
   IF(AND(ISNUMBER(_xlpm.r),ISNUMBER(_xlpm.p)),
      _xlpm.r-_xlpm.p,
      ""
   )
)
)</f>
        <v>1070.82</v>
      </c>
      <c r="L58" s="4">
        <f>_xlfn.LET(
_xlpm.p,RawData!L58,
_xlpm.r,RawData!J58,
_xlpm.c,RawData!K58,
IF(ISNUMBER(_xlpm.p),_xlpm.p,
IF(AND(ISNUMBER(_xlpm.r),ISNUMBER(_xlpm.c)),
_xlpm.r-_xlpm.c,
""
)
))</f>
        <v>323.13</v>
      </c>
    </row>
    <row r="59" spans="1:12" x14ac:dyDescent="0.35">
      <c r="A59" t="s">
        <v>92</v>
      </c>
      <c r="B59" s="7">
        <v>45988</v>
      </c>
      <c r="C59" t="str">
        <f>IF(RawData!C59="","Unknown",PROPER(TRIM(CLEAN(SUBSTITUTE(RawData!C59,CHAR(160)," ")))))</f>
        <v>East</v>
      </c>
      <c r="D59" t="str">
        <f>IF(RawData!D59="","Unknown",PROPER(TRIM(CLEAN(SUBSTITUTE(RawData!D59,CHAR(160)," ")))))</f>
        <v>Kolkata</v>
      </c>
      <c r="E59" t="str">
        <f>IF(RawData!E59="","Unknown",PROPER(TRIM(CLEAN(SUBSTITUTE(RawData!E59,CHAR(160)," ")))))</f>
        <v>Printer</v>
      </c>
      <c r="F59" t="str">
        <f>IF(RawData!F59="","Unknown",PROPER(TRIM(CLEAN(SUBSTITUTE(RawData!F59,CHAR(160)," ")))))</f>
        <v>Office Supplies</v>
      </c>
      <c r="G59">
        <f>_xlfn.LET(
_xlpm.q,RawData!G59,
_xlpm.u,RawData!H59,
_xlpm.d,RawData!I59,
_xlpm.r,RawData!J59,
IF(AND(ISNUMBER(_xlpm.q),_xlpm.q&gt;0),_xlpm.q,
   IF(AND(ISNUMBER(_xlpm.r),ISNUMBER(_xlpm.u),_xlpm.u&gt;0,ISNUMBER(_xlpm.d),_xlpm.d&gt;=0,_xlpm.d&lt;1),
      ROUND(_xlpm.r/(_xlpm.u*(1-_xlpm.d)),0),
      ""
   )
)
)</f>
        <v>6</v>
      </c>
      <c r="H59" s="4">
        <f>_xlfn.LET(
_xlpm.q,RawData!G59,
_xlpm.u,RawData!H59,
_xlpm.d,RawData!I59,
_xlpm.r,RawData!J59,
IF(AND(ISNUMBER(_xlpm.u),_xlpm.u&gt;0),_xlpm.u,
   IF(AND(ISNUMBER(_xlpm.q),_xlpm.q&gt;0,ISNUMBER(_xlpm.r),ISNUMBER(_xlpm.d),_xlpm.d&gt;=0,_xlpm.d&lt;1),
      _xlpm.r/(_xlpm.q*(1-_xlpm.d)),
      ""
   )
)
)</f>
        <v>166.4</v>
      </c>
      <c r="I59" s="5">
        <f>_xlfn.LET(
_xlpm.q,RawData!G59,
_xlpm.u,RawData!H59,
_xlpm.d,RawData!I59,
_xlpm.r,RawData!J59,
IF(AND(ISNUMBER(_xlpm.d),_xlpm.d&gt;=0,_xlpm.d&lt;1),_xlpm.d,
   IF(AND(ISNUMBER(_xlpm.q),_xlpm.q&gt;0,ISNUMBER(_xlpm.u),_xlpm.u&gt;0,ISNUMBER(_xlpm.r),_xlpm.r&gt;=0),
      1-(_xlpm.r/(_xlpm.q*_xlpm.u)),
      ""
   )
)
)</f>
        <v>0</v>
      </c>
      <c r="J59" s="4">
        <f>_xlfn.LET(
_xlpm.q,RawData!G59,
_xlpm.u,RawData!H59,
_xlpm.d,RawData!I59,
_xlpm.r,RawData!J59,
IF(AND(ISNUMBER(_xlpm.r),_xlpm.r&gt;=0),_xlpm.r,
   IF(AND(ISNUMBER(_xlpm.q),_xlpm.q&gt;0,ISNUMBER(_xlpm.u),_xlpm.u&gt;0,ISNUMBER(_xlpm.d),_xlpm.d&gt;=0,_xlpm.d&lt;1),
      _xlpm.q*_xlpm.u*(1-_xlpm.d),
      ""
   )
)
)</f>
        <v>998.4</v>
      </c>
      <c r="K59" s="4">
        <f>_xlfn.LET(
_xlpm.c,RawData!K59,
_xlpm.r,RawData!J59,
_xlpm.p,RawData!L59,
IF(AND(ISNUMBER(_xlpm.c),_xlpm.c&gt;=0),_xlpm.c,
   IF(AND(ISNUMBER(_xlpm.r),ISNUMBER(_xlpm.p)),
      _xlpm.r-_xlpm.p,
      ""
   )
)
)</f>
        <v>784.04</v>
      </c>
      <c r="L59" s="4">
        <f>_xlfn.LET(
_xlpm.p,RawData!L59,
_xlpm.r,RawData!J59,
_xlpm.c,RawData!K59,
IF(ISNUMBER(_xlpm.p),_xlpm.p,
IF(AND(ISNUMBER(_xlpm.r),ISNUMBER(_xlpm.c)),
_xlpm.r-_xlpm.c,
""
)
))</f>
        <v>214.36</v>
      </c>
    </row>
    <row r="60" spans="1:12" x14ac:dyDescent="0.35">
      <c r="A60" t="s">
        <v>93</v>
      </c>
      <c r="B60" s="7">
        <v>45892</v>
      </c>
      <c r="C60" t="str">
        <f>IF(RawData!C60="","Unknown",PROPER(TRIM(CLEAN(SUBSTITUTE(RawData!C60,CHAR(160)," ")))))</f>
        <v>North</v>
      </c>
      <c r="D60" t="str">
        <f>IF(RawData!D60="","Unknown",PROPER(TRIM(CLEAN(SUBSTITUTE(RawData!D60,CHAR(160)," ")))))</f>
        <v>Lucknow</v>
      </c>
      <c r="E60" t="str">
        <f>IF(RawData!E60="","Unknown",PROPER(TRIM(CLEAN(SUBSTITUTE(RawData!E60,CHAR(160)," ")))))</f>
        <v>Smartphone</v>
      </c>
      <c r="F60" t="str">
        <f>IF(RawData!F60="","Unknown",PROPER(TRIM(CLEAN(SUBSTITUTE(RawData!F60,CHAR(160)," ")))))</f>
        <v>Electronics</v>
      </c>
      <c r="G60">
        <f>_xlfn.LET(
_xlpm.q,RawData!G60,
_xlpm.u,RawData!H60,
_xlpm.d,RawData!I60,
_xlpm.r,RawData!J60,
IF(AND(ISNUMBER(_xlpm.q),_xlpm.q&gt;0),_xlpm.q,
   IF(AND(ISNUMBER(_xlpm.r),ISNUMBER(_xlpm.u),_xlpm.u&gt;0,ISNUMBER(_xlpm.d),_xlpm.d&gt;=0,_xlpm.d&lt;1),
      ROUND(_xlpm.r/(_xlpm.u*(1-_xlpm.d)),0),
      ""
   )
)
)</f>
        <v>9</v>
      </c>
      <c r="H60" s="4">
        <f>_xlfn.LET(
_xlpm.q,RawData!G60,
_xlpm.u,RawData!H60,
_xlpm.d,RawData!I60,
_xlpm.r,RawData!J60,
IF(AND(ISNUMBER(_xlpm.u),_xlpm.u&gt;0),_xlpm.u,
   IF(AND(ISNUMBER(_xlpm.q),_xlpm.q&gt;0,ISNUMBER(_xlpm.r),ISNUMBER(_xlpm.d),_xlpm.d&gt;=0,_xlpm.d&lt;1),
      _xlpm.r/(_xlpm.q*(1-_xlpm.d)),
      ""
   )
)
)</f>
        <v>600.11</v>
      </c>
      <c r="I60" s="5">
        <f>_xlfn.LET(
_xlpm.q,RawData!G60,
_xlpm.u,RawData!H60,
_xlpm.d,RawData!I60,
_xlpm.r,RawData!J60,
IF(AND(ISNUMBER(_xlpm.d),_xlpm.d&gt;=0,_xlpm.d&lt;1),_xlpm.d,
   IF(AND(ISNUMBER(_xlpm.q),_xlpm.q&gt;0,ISNUMBER(_xlpm.u),_xlpm.u&gt;0,ISNUMBER(_xlpm.r),_xlpm.r&gt;=0),
      1-(_xlpm.r/(_xlpm.q*_xlpm.u)),
      ""
   )
)
)</f>
        <v>0.02</v>
      </c>
      <c r="J60" s="4">
        <f>_xlfn.LET(
_xlpm.q,RawData!G60,
_xlpm.u,RawData!H60,
_xlpm.d,RawData!I60,
_xlpm.r,RawData!J60,
IF(AND(ISNUMBER(_xlpm.r),_xlpm.r&gt;=0),_xlpm.r,
   IF(AND(ISNUMBER(_xlpm.q),_xlpm.q&gt;0,ISNUMBER(_xlpm.u),_xlpm.u&gt;0,ISNUMBER(_xlpm.d),_xlpm.d&gt;=0,_xlpm.d&lt;1),
      _xlpm.q*_xlpm.u*(1-_xlpm.d),
      ""
   )
)
)</f>
        <v>5292.97</v>
      </c>
      <c r="K60" s="4">
        <f>_xlfn.LET(
_xlpm.c,RawData!K60,
_xlpm.r,RawData!J60,
_xlpm.p,RawData!L60,
IF(AND(ISNUMBER(_xlpm.c),_xlpm.c&gt;=0),_xlpm.c,
   IF(AND(ISNUMBER(_xlpm.r),ISNUMBER(_xlpm.p)),
      _xlpm.r-_xlpm.p,
      ""
   )
)
)</f>
        <v>3177.76</v>
      </c>
      <c r="L60" s="4">
        <f>_xlfn.LET(
_xlpm.p,RawData!L60,
_xlpm.r,RawData!J60,
_xlpm.c,RawData!K60,
IF(ISNUMBER(_xlpm.p),_xlpm.p,
IF(AND(ISNUMBER(_xlpm.r),ISNUMBER(_xlpm.c)),
_xlpm.r-_xlpm.c,
""
)
))</f>
        <v>2115.21</v>
      </c>
    </row>
    <row r="61" spans="1:12" x14ac:dyDescent="0.35">
      <c r="A61" t="s">
        <v>94</v>
      </c>
      <c r="B61" s="7">
        <v>45793</v>
      </c>
      <c r="C61" t="str">
        <f>IF(RawData!C61="","Unknown",PROPER(TRIM(CLEAN(SUBSTITUTE(RawData!C61,CHAR(160)," ")))))</f>
        <v>South</v>
      </c>
      <c r="D61" t="str">
        <f>IF(RawData!D61="","Unknown",PROPER(TRIM(CLEAN(SUBSTITUTE(RawData!D61,CHAR(160)," ")))))</f>
        <v>Chennai</v>
      </c>
      <c r="E61" t="str">
        <f>IF(RawData!E61="","Unknown",PROPER(TRIM(CLEAN(SUBSTITUTE(RawData!E61,CHAR(160)," ")))))</f>
        <v>Desk</v>
      </c>
      <c r="F61" t="str">
        <f>IF(RawData!F61="","Unknown",PROPER(TRIM(CLEAN(SUBSTITUTE(RawData!F61,CHAR(160)," ")))))</f>
        <v>Furniture</v>
      </c>
      <c r="G61">
        <f>_xlfn.LET(
_xlpm.q,RawData!G61,
_xlpm.u,RawData!H61,
_xlpm.d,RawData!I61,
_xlpm.r,RawData!J61,
IF(AND(ISNUMBER(_xlpm.q),_xlpm.q&gt;0),_xlpm.q,
   IF(AND(ISNUMBER(_xlpm.r),ISNUMBER(_xlpm.u),_xlpm.u&gt;0,ISNUMBER(_xlpm.d),_xlpm.d&gt;=0,_xlpm.d&lt;1),
      ROUND(_xlpm.r/(_xlpm.u*(1-_xlpm.d)),0),
      ""
   )
)
)</f>
        <v>2</v>
      </c>
      <c r="H61" s="4">
        <f>_xlfn.LET(
_xlpm.q,RawData!G61,
_xlpm.u,RawData!H61,
_xlpm.d,RawData!I61,
_xlpm.r,RawData!J61,
IF(AND(ISNUMBER(_xlpm.u),_xlpm.u&gt;0),_xlpm.u,
   IF(AND(ISNUMBER(_xlpm.q),_xlpm.q&gt;0,ISNUMBER(_xlpm.r),ISNUMBER(_xlpm.d),_xlpm.d&gt;=0,_xlpm.d&lt;1),
      _xlpm.r/(_xlpm.q*(1-_xlpm.d)),
      ""
   )
)
)</f>
        <v>279.44</v>
      </c>
      <c r="I61" s="5">
        <f>_xlfn.LET(
_xlpm.q,RawData!G61,
_xlpm.u,RawData!H61,
_xlpm.d,RawData!I61,
_xlpm.r,RawData!J61,
IF(AND(ISNUMBER(_xlpm.d),_xlpm.d&gt;=0,_xlpm.d&lt;1),_xlpm.d,
   IF(AND(ISNUMBER(_xlpm.q),_xlpm.q&gt;0,ISNUMBER(_xlpm.u),_xlpm.u&gt;0,ISNUMBER(_xlpm.r),_xlpm.r&gt;=0),
      1-(_xlpm.r/(_xlpm.q*_xlpm.u)),
      ""
   )
)
)</f>
        <v>0.02</v>
      </c>
      <c r="J61" s="4">
        <f>_xlfn.LET(
_xlpm.q,RawData!G61,
_xlpm.u,RawData!H61,
_xlpm.d,RawData!I61,
_xlpm.r,RawData!J61,
IF(AND(ISNUMBER(_xlpm.r),_xlpm.r&gt;=0),_xlpm.r,
   IF(AND(ISNUMBER(_xlpm.q),_xlpm.q&gt;0,ISNUMBER(_xlpm.u),_xlpm.u&gt;0,ISNUMBER(_xlpm.d),_xlpm.d&gt;=0,_xlpm.d&lt;1),
      _xlpm.q*_xlpm.u*(1-_xlpm.d),
      ""
   )
)
)</f>
        <v>547.70000000000005</v>
      </c>
      <c r="K61" s="4">
        <f>_xlfn.LET(
_xlpm.c,RawData!K61,
_xlpm.r,RawData!J61,
_xlpm.p,RawData!L61,
IF(AND(ISNUMBER(_xlpm.c),_xlpm.c&gt;=0),_xlpm.c,
   IF(AND(ISNUMBER(_xlpm.r),ISNUMBER(_xlpm.p)),
      _xlpm.r-_xlpm.p,
      ""
   )
)
)</f>
        <v>380.99</v>
      </c>
      <c r="L61" s="4">
        <f>_xlfn.LET(
_xlpm.p,RawData!L61,
_xlpm.r,RawData!J61,
_xlpm.c,RawData!K61,
IF(ISNUMBER(_xlpm.p),_xlpm.p,
IF(AND(ISNUMBER(_xlpm.r),ISNUMBER(_xlpm.c)),
_xlpm.r-_xlpm.c,
""
)
))</f>
        <v>166.71</v>
      </c>
    </row>
    <row r="62" spans="1:12" x14ac:dyDescent="0.35">
      <c r="A62" t="s">
        <v>95</v>
      </c>
      <c r="B62" s="7">
        <v>45803</v>
      </c>
      <c r="C62" t="str">
        <f>IF(RawData!C62="","Unknown",PROPER(TRIM(CLEAN(SUBSTITUTE(RawData!C62,CHAR(160)," ")))))</f>
        <v>South</v>
      </c>
      <c r="D62" t="str">
        <f>IF(RawData!D62="","Unknown",PROPER(TRIM(CLEAN(SUBSTITUTE(RawData!D62,CHAR(160)," ")))))</f>
        <v>Chennai</v>
      </c>
      <c r="E62" t="str">
        <f>IF(RawData!E62="","Unknown",PROPER(TRIM(CLEAN(SUBSTITUTE(RawData!E62,CHAR(160)," ")))))</f>
        <v>Printer</v>
      </c>
      <c r="F62" t="str">
        <f>IF(RawData!F62="","Unknown",PROPER(TRIM(CLEAN(SUBSTITUTE(RawData!F62,CHAR(160)," ")))))</f>
        <v>Office Supplies</v>
      </c>
      <c r="G62">
        <f>_xlfn.LET(
_xlpm.q,RawData!G62,
_xlpm.u,RawData!H62,
_xlpm.d,RawData!I62,
_xlpm.r,RawData!J62,
IF(AND(ISNUMBER(_xlpm.q),_xlpm.q&gt;0),_xlpm.q,
   IF(AND(ISNUMBER(_xlpm.r),ISNUMBER(_xlpm.u),_xlpm.u&gt;0,ISNUMBER(_xlpm.d),_xlpm.d&gt;=0,_xlpm.d&lt;1),
      ROUND(_xlpm.r/(_xlpm.u*(1-_xlpm.d)),0),
      ""
   )
)
)</f>
        <v>9</v>
      </c>
      <c r="H62" s="4">
        <f>_xlfn.LET(
_xlpm.q,RawData!G62,
_xlpm.u,RawData!H62,
_xlpm.d,RawData!I62,
_xlpm.r,RawData!J62,
IF(AND(ISNUMBER(_xlpm.u),_xlpm.u&gt;0),_xlpm.u,
   IF(AND(ISNUMBER(_xlpm.q),_xlpm.q&gt;0,ISNUMBER(_xlpm.r),ISNUMBER(_xlpm.d),_xlpm.d&gt;=0,_xlpm.d&lt;1),
      _xlpm.r/(_xlpm.q*(1-_xlpm.d)),
      ""
   )
)
)</f>
        <v>174.76</v>
      </c>
      <c r="I62" s="5">
        <f>_xlfn.LET(
_xlpm.q,RawData!G62,
_xlpm.u,RawData!H62,
_xlpm.d,RawData!I62,
_xlpm.r,RawData!J62,
IF(AND(ISNUMBER(_xlpm.d),_xlpm.d&gt;=0,_xlpm.d&lt;1),_xlpm.d,
   IF(AND(ISNUMBER(_xlpm.q),_xlpm.q&gt;0,ISNUMBER(_xlpm.u),_xlpm.u&gt;0,ISNUMBER(_xlpm.r),_xlpm.r&gt;=0),
      1-(_xlpm.r/(_xlpm.q*_xlpm.u)),
      ""
   )
)
)</f>
        <v>0.2</v>
      </c>
      <c r="J62" s="4">
        <f>_xlfn.LET(
_xlpm.q,RawData!G62,
_xlpm.u,RawData!H62,
_xlpm.d,RawData!I62,
_xlpm.r,RawData!J62,
IF(AND(ISNUMBER(_xlpm.r),_xlpm.r&gt;=0),_xlpm.r,
   IF(AND(ISNUMBER(_xlpm.q),_xlpm.q&gt;0,ISNUMBER(_xlpm.u),_xlpm.u&gt;0,ISNUMBER(_xlpm.d),_xlpm.d&gt;=0,_xlpm.d&lt;1),
      _xlpm.q*_xlpm.u*(1-_xlpm.d),
      ""
   )
)
)</f>
        <v>1258.27</v>
      </c>
      <c r="K62" s="4">
        <f>_xlfn.LET(
_xlpm.c,RawData!K62,
_xlpm.r,RawData!J62,
_xlpm.p,RawData!L62,
IF(AND(ISNUMBER(_xlpm.c),_xlpm.c&gt;=0),_xlpm.c,
   IF(AND(ISNUMBER(_xlpm.r),ISNUMBER(_xlpm.p)),
      _xlpm.r-_xlpm.p,
      ""
   )
)
)</f>
        <v>996.48</v>
      </c>
      <c r="L62" s="4">
        <f>_xlfn.LET(
_xlpm.p,RawData!L62,
_xlpm.r,RawData!J62,
_xlpm.c,RawData!K62,
IF(ISNUMBER(_xlpm.p),_xlpm.p,
IF(AND(ISNUMBER(_xlpm.r),ISNUMBER(_xlpm.c)),
_xlpm.r-_xlpm.c,
""
)
))</f>
        <v>261.79000000000002</v>
      </c>
    </row>
    <row r="63" spans="1:12" x14ac:dyDescent="0.35">
      <c r="A63" t="s">
        <v>96</v>
      </c>
      <c r="B63" s="7">
        <v>45971</v>
      </c>
      <c r="C63" t="str">
        <f>IF(RawData!C63="","Unknown",PROPER(TRIM(CLEAN(SUBSTITUTE(RawData!C63,CHAR(160)," ")))))</f>
        <v>North</v>
      </c>
      <c r="D63" t="str">
        <f>IF(RawData!D63="","Unknown",PROPER(TRIM(CLEAN(SUBSTITUTE(RawData!D63,CHAR(160)," ")))))</f>
        <v>Lucknow</v>
      </c>
      <c r="E63" t="str">
        <f>IF(RawData!E63="","Unknown",PROPER(TRIM(CLEAN(SUBSTITUTE(RawData!E63,CHAR(160)," ")))))</f>
        <v>Backpack</v>
      </c>
      <c r="F63" t="str">
        <f>IF(RawData!F63="","Unknown",PROPER(TRIM(CLEAN(SUBSTITUTE(RawData!F63,CHAR(160)," ")))))</f>
        <v>Accessories</v>
      </c>
      <c r="G63">
        <f>_xlfn.LET(
_xlpm.q,RawData!G63,
_xlpm.u,RawData!H63,
_xlpm.d,RawData!I63,
_xlpm.r,RawData!J63,
IF(AND(ISNUMBER(_xlpm.q),_xlpm.q&gt;0),_xlpm.q,
   IF(AND(ISNUMBER(_xlpm.r),ISNUMBER(_xlpm.u),_xlpm.u&gt;0,ISNUMBER(_xlpm.d),_xlpm.d&gt;=0,_xlpm.d&lt;1),
      ROUND(_xlpm.r/(_xlpm.u*(1-_xlpm.d)),0),
      ""
   )
)
)</f>
        <v>9</v>
      </c>
      <c r="H63" s="4">
        <f>_xlfn.LET(
_xlpm.q,RawData!G63,
_xlpm.u,RawData!H63,
_xlpm.d,RawData!I63,
_xlpm.r,RawData!J63,
IF(AND(ISNUMBER(_xlpm.u),_xlpm.u&gt;0),_xlpm.u,
   IF(AND(ISNUMBER(_xlpm.q),_xlpm.q&gt;0,ISNUMBER(_xlpm.r),ISNUMBER(_xlpm.d),_xlpm.d&gt;=0,_xlpm.d&lt;1),
      _xlpm.r/(_xlpm.q*(1-_xlpm.d)),
      ""
   )
)
)</f>
        <v>42.54</v>
      </c>
      <c r="I63" s="5">
        <f>_xlfn.LET(
_xlpm.q,RawData!G63,
_xlpm.u,RawData!H63,
_xlpm.d,RawData!I63,
_xlpm.r,RawData!J63,
IF(AND(ISNUMBER(_xlpm.d),_xlpm.d&gt;=0,_xlpm.d&lt;1),_xlpm.d,
   IF(AND(ISNUMBER(_xlpm.q),_xlpm.q&gt;0,ISNUMBER(_xlpm.u),_xlpm.u&gt;0,ISNUMBER(_xlpm.r),_xlpm.r&gt;=0),
      1-(_xlpm.r/(_xlpm.q*_xlpm.u)),
      ""
   )
)
)</f>
        <v>0.05</v>
      </c>
      <c r="J63" s="4">
        <f>_xlfn.LET(
_xlpm.q,RawData!G63,
_xlpm.u,RawData!H63,
_xlpm.d,RawData!I63,
_xlpm.r,RawData!J63,
IF(AND(ISNUMBER(_xlpm.r),_xlpm.r&gt;=0),_xlpm.r,
   IF(AND(ISNUMBER(_xlpm.q),_xlpm.q&gt;0,ISNUMBER(_xlpm.u),_xlpm.u&gt;0,ISNUMBER(_xlpm.d),_xlpm.d&gt;=0,_xlpm.d&lt;1),
      _xlpm.q*_xlpm.u*(1-_xlpm.d),
      ""
   )
)
)</f>
        <v>363.72</v>
      </c>
      <c r="K63" s="4">
        <f>_xlfn.LET(
_xlpm.c,RawData!K63,
_xlpm.r,RawData!J63,
_xlpm.p,RawData!L63,
IF(AND(ISNUMBER(_xlpm.c),_xlpm.c&gt;=0),_xlpm.c,
   IF(AND(ISNUMBER(_xlpm.r),ISNUMBER(_xlpm.p)),
      _xlpm.r-_xlpm.p,
      ""
   )
)
)</f>
        <v>210.85</v>
      </c>
      <c r="L63" s="4">
        <f>_xlfn.LET(
_xlpm.p,RawData!L63,
_xlpm.r,RawData!J63,
_xlpm.c,RawData!K63,
IF(ISNUMBER(_xlpm.p),_xlpm.p,
IF(AND(ISNUMBER(_xlpm.r),ISNUMBER(_xlpm.c)),
_xlpm.r-_xlpm.c,
""
)
))</f>
        <v>152.87</v>
      </c>
    </row>
    <row r="64" spans="1:12" x14ac:dyDescent="0.35">
      <c r="A64" t="s">
        <v>97</v>
      </c>
      <c r="B64" s="7">
        <v>45711</v>
      </c>
      <c r="C64" t="str">
        <f>IF(RawData!C64="","Unknown",PROPER(TRIM(CLEAN(SUBSTITUTE(RawData!C64,CHAR(160)," ")))))</f>
        <v>South</v>
      </c>
      <c r="D64" t="str">
        <f>IF(RawData!D64="","Unknown",PROPER(TRIM(CLEAN(SUBSTITUTE(RawData!D64,CHAR(160)," ")))))</f>
        <v>Bengaluru</v>
      </c>
      <c r="E64" t="str">
        <f>IF(RawData!E64="","Unknown",PROPER(TRIM(CLEAN(SUBSTITUTE(RawData!E64,CHAR(160)," ")))))</f>
        <v>Office Chair</v>
      </c>
      <c r="F64" t="str">
        <f>IF(RawData!F64="","Unknown",PROPER(TRIM(CLEAN(SUBSTITUTE(RawData!F64,CHAR(160)," ")))))</f>
        <v>Furniture</v>
      </c>
      <c r="G64">
        <f>_xlfn.LET(
_xlpm.q,RawData!G64,
_xlpm.u,RawData!H64,
_xlpm.d,RawData!I64,
_xlpm.r,RawData!J64,
IF(AND(ISNUMBER(_xlpm.q),_xlpm.q&gt;0),_xlpm.q,
   IF(AND(ISNUMBER(_xlpm.r),ISNUMBER(_xlpm.u),_xlpm.u&gt;0,ISNUMBER(_xlpm.d),_xlpm.d&gt;=0,_xlpm.d&lt;1),
      ROUND(_xlpm.r/(_xlpm.u*(1-_xlpm.d)),0),
      ""
   )
)
)</f>
        <v>2</v>
      </c>
      <c r="H64" s="4">
        <f>_xlfn.LET(
_xlpm.q,RawData!G64,
_xlpm.u,RawData!H64,
_xlpm.d,RawData!I64,
_xlpm.r,RawData!J64,
IF(AND(ISNUMBER(_xlpm.u),_xlpm.u&gt;0),_xlpm.u,
   IF(AND(ISNUMBER(_xlpm.q),_xlpm.q&gt;0,ISNUMBER(_xlpm.r),ISNUMBER(_xlpm.d),_xlpm.d&gt;=0,_xlpm.d&lt;1),
      _xlpm.r/(_xlpm.q*(1-_xlpm.d)),
      ""
   )
)
)</f>
        <v>165.31</v>
      </c>
      <c r="I64" s="5">
        <f>_xlfn.LET(
_xlpm.q,RawData!G64,
_xlpm.u,RawData!H64,
_xlpm.d,RawData!I64,
_xlpm.r,RawData!J64,
IF(AND(ISNUMBER(_xlpm.d),_xlpm.d&gt;=0,_xlpm.d&lt;1),_xlpm.d,
   IF(AND(ISNUMBER(_xlpm.q),_xlpm.q&gt;0,ISNUMBER(_xlpm.u),_xlpm.u&gt;0,ISNUMBER(_xlpm.r),_xlpm.r&gt;=0),
      1-(_xlpm.r/(_xlpm.q*_xlpm.u)),
      ""
   )
)
)</f>
        <v>0</v>
      </c>
      <c r="J64" s="4">
        <f>_xlfn.LET(
_xlpm.q,RawData!G64,
_xlpm.u,RawData!H64,
_xlpm.d,RawData!I64,
_xlpm.r,RawData!J64,
IF(AND(ISNUMBER(_xlpm.r),_xlpm.r&gt;=0),_xlpm.r,
   IF(AND(ISNUMBER(_xlpm.q),_xlpm.q&gt;0,ISNUMBER(_xlpm.u),_xlpm.u&gt;0,ISNUMBER(_xlpm.d),_xlpm.d&gt;=0,_xlpm.d&lt;1),
      _xlpm.q*_xlpm.u*(1-_xlpm.d),
      ""
   )
)
)</f>
        <v>330.62</v>
      </c>
      <c r="K64" s="4">
        <f>_xlfn.LET(
_xlpm.c,RawData!K64,
_xlpm.r,RawData!J64,
_xlpm.p,RawData!L64,
IF(AND(ISNUMBER(_xlpm.c),_xlpm.c&gt;=0),_xlpm.c,
   IF(AND(ISNUMBER(_xlpm.r),ISNUMBER(_xlpm.p)),
      _xlpm.r-_xlpm.p,
      ""
   )
)
)</f>
        <v>219.97</v>
      </c>
      <c r="L64" s="4">
        <f>_xlfn.LET(
_xlpm.p,RawData!L64,
_xlpm.r,RawData!J64,
_xlpm.c,RawData!K64,
IF(ISNUMBER(_xlpm.p),_xlpm.p,
IF(AND(ISNUMBER(_xlpm.r),ISNUMBER(_xlpm.c)),
_xlpm.r-_xlpm.c,
""
)
))</f>
        <v>110.65</v>
      </c>
    </row>
    <row r="65" spans="1:12" x14ac:dyDescent="0.35">
      <c r="A65" t="s">
        <v>98</v>
      </c>
      <c r="B65" s="7">
        <v>45941</v>
      </c>
      <c r="C65" t="str">
        <f>IF(RawData!C65="","Unknown",PROPER(TRIM(CLEAN(SUBSTITUTE(RawData!C65,CHAR(160)," ")))))</f>
        <v>South</v>
      </c>
      <c r="D65" t="str">
        <f>IF(RawData!D65="","Unknown",PROPER(TRIM(CLEAN(SUBSTITUTE(RawData!D65,CHAR(160)," ")))))</f>
        <v>Hyderabad</v>
      </c>
      <c r="E65" t="str">
        <f>IF(RawData!E65="","Unknown",PROPER(TRIM(CLEAN(SUBSTITUTE(RawData!E65,CHAR(160)," ")))))</f>
        <v>Office Chair</v>
      </c>
      <c r="F65" t="str">
        <f>IF(RawData!F65="","Unknown",PROPER(TRIM(CLEAN(SUBSTITUTE(RawData!F65,CHAR(160)," ")))))</f>
        <v>Furniture</v>
      </c>
      <c r="G65">
        <f>_xlfn.LET(
_xlpm.q,RawData!G65,
_xlpm.u,RawData!H65,
_xlpm.d,RawData!I65,
_xlpm.r,RawData!J65,
IF(AND(ISNUMBER(_xlpm.q),_xlpm.q&gt;0),_xlpm.q,
   IF(AND(ISNUMBER(_xlpm.r),ISNUMBER(_xlpm.u),_xlpm.u&gt;0,ISNUMBER(_xlpm.d),_xlpm.d&gt;=0,_xlpm.d&lt;1),
      ROUND(_xlpm.r/(_xlpm.u*(1-_xlpm.d)),0),
      ""
   )
)
)</f>
        <v>5</v>
      </c>
      <c r="H65" s="4">
        <f>_xlfn.LET(
_xlpm.q,RawData!G65,
_xlpm.u,RawData!H65,
_xlpm.d,RawData!I65,
_xlpm.r,RawData!J65,
IF(AND(ISNUMBER(_xlpm.u),_xlpm.u&gt;0),_xlpm.u,
   IF(AND(ISNUMBER(_xlpm.q),_xlpm.q&gt;0,ISNUMBER(_xlpm.r),ISNUMBER(_xlpm.d),_xlpm.d&gt;=0,_xlpm.d&lt;1),
      _xlpm.r/(_xlpm.q*(1-_xlpm.d)),
      ""
   )
)
)</f>
        <v>197.17</v>
      </c>
      <c r="I65" s="5">
        <f>_xlfn.LET(
_xlpm.q,RawData!G65,
_xlpm.u,RawData!H65,
_xlpm.d,RawData!I65,
_xlpm.r,RawData!J65,
IF(AND(ISNUMBER(_xlpm.d),_xlpm.d&gt;=0,_xlpm.d&lt;1),_xlpm.d,
   IF(AND(ISNUMBER(_xlpm.q),_xlpm.q&gt;0,ISNUMBER(_xlpm.u),_xlpm.u&gt;0,ISNUMBER(_xlpm.r),_xlpm.r&gt;=0),
      1-(_xlpm.r/(_xlpm.q*_xlpm.u)),
      ""
   )
)
)</f>
        <v>0.15</v>
      </c>
      <c r="J65" s="4">
        <f>_xlfn.LET(
_xlpm.q,RawData!G65,
_xlpm.u,RawData!H65,
_xlpm.d,RawData!I65,
_xlpm.r,RawData!J65,
IF(AND(ISNUMBER(_xlpm.r),_xlpm.r&gt;=0),_xlpm.r,
   IF(AND(ISNUMBER(_xlpm.q),_xlpm.q&gt;0,ISNUMBER(_xlpm.u),_xlpm.u&gt;0,ISNUMBER(_xlpm.d),_xlpm.d&gt;=0,_xlpm.d&lt;1),
      _xlpm.q*_xlpm.u*(1-_xlpm.d),
      ""
   )
)
)</f>
        <v>837.97</v>
      </c>
      <c r="K65" s="4">
        <f>_xlfn.LET(
_xlpm.c,RawData!K65,
_xlpm.r,RawData!J65,
_xlpm.p,RawData!L65,
IF(AND(ISNUMBER(_xlpm.c),_xlpm.c&gt;=0),_xlpm.c,
   IF(AND(ISNUMBER(_xlpm.r),ISNUMBER(_xlpm.p)),
      _xlpm.r-_xlpm.p,
      ""
   )
)
)</f>
        <v>655.63</v>
      </c>
      <c r="L65" s="4">
        <f>_xlfn.LET(
_xlpm.p,RawData!L65,
_xlpm.r,RawData!J65,
_xlpm.c,RawData!K65,
IF(ISNUMBER(_xlpm.p),_xlpm.p,
IF(AND(ISNUMBER(_xlpm.r),ISNUMBER(_xlpm.c)),
_xlpm.r-_xlpm.c,
""
)
))</f>
        <v>182.34</v>
      </c>
    </row>
    <row r="66" spans="1:12" x14ac:dyDescent="0.35">
      <c r="A66" t="s">
        <v>99</v>
      </c>
      <c r="B66" s="7">
        <v>45833</v>
      </c>
      <c r="C66" t="str">
        <f>IF(RawData!C66="","Unknown",PROPER(TRIM(CLEAN(SUBSTITUTE(RawData!C66,CHAR(160)," ")))))</f>
        <v>South</v>
      </c>
      <c r="D66" t="str">
        <f>IF(RawData!D66="","Unknown",PROPER(TRIM(CLEAN(SUBSTITUTE(RawData!D66,CHAR(160)," ")))))</f>
        <v>Chennai</v>
      </c>
      <c r="E66" t="str">
        <f>IF(RawData!E66="","Unknown",PROPER(TRIM(CLEAN(SUBSTITUTE(RawData!E66,CHAR(160)," ")))))</f>
        <v>Backpack</v>
      </c>
      <c r="F66" t="str">
        <f>IF(RawData!F66="","Unknown",PROPER(TRIM(CLEAN(SUBSTITUTE(RawData!F66,CHAR(160)," ")))))</f>
        <v>Accessories</v>
      </c>
      <c r="G66">
        <f>_xlfn.LET(
_xlpm.q,RawData!G66,
_xlpm.u,RawData!H66,
_xlpm.d,RawData!I66,
_xlpm.r,RawData!J66,
IF(AND(ISNUMBER(_xlpm.q),_xlpm.q&gt;0),_xlpm.q,
   IF(AND(ISNUMBER(_xlpm.r),ISNUMBER(_xlpm.u),_xlpm.u&gt;0,ISNUMBER(_xlpm.d),_xlpm.d&gt;=0,_xlpm.d&lt;1),
      ROUND(_xlpm.r/(_xlpm.u*(1-_xlpm.d)),0),
      ""
   )
)
)</f>
        <v>5</v>
      </c>
      <c r="H66" s="4">
        <f>_xlfn.LET(
_xlpm.q,RawData!G66,
_xlpm.u,RawData!H66,
_xlpm.d,RawData!I66,
_xlpm.r,RawData!J66,
IF(AND(ISNUMBER(_xlpm.u),_xlpm.u&gt;0),_xlpm.u,
   IF(AND(ISNUMBER(_xlpm.q),_xlpm.q&gt;0,ISNUMBER(_xlpm.r),ISNUMBER(_xlpm.d),_xlpm.d&gt;=0,_xlpm.d&lt;1),
      _xlpm.r/(_xlpm.q*(1-_xlpm.d)),
      ""
   )
)
)</f>
        <v>38.340000000000003</v>
      </c>
      <c r="I66" s="5">
        <f>_xlfn.LET(
_xlpm.q,RawData!G66,
_xlpm.u,RawData!H66,
_xlpm.d,RawData!I66,
_xlpm.r,RawData!J66,
IF(AND(ISNUMBER(_xlpm.d),_xlpm.d&gt;=0,_xlpm.d&lt;1),_xlpm.d,
   IF(AND(ISNUMBER(_xlpm.q),_xlpm.q&gt;0,ISNUMBER(_xlpm.u),_xlpm.u&gt;0,ISNUMBER(_xlpm.r),_xlpm.r&gt;=0),
      1-(_xlpm.r/(_xlpm.q*_xlpm.u)),
      ""
   )
)
)</f>
        <v>0.15</v>
      </c>
      <c r="J66" s="4">
        <f>_xlfn.LET(
_xlpm.q,RawData!G66,
_xlpm.u,RawData!H66,
_xlpm.d,RawData!I66,
_xlpm.r,RawData!J66,
IF(AND(ISNUMBER(_xlpm.r),_xlpm.r&gt;=0),_xlpm.r,
   IF(AND(ISNUMBER(_xlpm.q),_xlpm.q&gt;0,ISNUMBER(_xlpm.u),_xlpm.u&gt;0,ISNUMBER(_xlpm.d),_xlpm.d&gt;=0,_xlpm.d&lt;1),
      _xlpm.q*_xlpm.u*(1-_xlpm.d),
      ""
   )
)
)</f>
        <v>162.94999999999999</v>
      </c>
      <c r="K66" s="4">
        <f>_xlfn.LET(
_xlpm.c,RawData!K66,
_xlpm.r,RawData!J66,
_xlpm.p,RawData!L66,
IF(AND(ISNUMBER(_xlpm.c),_xlpm.c&gt;=0),_xlpm.c,
   IF(AND(ISNUMBER(_xlpm.r),ISNUMBER(_xlpm.p)),
      _xlpm.r-_xlpm.p,
      ""
   )
)
)</f>
        <v>112.09</v>
      </c>
      <c r="L66" s="4">
        <f>_xlfn.LET(
_xlpm.p,RawData!L66,
_xlpm.r,RawData!J66,
_xlpm.c,RawData!K66,
IF(ISNUMBER(_xlpm.p),_xlpm.p,
IF(AND(ISNUMBER(_xlpm.r),ISNUMBER(_xlpm.c)),
_xlpm.r-_xlpm.c,
""
)
))</f>
        <v>50.86</v>
      </c>
    </row>
    <row r="67" spans="1:12" x14ac:dyDescent="0.35">
      <c r="A67" t="s">
        <v>100</v>
      </c>
      <c r="B67" s="7">
        <v>45786</v>
      </c>
      <c r="C67" t="str">
        <f>IF(RawData!C67="","Unknown",PROPER(TRIM(CLEAN(SUBSTITUTE(RawData!C67,CHAR(160)," ")))))</f>
        <v>North</v>
      </c>
      <c r="D67" t="str">
        <f>IF(RawData!D67="","Unknown",PROPER(TRIM(CLEAN(SUBSTITUTE(RawData!D67,CHAR(160)," ")))))</f>
        <v>Delhi</v>
      </c>
      <c r="E67" t="str">
        <f>IF(RawData!E67="","Unknown",PROPER(TRIM(CLEAN(SUBSTITUTE(RawData!E67,CHAR(160)," ")))))</f>
        <v>Smartphone</v>
      </c>
      <c r="F67" t="str">
        <f>IF(RawData!F67="","Unknown",PROPER(TRIM(CLEAN(SUBSTITUTE(RawData!F67,CHAR(160)," ")))))</f>
        <v>Electronics</v>
      </c>
      <c r="G67">
        <f>_xlfn.LET(
_xlpm.q,RawData!G67,
_xlpm.u,RawData!H67,
_xlpm.d,RawData!I67,
_xlpm.r,RawData!J67,
IF(AND(ISNUMBER(_xlpm.q),_xlpm.q&gt;0),_xlpm.q,
   IF(AND(ISNUMBER(_xlpm.r),ISNUMBER(_xlpm.u),_xlpm.u&gt;0,ISNUMBER(_xlpm.d),_xlpm.d&gt;=0,_xlpm.d&lt;1),
      ROUND(_xlpm.r/(_xlpm.u*(1-_xlpm.d)),0),
      ""
   )
)
)</f>
        <v>7</v>
      </c>
      <c r="H67" s="4">
        <f>_xlfn.LET(
_xlpm.q,RawData!G67,
_xlpm.u,RawData!H67,
_xlpm.d,RawData!I67,
_xlpm.r,RawData!J67,
IF(AND(ISNUMBER(_xlpm.u),_xlpm.u&gt;0),_xlpm.u,
   IF(AND(ISNUMBER(_xlpm.q),_xlpm.q&gt;0,ISNUMBER(_xlpm.r),ISNUMBER(_xlpm.d),_xlpm.d&gt;=0,_xlpm.d&lt;1),
      _xlpm.r/(_xlpm.q*(1-_xlpm.d)),
      ""
   )
)
)</f>
        <v>536.37</v>
      </c>
      <c r="I67" s="5">
        <f>_xlfn.LET(
_xlpm.q,RawData!G67,
_xlpm.u,RawData!H67,
_xlpm.d,RawData!I67,
_xlpm.r,RawData!J67,
IF(AND(ISNUMBER(_xlpm.d),_xlpm.d&gt;=0,_xlpm.d&lt;1),_xlpm.d,
   IF(AND(ISNUMBER(_xlpm.q),_xlpm.q&gt;0,ISNUMBER(_xlpm.u),_xlpm.u&gt;0,ISNUMBER(_xlpm.r),_xlpm.r&gt;=0),
      1-(_xlpm.r/(_xlpm.q*_xlpm.u)),
      ""
   )
)
)</f>
        <v>0.05</v>
      </c>
      <c r="J67" s="4">
        <f>_xlfn.LET(
_xlpm.q,RawData!G67,
_xlpm.u,RawData!H67,
_xlpm.d,RawData!I67,
_xlpm.r,RawData!J67,
IF(AND(ISNUMBER(_xlpm.r),_xlpm.r&gt;=0),_xlpm.r,
   IF(AND(ISNUMBER(_xlpm.q),_xlpm.q&gt;0,ISNUMBER(_xlpm.u),_xlpm.u&gt;0,ISNUMBER(_xlpm.d),_xlpm.d&gt;=0,_xlpm.d&lt;1),
      _xlpm.q*_xlpm.u*(1-_xlpm.d),
      ""
   )
)
)</f>
        <v>3566.86</v>
      </c>
      <c r="K67" s="4">
        <f>_xlfn.LET(
_xlpm.c,RawData!K67,
_xlpm.r,RawData!J67,
_xlpm.p,RawData!L67,
IF(AND(ISNUMBER(_xlpm.c),_xlpm.c&gt;=0),_xlpm.c,
   IF(AND(ISNUMBER(_xlpm.r),ISNUMBER(_xlpm.p)),
      _xlpm.r-_xlpm.p,
      ""
   )
)
)</f>
        <v>2175.67</v>
      </c>
      <c r="L67" s="4">
        <f>_xlfn.LET(
_xlpm.p,RawData!L67,
_xlpm.r,RawData!J67,
_xlpm.c,RawData!K67,
IF(ISNUMBER(_xlpm.p),_xlpm.p,
IF(AND(ISNUMBER(_xlpm.r),ISNUMBER(_xlpm.c)),
_xlpm.r-_xlpm.c,
""
)
))</f>
        <v>1391.19</v>
      </c>
    </row>
    <row r="68" spans="1:12" x14ac:dyDescent="0.35">
      <c r="A68" t="s">
        <v>101</v>
      </c>
      <c r="B68" s="7">
        <v>45659</v>
      </c>
      <c r="C68" t="str">
        <f>IF(RawData!C68="","Unknown",PROPER(TRIM(CLEAN(SUBSTITUTE(RawData!C68,CHAR(160)," ")))))</f>
        <v>East</v>
      </c>
      <c r="D68" t="str">
        <f>IF(RawData!D68="","Unknown",PROPER(TRIM(CLEAN(SUBSTITUTE(RawData!D68,CHAR(160)," ")))))</f>
        <v>Patna</v>
      </c>
      <c r="E68" t="str">
        <f>IF(RawData!E68="","Unknown",PROPER(TRIM(CLEAN(SUBSTITUTE(RawData!E68,CHAR(160)," ")))))</f>
        <v>Headphones</v>
      </c>
      <c r="F68" t="str">
        <f>IF(RawData!F68="","Unknown",PROPER(TRIM(CLEAN(SUBSTITUTE(RawData!F68,CHAR(160)," ")))))</f>
        <v>Electronics</v>
      </c>
      <c r="G68">
        <f>_xlfn.LET(
_xlpm.q,RawData!G68,
_xlpm.u,RawData!H68,
_xlpm.d,RawData!I68,
_xlpm.r,RawData!J68,
IF(AND(ISNUMBER(_xlpm.q),_xlpm.q&gt;0),_xlpm.q,
   IF(AND(ISNUMBER(_xlpm.r),ISNUMBER(_xlpm.u),_xlpm.u&gt;0,ISNUMBER(_xlpm.d),_xlpm.d&gt;=0,_xlpm.d&lt;1),
      ROUND(_xlpm.r/(_xlpm.u*(1-_xlpm.d)),0),
      ""
   )
)
)</f>
        <v>5</v>
      </c>
      <c r="H68" s="4">
        <f>_xlfn.LET(
_xlpm.q,RawData!G68,
_xlpm.u,RawData!H68,
_xlpm.d,RawData!I68,
_xlpm.r,RawData!J68,
IF(AND(ISNUMBER(_xlpm.u),_xlpm.u&gt;0),_xlpm.u,
   IF(AND(ISNUMBER(_xlpm.q),_xlpm.q&gt;0,ISNUMBER(_xlpm.r),ISNUMBER(_xlpm.d),_xlpm.d&gt;=0,_xlpm.d&lt;1),
      _xlpm.r/(_xlpm.q*(1-_xlpm.d)),
      ""
   )
)
)</f>
        <v>70.88</v>
      </c>
      <c r="I68" s="5">
        <f>_xlfn.LET(
_xlpm.q,RawData!G68,
_xlpm.u,RawData!H68,
_xlpm.d,RawData!I68,
_xlpm.r,RawData!J68,
IF(AND(ISNUMBER(_xlpm.d),_xlpm.d&gt;=0,_xlpm.d&lt;1),_xlpm.d,
   IF(AND(ISNUMBER(_xlpm.q),_xlpm.q&gt;0,ISNUMBER(_xlpm.u),_xlpm.u&gt;0,ISNUMBER(_xlpm.r),_xlpm.r&gt;=0),
      1-(_xlpm.r/(_xlpm.q*_xlpm.u)),
      ""
   )
)
)</f>
        <v>0.02</v>
      </c>
      <c r="J68" s="4">
        <f>_xlfn.LET(
_xlpm.q,RawData!G68,
_xlpm.u,RawData!H68,
_xlpm.d,RawData!I68,
_xlpm.r,RawData!J68,
IF(AND(ISNUMBER(_xlpm.r),_xlpm.r&gt;=0),_xlpm.r,
   IF(AND(ISNUMBER(_xlpm.q),_xlpm.q&gt;0,ISNUMBER(_xlpm.u),_xlpm.u&gt;0,ISNUMBER(_xlpm.d),_xlpm.d&gt;=0,_xlpm.d&lt;1),
      _xlpm.q*_xlpm.u*(1-_xlpm.d),
      ""
   )
)
)</f>
        <v>347.31</v>
      </c>
      <c r="K68" s="4">
        <f>_xlfn.LET(
_xlpm.c,RawData!K68,
_xlpm.r,RawData!J68,
_xlpm.p,RawData!L68,
IF(AND(ISNUMBER(_xlpm.c),_xlpm.c&gt;=0),_xlpm.c,
   IF(AND(ISNUMBER(_xlpm.r),ISNUMBER(_xlpm.p)),
      _xlpm.r-_xlpm.p,
      ""
   )
)
)</f>
        <v>222.68</v>
      </c>
      <c r="L68" s="4">
        <f>_xlfn.LET(
_xlpm.p,RawData!L68,
_xlpm.r,RawData!J68,
_xlpm.c,RawData!K68,
IF(ISNUMBER(_xlpm.p),_xlpm.p,
IF(AND(ISNUMBER(_xlpm.r),ISNUMBER(_xlpm.c)),
_xlpm.r-_xlpm.c,
""
)
))</f>
        <v>124.63</v>
      </c>
    </row>
    <row r="69" spans="1:12" x14ac:dyDescent="0.35">
      <c r="A69" t="s">
        <v>102</v>
      </c>
      <c r="B69" s="7">
        <v>45884</v>
      </c>
      <c r="C69" t="str">
        <f>IF(RawData!C69="","Unknown",PROPER(TRIM(CLEAN(SUBSTITUTE(RawData!C69,CHAR(160)," ")))))</f>
        <v>West</v>
      </c>
      <c r="D69" t="str">
        <f>IF(RawData!D69="","Unknown",PROPER(TRIM(CLEAN(SUBSTITUTE(RawData!D69,CHAR(160)," ")))))</f>
        <v>Mumbai</v>
      </c>
      <c r="E69" t="str">
        <f>IF(RawData!E69="","Unknown",PROPER(TRIM(CLEAN(SUBSTITUTE(RawData!E69,CHAR(160)," ")))))</f>
        <v>Notebook</v>
      </c>
      <c r="F69" t="str">
        <f>IF(RawData!F69="","Unknown",PROPER(TRIM(CLEAN(SUBSTITUTE(RawData!F69,CHAR(160)," ")))))</f>
        <v>Office Supplies</v>
      </c>
      <c r="G69">
        <f>_xlfn.LET(
_xlpm.q,RawData!G69,
_xlpm.u,RawData!H69,
_xlpm.d,RawData!I69,
_xlpm.r,RawData!J69,
IF(AND(ISNUMBER(_xlpm.q),_xlpm.q&gt;0),_xlpm.q,
   IF(AND(ISNUMBER(_xlpm.r),ISNUMBER(_xlpm.u),_xlpm.u&gt;0,ISNUMBER(_xlpm.d),_xlpm.d&gt;=0,_xlpm.d&lt;1),
      ROUND(_xlpm.r/(_xlpm.u*(1-_xlpm.d)),0),
      ""
   )
)
)</f>
        <v>1</v>
      </c>
      <c r="H69" s="4">
        <f>_xlfn.LET(
_xlpm.q,RawData!G69,
_xlpm.u,RawData!H69,
_xlpm.d,RawData!I69,
_xlpm.r,RawData!J69,
IF(AND(ISNUMBER(_xlpm.u),_xlpm.u&gt;0),_xlpm.u,
   IF(AND(ISNUMBER(_xlpm.q),_xlpm.q&gt;0,ISNUMBER(_xlpm.r),ISNUMBER(_xlpm.d),_xlpm.d&gt;=0,_xlpm.d&lt;1),
      _xlpm.r/(_xlpm.q*(1-_xlpm.d)),
      ""
   )
)
)</f>
        <v>9.06</v>
      </c>
      <c r="I69" s="5">
        <f>_xlfn.LET(
_xlpm.q,RawData!G69,
_xlpm.u,RawData!H69,
_xlpm.d,RawData!I69,
_xlpm.r,RawData!J69,
IF(AND(ISNUMBER(_xlpm.d),_xlpm.d&gt;=0,_xlpm.d&lt;1),_xlpm.d,
   IF(AND(ISNUMBER(_xlpm.q),_xlpm.q&gt;0,ISNUMBER(_xlpm.u),_xlpm.u&gt;0,ISNUMBER(_xlpm.r),_xlpm.r&gt;=0),
      1-(_xlpm.r/(_xlpm.q*_xlpm.u)),
      ""
   )
)
)</f>
        <v>0</v>
      </c>
      <c r="J69" s="4">
        <f>_xlfn.LET(
_xlpm.q,RawData!G69,
_xlpm.u,RawData!H69,
_xlpm.d,RawData!I69,
_xlpm.r,RawData!J69,
IF(AND(ISNUMBER(_xlpm.r),_xlpm.r&gt;=0),_xlpm.r,
   IF(AND(ISNUMBER(_xlpm.q),_xlpm.q&gt;0,ISNUMBER(_xlpm.u),_xlpm.u&gt;0,ISNUMBER(_xlpm.d),_xlpm.d&gt;=0,_xlpm.d&lt;1),
      _xlpm.q*_xlpm.u*(1-_xlpm.d),
      ""
   )
)
)</f>
        <v>9.06</v>
      </c>
      <c r="K69" s="4">
        <f>_xlfn.LET(
_xlpm.c,RawData!K69,
_xlpm.r,RawData!J69,
_xlpm.p,RawData!L69,
IF(AND(ISNUMBER(_xlpm.c),_xlpm.c&gt;=0),_xlpm.c,
   IF(AND(ISNUMBER(_xlpm.r),ISNUMBER(_xlpm.p)),
      _xlpm.r-_xlpm.p,
      ""
   )
)
)</f>
        <v>5.77</v>
      </c>
      <c r="L69" s="4">
        <f>_xlfn.LET(
_xlpm.p,RawData!L69,
_xlpm.r,RawData!J69,
_xlpm.c,RawData!K69,
IF(ISNUMBER(_xlpm.p),_xlpm.p,
IF(AND(ISNUMBER(_xlpm.r),ISNUMBER(_xlpm.c)),
_xlpm.r-_xlpm.c,
""
)
))</f>
        <v>3.29</v>
      </c>
    </row>
    <row r="70" spans="1:12" x14ac:dyDescent="0.35">
      <c r="A70" t="s">
        <v>103</v>
      </c>
      <c r="B70" s="7">
        <v>46011</v>
      </c>
      <c r="C70" t="str">
        <f>IF(RawData!C70="","Unknown",PROPER(TRIM(CLEAN(SUBSTITUTE(RawData!C70,CHAR(160)," ")))))</f>
        <v>South</v>
      </c>
      <c r="D70" t="str">
        <f>IF(RawData!D70="","Unknown",PROPER(TRIM(CLEAN(SUBSTITUTE(RawData!D70,CHAR(160)," ")))))</f>
        <v>Bengaluru</v>
      </c>
      <c r="E70" t="str">
        <f>IF(RawData!E70="","Unknown",PROPER(TRIM(CLEAN(SUBSTITUTE(RawData!E70,CHAR(160)," ")))))</f>
        <v>Notebook</v>
      </c>
      <c r="F70" t="str">
        <f>IF(RawData!F70="","Unknown",PROPER(TRIM(CLEAN(SUBSTITUTE(RawData!F70,CHAR(160)," ")))))</f>
        <v>Office Supplies</v>
      </c>
      <c r="G70">
        <f>_xlfn.LET(
_xlpm.q,RawData!G70,
_xlpm.u,RawData!H70,
_xlpm.d,RawData!I70,
_xlpm.r,RawData!J70,
IF(AND(ISNUMBER(_xlpm.q),_xlpm.q&gt;0),_xlpm.q,
   IF(AND(ISNUMBER(_xlpm.r),ISNUMBER(_xlpm.u),_xlpm.u&gt;0,ISNUMBER(_xlpm.d),_xlpm.d&gt;=0,_xlpm.d&lt;1),
      ROUND(_xlpm.r/(_xlpm.u*(1-_xlpm.d)),0),
      ""
   )
)
)</f>
        <v>1</v>
      </c>
      <c r="H70" s="4">
        <f>_xlfn.LET(
_xlpm.q,RawData!G70,
_xlpm.u,RawData!H70,
_xlpm.d,RawData!I70,
_xlpm.r,RawData!J70,
IF(AND(ISNUMBER(_xlpm.u),_xlpm.u&gt;0),_xlpm.u,
   IF(AND(ISNUMBER(_xlpm.q),_xlpm.q&gt;0,ISNUMBER(_xlpm.r),ISNUMBER(_xlpm.d),_xlpm.d&gt;=0,_xlpm.d&lt;1),
      _xlpm.r/(_xlpm.q*(1-_xlpm.d)),
      ""
   )
)
)</f>
        <v>8.0500000000000007</v>
      </c>
      <c r="I70" s="5">
        <f>_xlfn.LET(
_xlpm.q,RawData!G70,
_xlpm.u,RawData!H70,
_xlpm.d,RawData!I70,
_xlpm.r,RawData!J70,
IF(AND(ISNUMBER(_xlpm.d),_xlpm.d&gt;=0,_xlpm.d&lt;1),_xlpm.d,
   IF(AND(ISNUMBER(_xlpm.q),_xlpm.q&gt;0,ISNUMBER(_xlpm.u),_xlpm.u&gt;0,ISNUMBER(_xlpm.r),_xlpm.r&gt;=0),
      1-(_xlpm.r/(_xlpm.q*_xlpm.u)),
      ""
   )
)
)</f>
        <v>4.9689440993788914E-2</v>
      </c>
      <c r="J70" s="4">
        <f>_xlfn.LET(
_xlpm.q,RawData!G70,
_xlpm.u,RawData!H70,
_xlpm.d,RawData!I70,
_xlpm.r,RawData!J70,
IF(AND(ISNUMBER(_xlpm.r),_xlpm.r&gt;=0),_xlpm.r,
   IF(AND(ISNUMBER(_xlpm.q),_xlpm.q&gt;0,ISNUMBER(_xlpm.u),_xlpm.u&gt;0,ISNUMBER(_xlpm.d),_xlpm.d&gt;=0,_xlpm.d&lt;1),
      _xlpm.q*_xlpm.u*(1-_xlpm.d),
      ""
   )
)
)</f>
        <v>7.65</v>
      </c>
      <c r="K70" s="4">
        <f>_xlfn.LET(
_xlpm.c,RawData!K70,
_xlpm.r,RawData!J70,
_xlpm.p,RawData!L70,
IF(AND(ISNUMBER(_xlpm.c),_xlpm.c&gt;=0),_xlpm.c,
   IF(AND(ISNUMBER(_xlpm.r),ISNUMBER(_xlpm.p)),
      _xlpm.r-_xlpm.p,
      ""
   )
)
)</f>
        <v>5.66</v>
      </c>
      <c r="L70" s="4">
        <f>_xlfn.LET(
_xlpm.p,RawData!L70,
_xlpm.r,RawData!J70,
_xlpm.c,RawData!K70,
IF(ISNUMBER(_xlpm.p),_xlpm.p,
IF(AND(ISNUMBER(_xlpm.r),ISNUMBER(_xlpm.c)),
_xlpm.r-_xlpm.c,
""
)
))</f>
        <v>1.99</v>
      </c>
    </row>
    <row r="71" spans="1:12" x14ac:dyDescent="0.35">
      <c r="A71" t="s">
        <v>104</v>
      </c>
      <c r="B71" s="7">
        <v>45940</v>
      </c>
      <c r="C71" t="str">
        <f>IF(RawData!C71="","Unknown",PROPER(TRIM(CLEAN(SUBSTITUTE(RawData!C71,CHAR(160)," ")))))</f>
        <v>South</v>
      </c>
      <c r="D71" t="str">
        <f>IF(RawData!D71="","Unknown",PROPER(TRIM(CLEAN(SUBSTITUTE(RawData!D71,CHAR(160)," ")))))</f>
        <v>Chennai</v>
      </c>
      <c r="E71" t="str">
        <f>IF(RawData!E71="","Unknown",PROPER(TRIM(CLEAN(SUBSTITUTE(RawData!E71,CHAR(160)," ")))))</f>
        <v>Bookshelf</v>
      </c>
      <c r="F71" t="str">
        <f>IF(RawData!F71="","Unknown",PROPER(TRIM(CLEAN(SUBSTITUTE(RawData!F71,CHAR(160)," ")))))</f>
        <v>Furniture</v>
      </c>
      <c r="G71">
        <f>_xlfn.LET(
_xlpm.q,RawData!G71,
_xlpm.u,RawData!H71,
_xlpm.d,RawData!I71,
_xlpm.r,RawData!J71,
IF(AND(ISNUMBER(_xlpm.q),_xlpm.q&gt;0),_xlpm.q,
   IF(AND(ISNUMBER(_xlpm.r),ISNUMBER(_xlpm.u),_xlpm.u&gt;0,ISNUMBER(_xlpm.d),_xlpm.d&gt;=0,_xlpm.d&lt;1),
      ROUND(_xlpm.r/(_xlpm.u*(1-_xlpm.d)),0),
      ""
   )
)
)</f>
        <v>3</v>
      </c>
      <c r="H71" s="4">
        <f>_xlfn.LET(
_xlpm.q,RawData!G71,
_xlpm.u,RawData!H71,
_xlpm.d,RawData!I71,
_xlpm.r,RawData!J71,
IF(AND(ISNUMBER(_xlpm.u),_xlpm.u&gt;0),_xlpm.u,
   IF(AND(ISNUMBER(_xlpm.q),_xlpm.q&gt;0,ISNUMBER(_xlpm.r),ISNUMBER(_xlpm.d),_xlpm.d&gt;=0,_xlpm.d&lt;1),
      _xlpm.r/(_xlpm.q*(1-_xlpm.d)),
      ""
   )
)
)</f>
        <v>134.27000000000001</v>
      </c>
      <c r="I71" s="5">
        <f>_xlfn.LET(
_xlpm.q,RawData!G71,
_xlpm.u,RawData!H71,
_xlpm.d,RawData!I71,
_xlpm.r,RawData!J71,
IF(AND(ISNUMBER(_xlpm.d),_xlpm.d&gt;=0,_xlpm.d&lt;1),_xlpm.d,
   IF(AND(ISNUMBER(_xlpm.q),_xlpm.q&gt;0,ISNUMBER(_xlpm.u),_xlpm.u&gt;0,ISNUMBER(_xlpm.r),_xlpm.r&gt;=0),
      1-(_xlpm.r/(_xlpm.q*_xlpm.u)),
      ""
   )
)
)</f>
        <v>0</v>
      </c>
      <c r="J71" s="4">
        <f>_xlfn.LET(
_xlpm.q,RawData!G71,
_xlpm.u,RawData!H71,
_xlpm.d,RawData!I71,
_xlpm.r,RawData!J71,
IF(AND(ISNUMBER(_xlpm.r),_xlpm.r&gt;=0),_xlpm.r,
   IF(AND(ISNUMBER(_xlpm.q),_xlpm.q&gt;0,ISNUMBER(_xlpm.u),_xlpm.u&gt;0,ISNUMBER(_xlpm.d),_xlpm.d&gt;=0,_xlpm.d&lt;1),
      _xlpm.q*_xlpm.u*(1-_xlpm.d),
      ""
   )
)
)</f>
        <v>402.81</v>
      </c>
      <c r="K71" s="4">
        <f>_xlfn.LET(
_xlpm.c,RawData!K71,
_xlpm.r,RawData!J71,
_xlpm.p,RawData!L71,
IF(AND(ISNUMBER(_xlpm.c),_xlpm.c&gt;=0),_xlpm.c,
   IF(AND(ISNUMBER(_xlpm.r),ISNUMBER(_xlpm.p)),
      _xlpm.r-_xlpm.p,
      ""
   )
)
)</f>
        <v>327.24</v>
      </c>
      <c r="L71" s="4">
        <f>_xlfn.LET(
_xlpm.p,RawData!L71,
_xlpm.r,RawData!J71,
_xlpm.c,RawData!K71,
IF(ISNUMBER(_xlpm.p),_xlpm.p,
IF(AND(ISNUMBER(_xlpm.r),ISNUMBER(_xlpm.c)),
_xlpm.r-_xlpm.c,
""
)
))</f>
        <v>75.569999999999993</v>
      </c>
    </row>
    <row r="72" spans="1:12" x14ac:dyDescent="0.35">
      <c r="A72" t="s">
        <v>105</v>
      </c>
      <c r="B72" s="7">
        <v>45844</v>
      </c>
      <c r="C72" t="str">
        <f>IF(RawData!C72="","Unknown",PROPER(TRIM(CLEAN(SUBSTITUTE(RawData!C72,CHAR(160)," ")))))</f>
        <v>North</v>
      </c>
      <c r="D72" t="str">
        <f>IF(RawData!D72="","Unknown",PROPER(TRIM(CLEAN(SUBSTITUTE(RawData!D72,CHAR(160)," ")))))</f>
        <v>Delhi</v>
      </c>
      <c r="E72" t="str">
        <f>IF(RawData!E72="","Unknown",PROPER(TRIM(CLEAN(SUBSTITUTE(RawData!E72,CHAR(160)," ")))))</f>
        <v>Desk</v>
      </c>
      <c r="F72" t="str">
        <f>IF(RawData!F72="","Unknown",PROPER(TRIM(CLEAN(SUBSTITUTE(RawData!F72,CHAR(160)," ")))))</f>
        <v>Furniture</v>
      </c>
      <c r="G72">
        <f>_xlfn.LET(
_xlpm.q,RawData!G72,
_xlpm.u,RawData!H72,
_xlpm.d,RawData!I72,
_xlpm.r,RawData!J72,
IF(AND(ISNUMBER(_xlpm.q),_xlpm.q&gt;0),_xlpm.q,
   IF(AND(ISNUMBER(_xlpm.r),ISNUMBER(_xlpm.u),_xlpm.u&gt;0,ISNUMBER(_xlpm.d),_xlpm.d&gt;=0,_xlpm.d&lt;1),
      ROUND(_xlpm.r/(_xlpm.u*(1-_xlpm.d)),0),
      ""
   )
)
)</f>
        <v>4</v>
      </c>
      <c r="H72" s="4">
        <f>_xlfn.LET(
_xlpm.q,RawData!G72,
_xlpm.u,RawData!H72,
_xlpm.d,RawData!I72,
_xlpm.r,RawData!J72,
IF(AND(ISNUMBER(_xlpm.u),_xlpm.u&gt;0),_xlpm.u,
   IF(AND(ISNUMBER(_xlpm.q),_xlpm.q&gt;0,ISNUMBER(_xlpm.r),ISNUMBER(_xlpm.d),_xlpm.d&gt;=0,_xlpm.d&lt;1),
      _xlpm.r/(_xlpm.q*(1-_xlpm.d)),
      ""
   )
)
)</f>
        <v>284.68</v>
      </c>
      <c r="I72" s="5">
        <f>_xlfn.LET(
_xlpm.q,RawData!G72,
_xlpm.u,RawData!H72,
_xlpm.d,RawData!I72,
_xlpm.r,RawData!J72,
IF(AND(ISNUMBER(_xlpm.d),_xlpm.d&gt;=0,_xlpm.d&lt;1),_xlpm.d,
   IF(AND(ISNUMBER(_xlpm.q),_xlpm.q&gt;0,ISNUMBER(_xlpm.u),_xlpm.u&gt;0,ISNUMBER(_xlpm.r),_xlpm.r&gt;=0),
      1-(_xlpm.r/(_xlpm.q*_xlpm.u)),
      ""
   )
)
)</f>
        <v>0.2</v>
      </c>
      <c r="J72" s="4">
        <f>_xlfn.LET(
_xlpm.q,RawData!G72,
_xlpm.u,RawData!H72,
_xlpm.d,RawData!I72,
_xlpm.r,RawData!J72,
IF(AND(ISNUMBER(_xlpm.r),_xlpm.r&gt;=0),_xlpm.r,
   IF(AND(ISNUMBER(_xlpm.q),_xlpm.q&gt;0,ISNUMBER(_xlpm.u),_xlpm.u&gt;0,ISNUMBER(_xlpm.d),_xlpm.d&gt;=0,_xlpm.d&lt;1),
      _xlpm.q*_xlpm.u*(1-_xlpm.d),
      ""
   )
)
)</f>
        <v>910.98</v>
      </c>
      <c r="K72" s="4">
        <f>_xlfn.LET(
_xlpm.c,RawData!K72,
_xlpm.r,RawData!J72,
_xlpm.p,RawData!L72,
IF(AND(ISNUMBER(_xlpm.c),_xlpm.c&gt;=0),_xlpm.c,
   IF(AND(ISNUMBER(_xlpm.r),ISNUMBER(_xlpm.p)),
      _xlpm.r-_xlpm.p,
      ""
   )
)
)</f>
        <v>562.97</v>
      </c>
      <c r="L72" s="4">
        <f>_xlfn.LET(
_xlpm.p,RawData!L72,
_xlpm.r,RawData!J72,
_xlpm.c,RawData!K72,
IF(ISNUMBER(_xlpm.p),_xlpm.p,
IF(AND(ISNUMBER(_xlpm.r),ISNUMBER(_xlpm.c)),
_xlpm.r-_xlpm.c,
""
)
))</f>
        <v>348.01</v>
      </c>
    </row>
    <row r="73" spans="1:12" x14ac:dyDescent="0.35">
      <c r="A73" t="s">
        <v>106</v>
      </c>
      <c r="B73" s="7">
        <v>45999</v>
      </c>
      <c r="C73" t="str">
        <f>IF(RawData!C73="","Unknown",PROPER(TRIM(CLEAN(SUBSTITUTE(RawData!C73,CHAR(160)," ")))))</f>
        <v>North</v>
      </c>
      <c r="D73" t="str">
        <f>IF(RawData!D73="","Unknown",PROPER(TRIM(CLEAN(SUBSTITUTE(RawData!D73,CHAR(160)," ")))))</f>
        <v>Lucknow</v>
      </c>
      <c r="E73" t="str">
        <f>IF(RawData!E73="","Unknown",PROPER(TRIM(CLEAN(SUBSTITUTE(RawData!E73,CHAR(160)," ")))))</f>
        <v>Desk</v>
      </c>
      <c r="F73" t="str">
        <f>IF(RawData!F73="","Unknown",PROPER(TRIM(CLEAN(SUBSTITUTE(RawData!F73,CHAR(160)," ")))))</f>
        <v>Furniture</v>
      </c>
      <c r="G73">
        <f>_xlfn.LET(
_xlpm.q,RawData!G73,
_xlpm.u,RawData!H73,
_xlpm.d,RawData!I73,
_xlpm.r,RawData!J73,
IF(AND(ISNUMBER(_xlpm.q),_xlpm.q&gt;0),_xlpm.q,
   IF(AND(ISNUMBER(_xlpm.r),ISNUMBER(_xlpm.u),_xlpm.u&gt;0,ISNUMBER(_xlpm.d),_xlpm.d&gt;=0,_xlpm.d&lt;1),
      ROUND(_xlpm.r/(_xlpm.u*(1-_xlpm.d)),0),
      ""
   )
)
)</f>
        <v>9</v>
      </c>
      <c r="H73" s="4">
        <f>_xlfn.LET(
_xlpm.q,RawData!G73,
_xlpm.u,RawData!H73,
_xlpm.d,RawData!I73,
_xlpm.r,RawData!J73,
IF(AND(ISNUMBER(_xlpm.u),_xlpm.u&gt;0),_xlpm.u,
   IF(AND(ISNUMBER(_xlpm.q),_xlpm.q&gt;0,ISNUMBER(_xlpm.r),ISNUMBER(_xlpm.d),_xlpm.d&gt;=0,_xlpm.d&lt;1),
      _xlpm.r/(_xlpm.q*(1-_xlpm.d)),
      ""
   )
)
)</f>
        <v>249.79</v>
      </c>
      <c r="I73" s="5">
        <f>_xlfn.LET(
_xlpm.q,RawData!G73,
_xlpm.u,RawData!H73,
_xlpm.d,RawData!I73,
_xlpm.r,RawData!J73,
IF(AND(ISNUMBER(_xlpm.d),_xlpm.d&gt;=0,_xlpm.d&lt;1),_xlpm.d,
   IF(AND(ISNUMBER(_xlpm.q),_xlpm.q&gt;0,ISNUMBER(_xlpm.u),_xlpm.u&gt;0,ISNUMBER(_xlpm.r),_xlpm.r&gt;=0),
      1-(_xlpm.r/(_xlpm.q*_xlpm.u)),
      ""
   )
)
)</f>
        <v>0.1</v>
      </c>
      <c r="J73" s="4">
        <f>_xlfn.LET(
_xlpm.q,RawData!G73,
_xlpm.u,RawData!H73,
_xlpm.d,RawData!I73,
_xlpm.r,RawData!J73,
IF(AND(ISNUMBER(_xlpm.r),_xlpm.r&gt;=0),_xlpm.r,
   IF(AND(ISNUMBER(_xlpm.q),_xlpm.q&gt;0,ISNUMBER(_xlpm.u),_xlpm.u&gt;0,ISNUMBER(_xlpm.d),_xlpm.d&gt;=0,_xlpm.d&lt;1),
      _xlpm.q*_xlpm.u*(1-_xlpm.d),
      ""
   )
)
)</f>
        <v>2023.3</v>
      </c>
      <c r="K73" s="4">
        <f>_xlfn.LET(
_xlpm.c,RawData!K73,
_xlpm.r,RawData!J73,
_xlpm.p,RawData!L73,
IF(AND(ISNUMBER(_xlpm.c),_xlpm.c&gt;=0),_xlpm.c,
   IF(AND(ISNUMBER(_xlpm.r),ISNUMBER(_xlpm.p)),
      _xlpm.r-_xlpm.p,
      ""
   )
)
)</f>
        <v>1277.18</v>
      </c>
      <c r="L73" s="4">
        <f>_xlfn.LET(
_xlpm.p,RawData!L73,
_xlpm.r,RawData!J73,
_xlpm.c,RawData!K73,
IF(ISNUMBER(_xlpm.p),_xlpm.p,
IF(AND(ISNUMBER(_xlpm.r),ISNUMBER(_xlpm.c)),
_xlpm.r-_xlpm.c,
""
)
))</f>
        <v>746.12</v>
      </c>
    </row>
    <row r="74" spans="1:12" x14ac:dyDescent="0.35">
      <c r="A74" t="s">
        <v>107</v>
      </c>
      <c r="B74" s="7">
        <v>45737</v>
      </c>
      <c r="C74" t="str">
        <f>IF(RawData!C74="","Unknown",PROPER(TRIM(CLEAN(SUBSTITUTE(RawData!C74,CHAR(160)," ")))))</f>
        <v>South</v>
      </c>
      <c r="D74" t="str">
        <f>IF(RawData!D74="","Unknown",PROPER(TRIM(CLEAN(SUBSTITUTE(RawData!D74,CHAR(160)," ")))))</f>
        <v>Hyderabad</v>
      </c>
      <c r="E74" t="str">
        <f>IF(RawData!E74="","Unknown",PROPER(TRIM(CLEAN(SUBSTITUTE(RawData!E74,CHAR(160)," ")))))</f>
        <v>Headphones</v>
      </c>
      <c r="F74" t="str">
        <f>IF(RawData!F74="","Unknown",PROPER(TRIM(CLEAN(SUBSTITUTE(RawData!F74,CHAR(160)," ")))))</f>
        <v>Electronics</v>
      </c>
      <c r="G74">
        <f>_xlfn.LET(
_xlpm.q,RawData!G74,
_xlpm.u,RawData!H74,
_xlpm.d,RawData!I74,
_xlpm.r,RawData!J74,
IF(AND(ISNUMBER(_xlpm.q),_xlpm.q&gt;0),_xlpm.q,
   IF(AND(ISNUMBER(_xlpm.r),ISNUMBER(_xlpm.u),_xlpm.u&gt;0,ISNUMBER(_xlpm.d),_xlpm.d&gt;=0,_xlpm.d&lt;1),
      ROUND(_xlpm.r/(_xlpm.u*(1-_xlpm.d)),0),
      ""
   )
)
)</f>
        <v>3</v>
      </c>
      <c r="H74" s="4">
        <f>_xlfn.LET(
_xlpm.q,RawData!G74,
_xlpm.u,RawData!H74,
_xlpm.d,RawData!I74,
_xlpm.r,RawData!J74,
IF(AND(ISNUMBER(_xlpm.u),_xlpm.u&gt;0),_xlpm.u,
   IF(AND(ISNUMBER(_xlpm.q),_xlpm.q&gt;0,ISNUMBER(_xlpm.r),ISNUMBER(_xlpm.d),_xlpm.d&gt;=0,_xlpm.d&lt;1),
      _xlpm.r/(_xlpm.q*(1-_xlpm.d)),
      ""
   )
)
)</f>
        <v>74.84</v>
      </c>
      <c r="I74" s="5">
        <f>_xlfn.LET(
_xlpm.q,RawData!G74,
_xlpm.u,RawData!H74,
_xlpm.d,RawData!I74,
_xlpm.r,RawData!J74,
IF(AND(ISNUMBER(_xlpm.d),_xlpm.d&gt;=0,_xlpm.d&lt;1),_xlpm.d,
   IF(AND(ISNUMBER(_xlpm.q),_xlpm.q&gt;0,ISNUMBER(_xlpm.u),_xlpm.u&gt;0,ISNUMBER(_xlpm.r),_xlpm.r&gt;=0),
      1-(_xlpm.r/(_xlpm.q*_xlpm.u)),
      ""
   )
)
)</f>
        <v>0.1</v>
      </c>
      <c r="J74" s="4">
        <f>_xlfn.LET(
_xlpm.q,RawData!G74,
_xlpm.u,RawData!H74,
_xlpm.d,RawData!I74,
_xlpm.r,RawData!J74,
IF(AND(ISNUMBER(_xlpm.r),_xlpm.r&gt;=0),_xlpm.r,
   IF(AND(ISNUMBER(_xlpm.q),_xlpm.q&gt;0,ISNUMBER(_xlpm.u),_xlpm.u&gt;0,ISNUMBER(_xlpm.d),_xlpm.d&gt;=0,_xlpm.d&lt;1),
      _xlpm.q*_xlpm.u*(1-_xlpm.d),
      ""
   )
)
)</f>
        <v>202.07</v>
      </c>
      <c r="K74" s="4">
        <f>_xlfn.LET(
_xlpm.c,RawData!K74,
_xlpm.r,RawData!J74,
_xlpm.p,RawData!L74,
IF(AND(ISNUMBER(_xlpm.c),_xlpm.c&gt;=0),_xlpm.c,
   IF(AND(ISNUMBER(_xlpm.r),ISNUMBER(_xlpm.p)),
      _xlpm.r-_xlpm.p,
      ""
   )
)
)</f>
        <v>113.15</v>
      </c>
      <c r="L74" s="4">
        <f>_xlfn.LET(
_xlpm.p,RawData!L74,
_xlpm.r,RawData!J74,
_xlpm.c,RawData!K74,
IF(ISNUMBER(_xlpm.p),_xlpm.p,
IF(AND(ISNUMBER(_xlpm.r),ISNUMBER(_xlpm.c)),
_xlpm.r-_xlpm.c,
""
)
))</f>
        <v>88.92</v>
      </c>
    </row>
    <row r="75" spans="1:12" x14ac:dyDescent="0.35">
      <c r="A75" t="s">
        <v>108</v>
      </c>
      <c r="B75" s="7">
        <v>45749</v>
      </c>
      <c r="C75" t="str">
        <f>IF(RawData!C75="","Unknown",PROPER(TRIM(CLEAN(SUBSTITUTE(RawData!C75,CHAR(160)," ")))))</f>
        <v>East</v>
      </c>
      <c r="D75" t="str">
        <f>IF(RawData!D75="","Unknown",PROPER(TRIM(CLEAN(SUBSTITUTE(RawData!D75,CHAR(160)," ")))))</f>
        <v>Kolkata</v>
      </c>
      <c r="E75" t="str">
        <f>IF(RawData!E75="","Unknown",PROPER(TRIM(CLEAN(SUBSTITUTE(RawData!E75,CHAR(160)," ")))))</f>
        <v>Bookshelf</v>
      </c>
      <c r="F75" t="str">
        <f>IF(RawData!F75="","Unknown",PROPER(TRIM(CLEAN(SUBSTITUTE(RawData!F75,CHAR(160)," ")))))</f>
        <v>Furniture</v>
      </c>
      <c r="G75">
        <f>_xlfn.LET(
_xlpm.q,RawData!G75,
_xlpm.u,RawData!H75,
_xlpm.d,RawData!I75,
_xlpm.r,RawData!J75,
IF(AND(ISNUMBER(_xlpm.q),_xlpm.q&gt;0),_xlpm.q,
   IF(AND(ISNUMBER(_xlpm.r),ISNUMBER(_xlpm.u),_xlpm.u&gt;0,ISNUMBER(_xlpm.d),_xlpm.d&gt;=0,_xlpm.d&lt;1),
      ROUND(_xlpm.r/(_xlpm.u*(1-_xlpm.d)),0),
      ""
   )
)
)</f>
        <v>4</v>
      </c>
      <c r="H75" s="4">
        <f>_xlfn.LET(
_xlpm.q,RawData!G75,
_xlpm.u,RawData!H75,
_xlpm.d,RawData!I75,
_xlpm.r,RawData!J75,
IF(AND(ISNUMBER(_xlpm.u),_xlpm.u&gt;0),_xlpm.u,
   IF(AND(ISNUMBER(_xlpm.q),_xlpm.q&gt;0,ISNUMBER(_xlpm.r),ISNUMBER(_xlpm.d),_xlpm.d&gt;=0,_xlpm.d&lt;1),
      _xlpm.r/(_xlpm.q*(1-_xlpm.d)),
      ""
   )
)
)</f>
        <v>144.6</v>
      </c>
      <c r="I75" s="5">
        <f>_xlfn.LET(
_xlpm.q,RawData!G75,
_xlpm.u,RawData!H75,
_xlpm.d,RawData!I75,
_xlpm.r,RawData!J75,
IF(AND(ISNUMBER(_xlpm.d),_xlpm.d&gt;=0,_xlpm.d&lt;1),_xlpm.d,
   IF(AND(ISNUMBER(_xlpm.q),_xlpm.q&gt;0,ISNUMBER(_xlpm.u),_xlpm.u&gt;0,ISNUMBER(_xlpm.r),_xlpm.r&gt;=0),
      1-(_xlpm.r/(_xlpm.q*_xlpm.u)),
      ""
   )
)
)</f>
        <v>0.05</v>
      </c>
      <c r="J75" s="4">
        <f>_xlfn.LET(
_xlpm.q,RawData!G75,
_xlpm.u,RawData!H75,
_xlpm.d,RawData!I75,
_xlpm.r,RawData!J75,
IF(AND(ISNUMBER(_xlpm.r),_xlpm.r&gt;=0),_xlpm.r,
   IF(AND(ISNUMBER(_xlpm.q),_xlpm.q&gt;0,ISNUMBER(_xlpm.u),_xlpm.u&gt;0,ISNUMBER(_xlpm.d),_xlpm.d&gt;=0,_xlpm.d&lt;1),
      _xlpm.q*_xlpm.u*(1-_xlpm.d),
      ""
   )
)
)</f>
        <v>549.48</v>
      </c>
      <c r="K75" s="4">
        <f>_xlfn.LET(
_xlpm.c,RawData!K75,
_xlpm.r,RawData!J75,
_xlpm.p,RawData!L75,
IF(AND(ISNUMBER(_xlpm.c),_xlpm.c&gt;=0),_xlpm.c,
   IF(AND(ISNUMBER(_xlpm.r),ISNUMBER(_xlpm.p)),
      _xlpm.r-_xlpm.p,
      ""
   )
)
)</f>
        <v>376.79</v>
      </c>
      <c r="L75" s="4">
        <f>_xlfn.LET(
_xlpm.p,RawData!L75,
_xlpm.r,RawData!J75,
_xlpm.c,RawData!K75,
IF(ISNUMBER(_xlpm.p),_xlpm.p,
IF(AND(ISNUMBER(_xlpm.r),ISNUMBER(_xlpm.c)),
_xlpm.r-_xlpm.c,
""
)
))</f>
        <v>172.69</v>
      </c>
    </row>
    <row r="76" spans="1:12" x14ac:dyDescent="0.35">
      <c r="A76" t="s">
        <v>109</v>
      </c>
      <c r="B76" s="7">
        <v>46017</v>
      </c>
      <c r="C76" t="str">
        <f>IF(RawData!C76="","Unknown",PROPER(TRIM(CLEAN(SUBSTITUTE(RawData!C76,CHAR(160)," ")))))</f>
        <v>North</v>
      </c>
      <c r="D76" t="str">
        <f>IF(RawData!D76="","Unknown",PROPER(TRIM(CLEAN(SUBSTITUTE(RawData!D76,CHAR(160)," ")))))</f>
        <v>Delhi</v>
      </c>
      <c r="E76" t="str">
        <f>IF(RawData!E76="","Unknown",PROPER(TRIM(CLEAN(SUBSTITUTE(RawData!E76,CHAR(160)," ")))))</f>
        <v>Bookshelf</v>
      </c>
      <c r="F76" t="str">
        <f>IF(RawData!F76="","Unknown",PROPER(TRIM(CLEAN(SUBSTITUTE(RawData!F76,CHAR(160)," ")))))</f>
        <v>Furniture</v>
      </c>
      <c r="G76">
        <f>_xlfn.LET(
_xlpm.q,RawData!G76,
_xlpm.u,RawData!H76,
_xlpm.d,RawData!I76,
_xlpm.r,RawData!J76,
IF(AND(ISNUMBER(_xlpm.q),_xlpm.q&gt;0),_xlpm.q,
   IF(AND(ISNUMBER(_xlpm.r),ISNUMBER(_xlpm.u),_xlpm.u&gt;0,ISNUMBER(_xlpm.d),_xlpm.d&gt;=0,_xlpm.d&lt;1),
      ROUND(_xlpm.r/(_xlpm.u*(1-_xlpm.d)),0),
      ""
   )
)
)</f>
        <v>1</v>
      </c>
      <c r="H76" s="4">
        <f>_xlfn.LET(
_xlpm.q,RawData!G76,
_xlpm.u,RawData!H76,
_xlpm.d,RawData!I76,
_xlpm.r,RawData!J76,
IF(AND(ISNUMBER(_xlpm.u),_xlpm.u&gt;0),_xlpm.u,
   IF(AND(ISNUMBER(_xlpm.q),_xlpm.q&gt;0,ISNUMBER(_xlpm.r),ISNUMBER(_xlpm.d),_xlpm.d&gt;=0,_xlpm.d&lt;1),
      _xlpm.r/(_xlpm.q*(1-_xlpm.d)),
      ""
   )
)
)</f>
        <v>121.16</v>
      </c>
      <c r="I76" s="5">
        <f>_xlfn.LET(
_xlpm.q,RawData!G76,
_xlpm.u,RawData!H76,
_xlpm.d,RawData!I76,
_xlpm.r,RawData!J76,
IF(AND(ISNUMBER(_xlpm.d),_xlpm.d&gt;=0,_xlpm.d&lt;1),_xlpm.d,
   IF(AND(ISNUMBER(_xlpm.q),_xlpm.q&gt;0,ISNUMBER(_xlpm.u),_xlpm.u&gt;0,ISNUMBER(_xlpm.r),_xlpm.r&gt;=0),
      1-(_xlpm.r/(_xlpm.q*_xlpm.u)),
      ""
   )
)
)</f>
        <v>0.1</v>
      </c>
      <c r="J76" s="4">
        <f>_xlfn.LET(
_xlpm.q,RawData!G76,
_xlpm.u,RawData!H76,
_xlpm.d,RawData!I76,
_xlpm.r,RawData!J76,
IF(AND(ISNUMBER(_xlpm.r),_xlpm.r&gt;=0),_xlpm.r,
   IF(AND(ISNUMBER(_xlpm.q),_xlpm.q&gt;0,ISNUMBER(_xlpm.u),_xlpm.u&gt;0,ISNUMBER(_xlpm.d),_xlpm.d&gt;=0,_xlpm.d&lt;1),
      _xlpm.q*_xlpm.u*(1-_xlpm.d),
      ""
   )
)
)</f>
        <v>109.04</v>
      </c>
      <c r="K76" s="4">
        <f>_xlfn.LET(
_xlpm.c,RawData!K76,
_xlpm.r,RawData!J76,
_xlpm.p,RawData!L76,
IF(AND(ISNUMBER(_xlpm.c),_xlpm.c&gt;=0),_xlpm.c,
   IF(AND(ISNUMBER(_xlpm.r),ISNUMBER(_xlpm.p)),
      _xlpm.r-_xlpm.p,
      ""
   )
)
)</f>
        <v>68.180000000000007</v>
      </c>
      <c r="L76" s="4">
        <f>_xlfn.LET(
_xlpm.p,RawData!L76,
_xlpm.r,RawData!J76,
_xlpm.c,RawData!K76,
IF(ISNUMBER(_xlpm.p),_xlpm.p,
IF(AND(ISNUMBER(_xlpm.r),ISNUMBER(_xlpm.c)),
_xlpm.r-_xlpm.c,
""
)
))</f>
        <v>40.86</v>
      </c>
    </row>
    <row r="77" spans="1:12" x14ac:dyDescent="0.35">
      <c r="A77" t="s">
        <v>110</v>
      </c>
      <c r="B77" s="7">
        <v>45760</v>
      </c>
      <c r="C77" t="str">
        <f>IF(RawData!C77="","Unknown",PROPER(TRIM(CLEAN(SUBSTITUTE(RawData!C77,CHAR(160)," ")))))</f>
        <v>West</v>
      </c>
      <c r="D77" t="str">
        <f>IF(RawData!D77="","Unknown",PROPER(TRIM(CLEAN(SUBSTITUTE(RawData!D77,CHAR(160)," ")))))</f>
        <v>Mumbai</v>
      </c>
      <c r="E77" t="str">
        <f>IF(RawData!E77="","Unknown",PROPER(TRIM(CLEAN(SUBSTITUTE(RawData!E77,CHAR(160)," ")))))</f>
        <v>Desk</v>
      </c>
      <c r="F77" t="str">
        <f>IF(RawData!F77="","Unknown",PROPER(TRIM(CLEAN(SUBSTITUTE(RawData!F77,CHAR(160)," ")))))</f>
        <v>Furniture</v>
      </c>
      <c r="G77">
        <f>_xlfn.LET(
_xlpm.q,RawData!G77,
_xlpm.u,RawData!H77,
_xlpm.d,RawData!I77,
_xlpm.r,RawData!J77,
IF(AND(ISNUMBER(_xlpm.q),_xlpm.q&gt;0),_xlpm.q,
   IF(AND(ISNUMBER(_xlpm.r),ISNUMBER(_xlpm.u),_xlpm.u&gt;0,ISNUMBER(_xlpm.d),_xlpm.d&gt;=0,_xlpm.d&lt;1),
      ROUND(_xlpm.r/(_xlpm.u*(1-_xlpm.d)),0),
      ""
   )
)
)</f>
        <v>5</v>
      </c>
      <c r="H77" s="4">
        <f>_xlfn.LET(
_xlpm.q,RawData!G77,
_xlpm.u,RawData!H77,
_xlpm.d,RawData!I77,
_xlpm.r,RawData!J77,
IF(AND(ISNUMBER(_xlpm.u),_xlpm.u&gt;0),_xlpm.u,
   IF(AND(ISNUMBER(_xlpm.q),_xlpm.q&gt;0,ISNUMBER(_xlpm.r),ISNUMBER(_xlpm.d),_xlpm.d&gt;=0,_xlpm.d&lt;1),
      _xlpm.r/(_xlpm.q*(1-_xlpm.d)),
      ""
   )
)
)</f>
        <v>280.62</v>
      </c>
      <c r="I77" s="5">
        <f>_xlfn.LET(
_xlpm.q,RawData!G77,
_xlpm.u,RawData!H77,
_xlpm.d,RawData!I77,
_xlpm.r,RawData!J77,
IF(AND(ISNUMBER(_xlpm.d),_xlpm.d&gt;=0,_xlpm.d&lt;1),_xlpm.d,
   IF(AND(ISNUMBER(_xlpm.q),_xlpm.q&gt;0,ISNUMBER(_xlpm.u),_xlpm.u&gt;0,ISNUMBER(_xlpm.r),_xlpm.r&gt;=0),
      1-(_xlpm.r/(_xlpm.q*_xlpm.u)),
      ""
   )
)
)</f>
        <v>0.02</v>
      </c>
      <c r="J77" s="4">
        <f>_xlfn.LET(
_xlpm.q,RawData!G77,
_xlpm.u,RawData!H77,
_xlpm.d,RawData!I77,
_xlpm.r,RawData!J77,
IF(AND(ISNUMBER(_xlpm.r),_xlpm.r&gt;=0),_xlpm.r,
   IF(AND(ISNUMBER(_xlpm.q),_xlpm.q&gt;0,ISNUMBER(_xlpm.u),_xlpm.u&gt;0,ISNUMBER(_xlpm.d),_xlpm.d&gt;=0,_xlpm.d&lt;1),
      _xlpm.q*_xlpm.u*(1-_xlpm.d),
      ""
   )
)
)</f>
        <v>1375.04</v>
      </c>
      <c r="K77" s="4">
        <f>_xlfn.LET(
_xlpm.c,RawData!K77,
_xlpm.r,RawData!J77,
_xlpm.p,RawData!L77,
IF(AND(ISNUMBER(_xlpm.c),_xlpm.c&gt;=0),_xlpm.c,
   IF(AND(ISNUMBER(_xlpm.r),ISNUMBER(_xlpm.p)),
      _xlpm.r-_xlpm.p,
      ""
   )
)
)</f>
        <v>845.21</v>
      </c>
      <c r="L77" s="4">
        <f>_xlfn.LET(
_xlpm.p,RawData!L77,
_xlpm.r,RawData!J77,
_xlpm.c,RawData!K77,
IF(ISNUMBER(_xlpm.p),_xlpm.p,
IF(AND(ISNUMBER(_xlpm.r),ISNUMBER(_xlpm.c)),
_xlpm.r-_xlpm.c,
""
)
))</f>
        <v>529.83000000000004</v>
      </c>
    </row>
    <row r="78" spans="1:12" x14ac:dyDescent="0.35">
      <c r="A78" t="s">
        <v>111</v>
      </c>
      <c r="B78" s="7">
        <v>45670</v>
      </c>
      <c r="C78" t="str">
        <f>IF(RawData!C78="","Unknown",PROPER(TRIM(CLEAN(SUBSTITUTE(RawData!C78,CHAR(160)," ")))))</f>
        <v>South</v>
      </c>
      <c r="D78" t="str">
        <f>IF(RawData!D78="","Unknown",PROPER(TRIM(CLEAN(SUBSTITUTE(RawData!D78,CHAR(160)," ")))))</f>
        <v>Hyderabad</v>
      </c>
      <c r="E78" t="str">
        <f>IF(RawData!E78="","Unknown",PROPER(TRIM(CLEAN(SUBSTITUTE(RawData!E78,CHAR(160)," ")))))</f>
        <v>Bookshelf</v>
      </c>
      <c r="F78" t="str">
        <f>IF(RawData!F78="","Unknown",PROPER(TRIM(CLEAN(SUBSTITUTE(RawData!F78,CHAR(160)," ")))))</f>
        <v>Furniture</v>
      </c>
      <c r="G78">
        <f>_xlfn.LET(
_xlpm.q,RawData!G78,
_xlpm.u,RawData!H78,
_xlpm.d,RawData!I78,
_xlpm.r,RawData!J78,
IF(AND(ISNUMBER(_xlpm.q),_xlpm.q&gt;0),_xlpm.q,
   IF(AND(ISNUMBER(_xlpm.r),ISNUMBER(_xlpm.u),_xlpm.u&gt;0,ISNUMBER(_xlpm.d),_xlpm.d&gt;=0,_xlpm.d&lt;1),
      ROUND(_xlpm.r/(_xlpm.u*(1-_xlpm.d)),0),
      ""
   )
)
)</f>
        <v>6</v>
      </c>
      <c r="H78" s="4">
        <f>_xlfn.LET(
_xlpm.q,RawData!G78,
_xlpm.u,RawData!H78,
_xlpm.d,RawData!I78,
_xlpm.r,RawData!J78,
IF(AND(ISNUMBER(_xlpm.u),_xlpm.u&gt;0),_xlpm.u,
   IF(AND(ISNUMBER(_xlpm.q),_xlpm.q&gt;0,ISNUMBER(_xlpm.r),ISNUMBER(_xlpm.d),_xlpm.d&gt;=0,_xlpm.d&lt;1),
      _xlpm.r/(_xlpm.q*(1-_xlpm.d)),
      ""
   )
)
)</f>
        <v>125.09</v>
      </c>
      <c r="I78" s="5">
        <f>_xlfn.LET(
_xlpm.q,RawData!G78,
_xlpm.u,RawData!H78,
_xlpm.d,RawData!I78,
_xlpm.r,RawData!J78,
IF(AND(ISNUMBER(_xlpm.d),_xlpm.d&gt;=0,_xlpm.d&lt;1),_xlpm.d,
   IF(AND(ISNUMBER(_xlpm.q),_xlpm.q&gt;0,ISNUMBER(_xlpm.u),_xlpm.u&gt;0,ISNUMBER(_xlpm.r),_xlpm.r&gt;=0),
      1-(_xlpm.r/(_xlpm.q*_xlpm.u)),
      ""
   )
)
)</f>
        <v>0.05</v>
      </c>
      <c r="J78" s="4">
        <f>_xlfn.LET(
_xlpm.q,RawData!G78,
_xlpm.u,RawData!H78,
_xlpm.d,RawData!I78,
_xlpm.r,RawData!J78,
IF(AND(ISNUMBER(_xlpm.r),_xlpm.r&gt;=0),_xlpm.r,
   IF(AND(ISNUMBER(_xlpm.q),_xlpm.q&gt;0,ISNUMBER(_xlpm.u),_xlpm.u&gt;0,ISNUMBER(_xlpm.d),_xlpm.d&gt;=0,_xlpm.d&lt;1),
      _xlpm.q*_xlpm.u*(1-_xlpm.d),
      ""
   )
)
)</f>
        <v>713.01</v>
      </c>
      <c r="K78" s="4">
        <f>_xlfn.LET(
_xlpm.c,RawData!K78,
_xlpm.r,RawData!J78,
_xlpm.p,RawData!L78,
IF(AND(ISNUMBER(_xlpm.c),_xlpm.c&gt;=0),_xlpm.c,
   IF(AND(ISNUMBER(_xlpm.r),ISNUMBER(_xlpm.p)),
      _xlpm.r-_xlpm.p,
      ""
   )
)
)</f>
        <v>486.38</v>
      </c>
      <c r="L78" s="4">
        <f>_xlfn.LET(
_xlpm.p,RawData!L78,
_xlpm.r,RawData!J78,
_xlpm.c,RawData!K78,
IF(ISNUMBER(_xlpm.p),_xlpm.p,
IF(AND(ISNUMBER(_xlpm.r),ISNUMBER(_xlpm.c)),
_xlpm.r-_xlpm.c,
""
)
))</f>
        <v>226.63</v>
      </c>
    </row>
    <row r="79" spans="1:12" x14ac:dyDescent="0.35">
      <c r="A79" t="s">
        <v>112</v>
      </c>
      <c r="B79" s="7">
        <v>45800</v>
      </c>
      <c r="C79" t="str">
        <f>IF(RawData!C79="","Unknown",PROPER(TRIM(CLEAN(SUBSTITUTE(RawData!C79,CHAR(160)," ")))))</f>
        <v>East</v>
      </c>
      <c r="D79" t="str">
        <f>IF(RawData!D79="","Unknown",PROPER(TRIM(CLEAN(SUBSTITUTE(RawData!D79,CHAR(160)," ")))))</f>
        <v>Patna</v>
      </c>
      <c r="E79" t="str">
        <f>IF(RawData!E79="","Unknown",PROPER(TRIM(CLEAN(SUBSTITUTE(RawData!E79,CHAR(160)," ")))))</f>
        <v>Backpack</v>
      </c>
      <c r="F79" t="str">
        <f>IF(RawData!F79="","Unknown",PROPER(TRIM(CLEAN(SUBSTITUTE(RawData!F79,CHAR(160)," ")))))</f>
        <v>Accessories</v>
      </c>
      <c r="G79">
        <f>_xlfn.LET(
_xlpm.q,RawData!G79,
_xlpm.u,RawData!H79,
_xlpm.d,RawData!I79,
_xlpm.r,RawData!J79,
IF(AND(ISNUMBER(_xlpm.q),_xlpm.q&gt;0),_xlpm.q,
   IF(AND(ISNUMBER(_xlpm.r),ISNUMBER(_xlpm.u),_xlpm.u&gt;0,ISNUMBER(_xlpm.d),_xlpm.d&gt;=0,_xlpm.d&lt;1),
      ROUND(_xlpm.r/(_xlpm.u*(1-_xlpm.d)),0),
      ""
   )
)
)</f>
        <v>9</v>
      </c>
      <c r="H79" s="4">
        <f>_xlfn.LET(
_xlpm.q,RawData!G79,
_xlpm.u,RawData!H79,
_xlpm.d,RawData!I79,
_xlpm.r,RawData!J79,
IF(AND(ISNUMBER(_xlpm.u),_xlpm.u&gt;0),_xlpm.u,
   IF(AND(ISNUMBER(_xlpm.q),_xlpm.q&gt;0,ISNUMBER(_xlpm.r),ISNUMBER(_xlpm.d),_xlpm.d&gt;=0,_xlpm.d&lt;1),
      _xlpm.r/(_xlpm.q*(1-_xlpm.d)),
      ""
   )
)
)</f>
        <v>51.56</v>
      </c>
      <c r="I79" s="5">
        <f>_xlfn.LET(
_xlpm.q,RawData!G79,
_xlpm.u,RawData!H79,
_xlpm.d,RawData!I79,
_xlpm.r,RawData!J79,
IF(AND(ISNUMBER(_xlpm.d),_xlpm.d&gt;=0,_xlpm.d&lt;1),_xlpm.d,
   IF(AND(ISNUMBER(_xlpm.q),_xlpm.q&gt;0,ISNUMBER(_xlpm.u),_xlpm.u&gt;0,ISNUMBER(_xlpm.r),_xlpm.r&gt;=0),
      1-(_xlpm.r/(_xlpm.q*_xlpm.u)),
      ""
   )
)
)</f>
        <v>0.1</v>
      </c>
      <c r="J79" s="4">
        <f>_xlfn.LET(
_xlpm.q,RawData!G79,
_xlpm.u,RawData!H79,
_xlpm.d,RawData!I79,
_xlpm.r,RawData!J79,
IF(AND(ISNUMBER(_xlpm.r),_xlpm.r&gt;=0),_xlpm.r,
   IF(AND(ISNUMBER(_xlpm.q),_xlpm.q&gt;0,ISNUMBER(_xlpm.u),_xlpm.u&gt;0,ISNUMBER(_xlpm.d),_xlpm.d&gt;=0,_xlpm.d&lt;1),
      _xlpm.q*_xlpm.u*(1-_xlpm.d),
      ""
   )
)
)</f>
        <v>417.64</v>
      </c>
      <c r="K79" s="4">
        <f>_xlfn.LET(
_xlpm.c,RawData!K79,
_xlpm.r,RawData!J79,
_xlpm.p,RawData!L79,
IF(AND(ISNUMBER(_xlpm.c),_xlpm.c&gt;=0),_xlpm.c,
   IF(AND(ISNUMBER(_xlpm.r),ISNUMBER(_xlpm.p)),
      _xlpm.r-_xlpm.p,
      ""
   )
)
)</f>
        <v>257</v>
      </c>
      <c r="L79" s="4">
        <f>_xlfn.LET(
_xlpm.p,RawData!L79,
_xlpm.r,RawData!J79,
_xlpm.c,RawData!K79,
IF(ISNUMBER(_xlpm.p),_xlpm.p,
IF(AND(ISNUMBER(_xlpm.r),ISNUMBER(_xlpm.c)),
_xlpm.r-_xlpm.c,
""
)
))</f>
        <v>160.63999999999999</v>
      </c>
    </row>
    <row r="80" spans="1:12" x14ac:dyDescent="0.35">
      <c r="A80" t="s">
        <v>113</v>
      </c>
      <c r="B80" s="7">
        <v>45932</v>
      </c>
      <c r="C80" t="str">
        <f>IF(RawData!C80="","Unknown",PROPER(TRIM(CLEAN(SUBSTITUTE(RawData!C80,CHAR(160)," ")))))</f>
        <v>East</v>
      </c>
      <c r="D80" t="str">
        <f>IF(RawData!D80="","Unknown",PROPER(TRIM(CLEAN(SUBSTITUTE(RawData!D80,CHAR(160)," ")))))</f>
        <v>Kolkata</v>
      </c>
      <c r="E80" t="str">
        <f>IF(RawData!E80="","Unknown",PROPER(TRIM(CLEAN(SUBSTITUTE(RawData!E80,CHAR(160)," ")))))</f>
        <v>Laptop</v>
      </c>
      <c r="F80" t="str">
        <f>IF(RawData!F80="","Unknown",PROPER(TRIM(CLEAN(SUBSTITUTE(RawData!F80,CHAR(160)," ")))))</f>
        <v>Electronics</v>
      </c>
      <c r="G80">
        <f>_xlfn.LET(
_xlpm.q,RawData!G80,
_xlpm.u,RawData!H80,
_xlpm.d,RawData!I80,
_xlpm.r,RawData!J80,
IF(AND(ISNUMBER(_xlpm.q),_xlpm.q&gt;0),_xlpm.q,
   IF(AND(ISNUMBER(_xlpm.r),ISNUMBER(_xlpm.u),_xlpm.u&gt;0,ISNUMBER(_xlpm.d),_xlpm.d&gt;=0,_xlpm.d&lt;1),
      ROUND(_xlpm.r/(_xlpm.u*(1-_xlpm.d)),0),
      ""
   )
)
)</f>
        <v>2</v>
      </c>
      <c r="H80" s="4">
        <f>_xlfn.LET(
_xlpm.q,RawData!G80,
_xlpm.u,RawData!H80,
_xlpm.d,RawData!I80,
_xlpm.r,RawData!J80,
IF(AND(ISNUMBER(_xlpm.u),_xlpm.u&gt;0),_xlpm.u,
   IF(AND(ISNUMBER(_xlpm.q),_xlpm.q&gt;0,ISNUMBER(_xlpm.r),ISNUMBER(_xlpm.d),_xlpm.d&gt;=0,_xlpm.d&lt;1),
      _xlpm.r/(_xlpm.q*(1-_xlpm.d)),
      ""
   )
)
)</f>
        <v>893.89</v>
      </c>
      <c r="I80" s="5">
        <f>_xlfn.LET(
_xlpm.q,RawData!G80,
_xlpm.u,RawData!H80,
_xlpm.d,RawData!I80,
_xlpm.r,RawData!J80,
IF(AND(ISNUMBER(_xlpm.d),_xlpm.d&gt;=0,_xlpm.d&lt;1),_xlpm.d,
   IF(AND(ISNUMBER(_xlpm.q),_xlpm.q&gt;0,ISNUMBER(_xlpm.u),_xlpm.u&gt;0,ISNUMBER(_xlpm.r),_xlpm.r&gt;=0),
      1-(_xlpm.r/(_xlpm.q*_xlpm.u)),
      ""
   )
)
)</f>
        <v>0.05</v>
      </c>
      <c r="J80" s="4">
        <f>_xlfn.LET(
_xlpm.q,RawData!G80,
_xlpm.u,RawData!H80,
_xlpm.d,RawData!I80,
_xlpm.r,RawData!J80,
IF(AND(ISNUMBER(_xlpm.r),_xlpm.r&gt;=0),_xlpm.r,
   IF(AND(ISNUMBER(_xlpm.q),_xlpm.q&gt;0,ISNUMBER(_xlpm.u),_xlpm.u&gt;0,ISNUMBER(_xlpm.d),_xlpm.d&gt;=0,_xlpm.d&lt;1),
      _xlpm.q*_xlpm.u*(1-_xlpm.d),
      ""
   )
)
)</f>
        <v>1698.39</v>
      </c>
      <c r="K80" s="4">
        <f>_xlfn.LET(
_xlpm.c,RawData!K80,
_xlpm.r,RawData!J80,
_xlpm.p,RawData!L80,
IF(AND(ISNUMBER(_xlpm.c),_xlpm.c&gt;=0),_xlpm.c,
   IF(AND(ISNUMBER(_xlpm.r),ISNUMBER(_xlpm.p)),
      _xlpm.r-_xlpm.p,
      ""
   )
)
)</f>
        <v>1283.3699999999999</v>
      </c>
      <c r="L80" s="4">
        <f>_xlfn.LET(
_xlpm.p,RawData!L80,
_xlpm.r,RawData!J80,
_xlpm.c,RawData!K80,
IF(ISNUMBER(_xlpm.p),_xlpm.p,
IF(AND(ISNUMBER(_xlpm.r),ISNUMBER(_xlpm.c)),
_xlpm.r-_xlpm.c,
""
)
))</f>
        <v>415.02</v>
      </c>
    </row>
    <row r="81" spans="1:12" x14ac:dyDescent="0.35">
      <c r="A81" t="s">
        <v>114</v>
      </c>
      <c r="B81" s="7">
        <v>45955</v>
      </c>
      <c r="C81" t="str">
        <f>IF(RawData!C81="","Unknown",PROPER(TRIM(CLEAN(SUBSTITUTE(RawData!C81,CHAR(160)," ")))))</f>
        <v>East</v>
      </c>
      <c r="D81" t="str">
        <f>IF(RawData!D81="","Unknown",PROPER(TRIM(CLEAN(SUBSTITUTE(RawData!D81,CHAR(160)," ")))))</f>
        <v>Bhubaneswar</v>
      </c>
      <c r="E81" t="str">
        <f>IF(RawData!E81="","Unknown",PROPER(TRIM(CLEAN(SUBSTITUTE(RawData!E81,CHAR(160)," ")))))</f>
        <v>Laptop</v>
      </c>
      <c r="F81" t="str">
        <f>IF(RawData!F81="","Unknown",PROPER(TRIM(CLEAN(SUBSTITUTE(RawData!F81,CHAR(160)," ")))))</f>
        <v>Electronics</v>
      </c>
      <c r="G81">
        <f>_xlfn.LET(
_xlpm.q,RawData!G81,
_xlpm.u,RawData!H81,
_xlpm.d,RawData!I81,
_xlpm.r,RawData!J81,
IF(AND(ISNUMBER(_xlpm.q),_xlpm.q&gt;0),_xlpm.q,
   IF(AND(ISNUMBER(_xlpm.r),ISNUMBER(_xlpm.u),_xlpm.u&gt;0,ISNUMBER(_xlpm.d),_xlpm.d&gt;=0,_xlpm.d&lt;1),
      ROUND(_xlpm.r/(_xlpm.u*(1-_xlpm.d)),0),
      ""
   )
)
)</f>
        <v>2</v>
      </c>
      <c r="H81" s="4">
        <f>_xlfn.LET(
_xlpm.q,RawData!G81,
_xlpm.u,RawData!H81,
_xlpm.d,RawData!I81,
_xlpm.r,RawData!J81,
IF(AND(ISNUMBER(_xlpm.u),_xlpm.u&gt;0),_xlpm.u,
   IF(AND(ISNUMBER(_xlpm.q),_xlpm.q&gt;0,ISNUMBER(_xlpm.r),ISNUMBER(_xlpm.d),_xlpm.d&gt;=0,_xlpm.d&lt;1),
      _xlpm.r/(_xlpm.q*(1-_xlpm.d)),
      ""
   )
)
)</f>
        <v>783.1</v>
      </c>
      <c r="I81" s="5">
        <f>_xlfn.LET(
_xlpm.q,RawData!G81,
_xlpm.u,RawData!H81,
_xlpm.d,RawData!I81,
_xlpm.r,RawData!J81,
IF(AND(ISNUMBER(_xlpm.d),_xlpm.d&gt;=0,_xlpm.d&lt;1),_xlpm.d,
   IF(AND(ISNUMBER(_xlpm.q),_xlpm.q&gt;0,ISNUMBER(_xlpm.u),_xlpm.u&gt;0,ISNUMBER(_xlpm.r),_xlpm.r&gt;=0),
      1-(_xlpm.r/(_xlpm.q*_xlpm.u)),
      ""
   )
)
)</f>
        <v>0.15</v>
      </c>
      <c r="J81" s="4">
        <f>_xlfn.LET(
_xlpm.q,RawData!G81,
_xlpm.u,RawData!H81,
_xlpm.d,RawData!I81,
_xlpm.r,RawData!J81,
IF(AND(ISNUMBER(_xlpm.r),_xlpm.r&gt;=0),_xlpm.r,
   IF(AND(ISNUMBER(_xlpm.q),_xlpm.q&gt;0,ISNUMBER(_xlpm.u),_xlpm.u&gt;0,ISNUMBER(_xlpm.d),_xlpm.d&gt;=0,_xlpm.d&lt;1),
      _xlpm.q*_xlpm.u*(1-_xlpm.d),
      ""
   )
)
)</f>
        <v>1331.27</v>
      </c>
      <c r="K81" s="4">
        <f>_xlfn.LET(
_xlpm.c,RawData!K81,
_xlpm.r,RawData!J81,
_xlpm.p,RawData!L81,
IF(AND(ISNUMBER(_xlpm.c),_xlpm.c&gt;=0),_xlpm.c,
   IF(AND(ISNUMBER(_xlpm.r),ISNUMBER(_xlpm.p)),
      _xlpm.r-_xlpm.p,
      ""
   )
)
)</f>
        <v>993.95</v>
      </c>
      <c r="L81" s="4">
        <f>_xlfn.LET(
_xlpm.p,RawData!L81,
_xlpm.r,RawData!J81,
_xlpm.c,RawData!K81,
IF(ISNUMBER(_xlpm.p),_xlpm.p,
IF(AND(ISNUMBER(_xlpm.r),ISNUMBER(_xlpm.c)),
_xlpm.r-_xlpm.c,
""
)
))</f>
        <v>337.32</v>
      </c>
    </row>
    <row r="82" spans="1:12" x14ac:dyDescent="0.35">
      <c r="A82" t="s">
        <v>115</v>
      </c>
      <c r="B82" s="7">
        <v>45834</v>
      </c>
      <c r="C82" t="str">
        <f>IF(RawData!C82="","Unknown",PROPER(TRIM(CLEAN(SUBSTITUTE(RawData!C82,CHAR(160)," ")))))</f>
        <v>East</v>
      </c>
      <c r="D82" t="str">
        <f>IF(RawData!D82="","Unknown",PROPER(TRIM(CLEAN(SUBSTITUTE(RawData!D82,CHAR(160)," ")))))</f>
        <v>Kolkata</v>
      </c>
      <c r="E82" t="str">
        <f>IF(RawData!E82="","Unknown",PROPER(TRIM(CLEAN(SUBSTITUTE(RawData!E82,CHAR(160)," ")))))</f>
        <v>Bookshelf</v>
      </c>
      <c r="F82" t="str">
        <f>IF(RawData!F82="","Unknown",PROPER(TRIM(CLEAN(SUBSTITUTE(RawData!F82,CHAR(160)," ")))))</f>
        <v>Furniture</v>
      </c>
      <c r="G82">
        <f>_xlfn.LET(
_xlpm.q,RawData!G82,
_xlpm.u,RawData!H82,
_xlpm.d,RawData!I82,
_xlpm.r,RawData!J82,
IF(AND(ISNUMBER(_xlpm.q),_xlpm.q&gt;0),_xlpm.q,
   IF(AND(ISNUMBER(_xlpm.r),ISNUMBER(_xlpm.u),_xlpm.u&gt;0,ISNUMBER(_xlpm.d),_xlpm.d&gt;=0,_xlpm.d&lt;1),
      ROUND(_xlpm.r/(_xlpm.u*(1-_xlpm.d)),0),
      ""
   )
)
)</f>
        <v>10</v>
      </c>
      <c r="H82" s="4">
        <f>_xlfn.LET(
_xlpm.q,RawData!G82,
_xlpm.u,RawData!H82,
_xlpm.d,RawData!I82,
_xlpm.r,RawData!J82,
IF(AND(ISNUMBER(_xlpm.u),_xlpm.u&gt;0),_xlpm.u,
   IF(AND(ISNUMBER(_xlpm.q),_xlpm.q&gt;0,ISNUMBER(_xlpm.r),ISNUMBER(_xlpm.d),_xlpm.d&gt;=0,_xlpm.d&lt;1),
      _xlpm.r/(_xlpm.q*(1-_xlpm.d)),
      ""
   )
)
)</f>
        <v>134.44999999999999</v>
      </c>
      <c r="I82" s="5">
        <f>_xlfn.LET(
_xlpm.q,RawData!G82,
_xlpm.u,RawData!H82,
_xlpm.d,RawData!I82,
_xlpm.r,RawData!J82,
IF(AND(ISNUMBER(_xlpm.d),_xlpm.d&gt;=0,_xlpm.d&lt;1),_xlpm.d,
   IF(AND(ISNUMBER(_xlpm.q),_xlpm.q&gt;0,ISNUMBER(_xlpm.u),_xlpm.u&gt;0,ISNUMBER(_xlpm.r),_xlpm.r&gt;=0),
      1-(_xlpm.r/(_xlpm.q*_xlpm.u)),
      ""
   )
)
)</f>
        <v>0.15</v>
      </c>
      <c r="J82" s="4">
        <f>_xlfn.LET(
_xlpm.q,RawData!G82,
_xlpm.u,RawData!H82,
_xlpm.d,RawData!I82,
_xlpm.r,RawData!J82,
IF(AND(ISNUMBER(_xlpm.r),_xlpm.r&gt;=0),_xlpm.r,
   IF(AND(ISNUMBER(_xlpm.q),_xlpm.q&gt;0,ISNUMBER(_xlpm.u),_xlpm.u&gt;0,ISNUMBER(_xlpm.d),_xlpm.d&gt;=0,_xlpm.d&lt;1),
      _xlpm.q*_xlpm.u*(1-_xlpm.d),
      ""
   )
)
)</f>
        <v>1142.83</v>
      </c>
      <c r="K82" s="4">
        <f>_xlfn.LET(
_xlpm.c,RawData!K82,
_xlpm.r,RawData!J82,
_xlpm.p,RawData!L82,
IF(AND(ISNUMBER(_xlpm.c),_xlpm.c&gt;=0),_xlpm.c,
   IF(AND(ISNUMBER(_xlpm.r),ISNUMBER(_xlpm.p)),
      _xlpm.r-_xlpm.p,
      ""
   )
)
)</f>
        <v>823.66</v>
      </c>
      <c r="L82" s="4">
        <f>_xlfn.LET(
_xlpm.p,RawData!L82,
_xlpm.r,RawData!J82,
_xlpm.c,RawData!K82,
IF(ISNUMBER(_xlpm.p),_xlpm.p,
IF(AND(ISNUMBER(_xlpm.r),ISNUMBER(_xlpm.c)),
_xlpm.r-_xlpm.c,
""
)
))</f>
        <v>319.17</v>
      </c>
    </row>
    <row r="83" spans="1:12" x14ac:dyDescent="0.35">
      <c r="A83" t="s">
        <v>116</v>
      </c>
      <c r="B83" s="7">
        <v>45855</v>
      </c>
      <c r="C83" t="str">
        <f>IF(RawData!C83="","Unknown",PROPER(TRIM(CLEAN(SUBSTITUTE(RawData!C83,CHAR(160)," ")))))</f>
        <v>South</v>
      </c>
      <c r="D83" t="str">
        <f>IF(RawData!D83="","Unknown",PROPER(TRIM(CLEAN(SUBSTITUTE(RawData!D83,CHAR(160)," ")))))</f>
        <v>Chennai</v>
      </c>
      <c r="E83" t="str">
        <f>IF(RawData!E83="","Unknown",PROPER(TRIM(CLEAN(SUBSTITUTE(RawData!E83,CHAR(160)," ")))))</f>
        <v>Office Chair</v>
      </c>
      <c r="F83" t="str">
        <f>IF(RawData!F83="","Unknown",PROPER(TRIM(CLEAN(SUBSTITUTE(RawData!F83,CHAR(160)," ")))))</f>
        <v>Furniture</v>
      </c>
      <c r="G83">
        <f>_xlfn.LET(
_xlpm.q,RawData!G83,
_xlpm.u,RawData!H83,
_xlpm.d,RawData!I83,
_xlpm.r,RawData!J83,
IF(AND(ISNUMBER(_xlpm.q),_xlpm.q&gt;0),_xlpm.q,
   IF(AND(ISNUMBER(_xlpm.r),ISNUMBER(_xlpm.u),_xlpm.u&gt;0,ISNUMBER(_xlpm.d),_xlpm.d&gt;=0,_xlpm.d&lt;1),
      ROUND(_xlpm.r/(_xlpm.u*(1-_xlpm.d)),0),
      ""
   )
)
)</f>
        <v>1</v>
      </c>
      <c r="H83" s="4">
        <f>_xlfn.LET(
_xlpm.q,RawData!G83,
_xlpm.u,RawData!H83,
_xlpm.d,RawData!I83,
_xlpm.r,RawData!J83,
IF(AND(ISNUMBER(_xlpm.u),_xlpm.u&gt;0),_xlpm.u,
   IF(AND(ISNUMBER(_xlpm.q),_xlpm.q&gt;0,ISNUMBER(_xlpm.r),ISNUMBER(_xlpm.d),_xlpm.d&gt;=0,_xlpm.d&lt;1),
      _xlpm.r/(_xlpm.q*(1-_xlpm.d)),
      ""
   )
)
)</f>
        <v>187.21</v>
      </c>
      <c r="I83" s="5">
        <f>_xlfn.LET(
_xlpm.q,RawData!G83,
_xlpm.u,RawData!H83,
_xlpm.d,RawData!I83,
_xlpm.r,RawData!J83,
IF(AND(ISNUMBER(_xlpm.d),_xlpm.d&gt;=0,_xlpm.d&lt;1),_xlpm.d,
   IF(AND(ISNUMBER(_xlpm.q),_xlpm.q&gt;0,ISNUMBER(_xlpm.u),_xlpm.u&gt;0,ISNUMBER(_xlpm.r),_xlpm.r&gt;=0),
      1-(_xlpm.r/(_xlpm.q*_xlpm.u)),
      ""
   )
)
)</f>
        <v>0.2</v>
      </c>
      <c r="J83" s="4">
        <f>_xlfn.LET(
_xlpm.q,RawData!G83,
_xlpm.u,RawData!H83,
_xlpm.d,RawData!I83,
_xlpm.r,RawData!J83,
IF(AND(ISNUMBER(_xlpm.r),_xlpm.r&gt;=0),_xlpm.r,
   IF(AND(ISNUMBER(_xlpm.q),_xlpm.q&gt;0,ISNUMBER(_xlpm.u),_xlpm.u&gt;0,ISNUMBER(_xlpm.d),_xlpm.d&gt;=0,_xlpm.d&lt;1),
      _xlpm.q*_xlpm.u*(1-_xlpm.d),
      ""
   )
)
)</f>
        <v>149.77000000000001</v>
      </c>
      <c r="K83" s="4">
        <f>_xlfn.LET(
_xlpm.c,RawData!K83,
_xlpm.r,RawData!J83,
_xlpm.p,RawData!L83,
IF(AND(ISNUMBER(_xlpm.c),_xlpm.c&gt;=0),_xlpm.c,
   IF(AND(ISNUMBER(_xlpm.r),ISNUMBER(_xlpm.p)),
      _xlpm.r-_xlpm.p,
      ""
   )
)
)</f>
        <v>104.04</v>
      </c>
      <c r="L83" s="4">
        <f>_xlfn.LET(
_xlpm.p,RawData!L83,
_xlpm.r,RawData!J83,
_xlpm.c,RawData!K83,
IF(ISNUMBER(_xlpm.p),_xlpm.p,
IF(AND(ISNUMBER(_xlpm.r),ISNUMBER(_xlpm.c)),
_xlpm.r-_xlpm.c,
""
)
))</f>
        <v>45.73</v>
      </c>
    </row>
    <row r="84" spans="1:12" x14ac:dyDescent="0.35">
      <c r="A84" t="s">
        <v>117</v>
      </c>
      <c r="B84" s="7">
        <v>45658</v>
      </c>
      <c r="C84" t="str">
        <f>IF(RawData!C84="","Unknown",PROPER(TRIM(CLEAN(SUBSTITUTE(RawData!C84,CHAR(160)," ")))))</f>
        <v>South</v>
      </c>
      <c r="D84" t="str">
        <f>IF(RawData!D84="","Unknown",PROPER(TRIM(CLEAN(SUBSTITUTE(RawData!D84,CHAR(160)," ")))))</f>
        <v>Bengaluru</v>
      </c>
      <c r="E84" t="str">
        <f>IF(RawData!E84="","Unknown",PROPER(TRIM(CLEAN(SUBSTITUTE(RawData!E84,CHAR(160)," ")))))</f>
        <v>Desk</v>
      </c>
      <c r="F84" t="str">
        <f>IF(RawData!F84="","Unknown",PROPER(TRIM(CLEAN(SUBSTITUTE(RawData!F84,CHAR(160)," ")))))</f>
        <v>Furniture</v>
      </c>
      <c r="G84">
        <f>_xlfn.LET(
_xlpm.q,RawData!G84,
_xlpm.u,RawData!H84,
_xlpm.d,RawData!I84,
_xlpm.r,RawData!J84,
IF(AND(ISNUMBER(_xlpm.q),_xlpm.q&gt;0),_xlpm.q,
   IF(AND(ISNUMBER(_xlpm.r),ISNUMBER(_xlpm.u),_xlpm.u&gt;0,ISNUMBER(_xlpm.d),_xlpm.d&gt;=0,_xlpm.d&lt;1),
      ROUND(_xlpm.r/(_xlpm.u*(1-_xlpm.d)),0),
      ""
   )
)
)</f>
        <v>7</v>
      </c>
      <c r="H84" s="4">
        <f>_xlfn.LET(
_xlpm.q,RawData!G84,
_xlpm.u,RawData!H84,
_xlpm.d,RawData!I84,
_xlpm.r,RawData!J84,
IF(AND(ISNUMBER(_xlpm.u),_xlpm.u&gt;0),_xlpm.u,
   IF(AND(ISNUMBER(_xlpm.q),_xlpm.q&gt;0,ISNUMBER(_xlpm.r),ISNUMBER(_xlpm.d),_xlpm.d&gt;=0,_xlpm.d&lt;1),
      _xlpm.r/(_xlpm.q*(1-_xlpm.d)),
      ""
   )
)
)</f>
        <v>219.27</v>
      </c>
      <c r="I84" s="5">
        <f>_xlfn.LET(
_xlpm.q,RawData!G84,
_xlpm.u,RawData!H84,
_xlpm.d,RawData!I84,
_xlpm.r,RawData!J84,
IF(AND(ISNUMBER(_xlpm.d),_xlpm.d&gt;=0,_xlpm.d&lt;1),_xlpm.d,
   IF(AND(ISNUMBER(_xlpm.q),_xlpm.q&gt;0,ISNUMBER(_xlpm.u),_xlpm.u&gt;0,ISNUMBER(_xlpm.r),_xlpm.r&gt;=0),
      1-(_xlpm.r/(_xlpm.q*_xlpm.u)),
      ""
   )
)
)</f>
        <v>0</v>
      </c>
      <c r="J84" s="4">
        <f>_xlfn.LET(
_xlpm.q,RawData!G84,
_xlpm.u,RawData!H84,
_xlpm.d,RawData!I84,
_xlpm.r,RawData!J84,
IF(AND(ISNUMBER(_xlpm.r),_xlpm.r&gt;=0),_xlpm.r,
   IF(AND(ISNUMBER(_xlpm.q),_xlpm.q&gt;0,ISNUMBER(_xlpm.u),_xlpm.u&gt;0,ISNUMBER(_xlpm.d),_xlpm.d&gt;=0,_xlpm.d&lt;1),
      _xlpm.q*_xlpm.u*(1-_xlpm.d),
      ""
   )
)
)</f>
        <v>1534.89</v>
      </c>
      <c r="K84" s="4">
        <f>_xlfn.LET(
_xlpm.c,RawData!K84,
_xlpm.r,RawData!J84,
_xlpm.p,RawData!L84,
IF(AND(ISNUMBER(_xlpm.c),_xlpm.c&gt;=0),_xlpm.c,
   IF(AND(ISNUMBER(_xlpm.r),ISNUMBER(_xlpm.p)),
      _xlpm.r-_xlpm.p,
      ""
   )
)
)</f>
        <v>1190.3599999999999</v>
      </c>
      <c r="L84" s="4">
        <f>_xlfn.LET(
_xlpm.p,RawData!L84,
_xlpm.r,RawData!J84,
_xlpm.c,RawData!K84,
IF(ISNUMBER(_xlpm.p),_xlpm.p,
IF(AND(ISNUMBER(_xlpm.r),ISNUMBER(_xlpm.c)),
_xlpm.r-_xlpm.c,
""
)
))</f>
        <v>344.53</v>
      </c>
    </row>
    <row r="85" spans="1:12" x14ac:dyDescent="0.35">
      <c r="A85" t="s">
        <v>118</v>
      </c>
      <c r="B85" s="7">
        <v>45827</v>
      </c>
      <c r="C85" t="str">
        <f>IF(RawData!C85="","Unknown",PROPER(TRIM(CLEAN(SUBSTITUTE(RawData!C85,CHAR(160)," ")))))</f>
        <v>East</v>
      </c>
      <c r="D85" t="str">
        <f>IF(RawData!D85="","Unknown",PROPER(TRIM(CLEAN(SUBSTITUTE(RawData!D85,CHAR(160)," ")))))</f>
        <v>Bhubaneswar</v>
      </c>
      <c r="E85" t="str">
        <f>IF(RawData!E85="","Unknown",PROPER(TRIM(CLEAN(SUBSTITUTE(RawData!E85,CHAR(160)," ")))))</f>
        <v>Backpack</v>
      </c>
      <c r="F85" t="str">
        <f>IF(RawData!F85="","Unknown",PROPER(TRIM(CLEAN(SUBSTITUTE(RawData!F85,CHAR(160)," ")))))</f>
        <v>Accessories</v>
      </c>
      <c r="G85">
        <f>_xlfn.LET(
_xlpm.q,RawData!G85,
_xlpm.u,RawData!H85,
_xlpm.d,RawData!I85,
_xlpm.r,RawData!J85,
IF(AND(ISNUMBER(_xlpm.q),_xlpm.q&gt;0),_xlpm.q,
   IF(AND(ISNUMBER(_xlpm.r),ISNUMBER(_xlpm.u),_xlpm.u&gt;0,ISNUMBER(_xlpm.d),_xlpm.d&gt;=0,_xlpm.d&lt;1),
      ROUND(_xlpm.r/(_xlpm.u*(1-_xlpm.d)),0),
      ""
   )
)
)</f>
        <v>2</v>
      </c>
      <c r="H85" s="4">
        <f>_xlfn.LET(
_xlpm.q,RawData!G85,
_xlpm.u,RawData!H85,
_xlpm.d,RawData!I85,
_xlpm.r,RawData!J85,
IF(AND(ISNUMBER(_xlpm.u),_xlpm.u&gt;0),_xlpm.u,
   IF(AND(ISNUMBER(_xlpm.q),_xlpm.q&gt;0,ISNUMBER(_xlpm.r),ISNUMBER(_xlpm.d),_xlpm.d&gt;=0,_xlpm.d&lt;1),
      _xlpm.r/(_xlpm.q*(1-_xlpm.d)),
      ""
   )
)
)</f>
        <v>42.581249999999997</v>
      </c>
      <c r="I85" s="5">
        <f>_xlfn.LET(
_xlpm.q,RawData!G85,
_xlpm.u,RawData!H85,
_xlpm.d,RawData!I85,
_xlpm.r,RawData!J85,
IF(AND(ISNUMBER(_xlpm.d),_xlpm.d&gt;=0,_xlpm.d&lt;1),_xlpm.d,
   IF(AND(ISNUMBER(_xlpm.q),_xlpm.q&gt;0,ISNUMBER(_xlpm.u),_xlpm.u&gt;0,ISNUMBER(_xlpm.r),_xlpm.r&gt;=0),
      1-(_xlpm.r/(_xlpm.q*_xlpm.u)),
      ""
   )
)
)</f>
        <v>0.2</v>
      </c>
      <c r="J85" s="4">
        <f>_xlfn.LET(
_xlpm.q,RawData!G85,
_xlpm.u,RawData!H85,
_xlpm.d,RawData!I85,
_xlpm.r,RawData!J85,
IF(AND(ISNUMBER(_xlpm.r),_xlpm.r&gt;=0),_xlpm.r,
   IF(AND(ISNUMBER(_xlpm.q),_xlpm.q&gt;0,ISNUMBER(_xlpm.u),_xlpm.u&gt;0,ISNUMBER(_xlpm.d),_xlpm.d&gt;=0,_xlpm.d&lt;1),
      _xlpm.q*_xlpm.u*(1-_xlpm.d),
      ""
   )
)
)</f>
        <v>68.13</v>
      </c>
      <c r="K85" s="4">
        <f>_xlfn.LET(
_xlpm.c,RawData!K85,
_xlpm.r,RawData!J85,
_xlpm.p,RawData!L85,
IF(AND(ISNUMBER(_xlpm.c),_xlpm.c&gt;=0),_xlpm.c,
   IF(AND(ISNUMBER(_xlpm.r),ISNUMBER(_xlpm.p)),
      _xlpm.r-_xlpm.p,
      ""
   )
)
)</f>
        <v>40.9</v>
      </c>
      <c r="L85" s="4">
        <f>_xlfn.LET(
_xlpm.p,RawData!L85,
_xlpm.r,RawData!J85,
_xlpm.c,RawData!K85,
IF(ISNUMBER(_xlpm.p),_xlpm.p,
IF(AND(ISNUMBER(_xlpm.r),ISNUMBER(_xlpm.c)),
_xlpm.r-_xlpm.c,
""
)
))</f>
        <v>27.23</v>
      </c>
    </row>
    <row r="86" spans="1:12" x14ac:dyDescent="0.35">
      <c r="A86" t="s">
        <v>119</v>
      </c>
      <c r="B86" s="7">
        <v>45917</v>
      </c>
      <c r="C86" t="str">
        <f>IF(RawData!C86="","Unknown",PROPER(TRIM(CLEAN(SUBSTITUTE(RawData!C86,CHAR(160)," ")))))</f>
        <v>East</v>
      </c>
      <c r="D86" t="str">
        <f>IF(RawData!D86="","Unknown",PROPER(TRIM(CLEAN(SUBSTITUTE(RawData!D86,CHAR(160)," ")))))</f>
        <v>Bhubaneswar</v>
      </c>
      <c r="E86" t="str">
        <f>IF(RawData!E86="","Unknown",PROPER(TRIM(CLEAN(SUBSTITUTE(RawData!E86,CHAR(160)," ")))))</f>
        <v>Backpack</v>
      </c>
      <c r="F86" t="str">
        <f>IF(RawData!F86="","Unknown",PROPER(TRIM(CLEAN(SUBSTITUTE(RawData!F86,CHAR(160)," ")))))</f>
        <v>Accessories</v>
      </c>
      <c r="G86">
        <f>_xlfn.LET(
_xlpm.q,RawData!G86,
_xlpm.u,RawData!H86,
_xlpm.d,RawData!I86,
_xlpm.r,RawData!J86,
IF(AND(ISNUMBER(_xlpm.q),_xlpm.q&gt;0),_xlpm.q,
   IF(AND(ISNUMBER(_xlpm.r),ISNUMBER(_xlpm.u),_xlpm.u&gt;0,ISNUMBER(_xlpm.d),_xlpm.d&gt;=0,_xlpm.d&lt;1),
      ROUND(_xlpm.r/(_xlpm.u*(1-_xlpm.d)),0),
      ""
   )
)
)</f>
        <v>7</v>
      </c>
      <c r="H86" s="4">
        <f>_xlfn.LET(
_xlpm.q,RawData!G86,
_xlpm.u,RawData!H86,
_xlpm.d,RawData!I86,
_xlpm.r,RawData!J86,
IF(AND(ISNUMBER(_xlpm.u),_xlpm.u&gt;0),_xlpm.u,
   IF(AND(ISNUMBER(_xlpm.q),_xlpm.q&gt;0,ISNUMBER(_xlpm.r),ISNUMBER(_xlpm.d),_xlpm.d&gt;=0,_xlpm.d&lt;1),
      _xlpm.r/(_xlpm.q*(1-_xlpm.d)),
      ""
   )
)
)</f>
        <v>38.799999999999997</v>
      </c>
      <c r="I86" s="5">
        <f>_xlfn.LET(
_xlpm.q,RawData!G86,
_xlpm.u,RawData!H86,
_xlpm.d,RawData!I86,
_xlpm.r,RawData!J86,
IF(AND(ISNUMBER(_xlpm.d),_xlpm.d&gt;=0,_xlpm.d&lt;1),_xlpm.d,
   IF(AND(ISNUMBER(_xlpm.q),_xlpm.q&gt;0,ISNUMBER(_xlpm.u),_xlpm.u&gt;0,ISNUMBER(_xlpm.r),_xlpm.r&gt;=0),
      1-(_xlpm.r/(_xlpm.q*_xlpm.u)),
      ""
   )
)
)</f>
        <v>0.05</v>
      </c>
      <c r="J86" s="4">
        <f>_xlfn.LET(
_xlpm.q,RawData!G86,
_xlpm.u,RawData!H86,
_xlpm.d,RawData!I86,
_xlpm.r,RawData!J86,
IF(AND(ISNUMBER(_xlpm.r),_xlpm.r&gt;=0),_xlpm.r,
   IF(AND(ISNUMBER(_xlpm.q),_xlpm.q&gt;0,ISNUMBER(_xlpm.u),_xlpm.u&gt;0,ISNUMBER(_xlpm.d),_xlpm.d&gt;=0,_xlpm.d&lt;1),
      _xlpm.q*_xlpm.u*(1-_xlpm.d),
      ""
   )
)
)</f>
        <v>258.02</v>
      </c>
      <c r="K86" s="4">
        <f>_xlfn.LET(
_xlpm.c,RawData!K86,
_xlpm.r,RawData!J86,
_xlpm.p,RawData!L86,
IF(AND(ISNUMBER(_xlpm.c),_xlpm.c&gt;=0),_xlpm.c,
   IF(AND(ISNUMBER(_xlpm.r),ISNUMBER(_xlpm.p)),
      _xlpm.r-_xlpm.p,
      ""
   )
)
)</f>
        <v>183.08</v>
      </c>
      <c r="L86" s="4">
        <f>_xlfn.LET(
_xlpm.p,RawData!L86,
_xlpm.r,RawData!J86,
_xlpm.c,RawData!K86,
IF(ISNUMBER(_xlpm.p),_xlpm.p,
IF(AND(ISNUMBER(_xlpm.r),ISNUMBER(_xlpm.c)),
_xlpm.r-_xlpm.c,
""
)
))</f>
        <v>74.94</v>
      </c>
    </row>
    <row r="87" spans="1:12" x14ac:dyDescent="0.35">
      <c r="A87" t="s">
        <v>120</v>
      </c>
      <c r="B87" s="7">
        <v>46014</v>
      </c>
      <c r="C87" t="str">
        <f>IF(RawData!C87="","Unknown",PROPER(TRIM(CLEAN(SUBSTITUTE(RawData!C87,CHAR(160)," ")))))</f>
        <v>East</v>
      </c>
      <c r="D87" t="str">
        <f>IF(RawData!D87="","Unknown",PROPER(TRIM(CLEAN(SUBSTITUTE(RawData!D87,CHAR(160)," ")))))</f>
        <v>Bhubaneswar</v>
      </c>
      <c r="E87" t="str">
        <f>IF(RawData!E87="","Unknown",PROPER(TRIM(CLEAN(SUBSTITUTE(RawData!E87,CHAR(160)," ")))))</f>
        <v>Notebook</v>
      </c>
      <c r="F87" t="str">
        <f>IF(RawData!F87="","Unknown",PROPER(TRIM(CLEAN(SUBSTITUTE(RawData!F87,CHAR(160)," ")))))</f>
        <v>Office Supplies</v>
      </c>
      <c r="G87">
        <f>_xlfn.LET(
_xlpm.q,RawData!G87,
_xlpm.u,RawData!H87,
_xlpm.d,RawData!I87,
_xlpm.r,RawData!J87,
IF(AND(ISNUMBER(_xlpm.q),_xlpm.q&gt;0),_xlpm.q,
   IF(AND(ISNUMBER(_xlpm.r),ISNUMBER(_xlpm.u),_xlpm.u&gt;0,ISNUMBER(_xlpm.d),_xlpm.d&gt;=0,_xlpm.d&lt;1),
      ROUND(_xlpm.r/(_xlpm.u*(1-_xlpm.d)),0),
      ""
   )
)
)</f>
        <v>3</v>
      </c>
      <c r="H87" s="4">
        <f>_xlfn.LET(
_xlpm.q,RawData!G87,
_xlpm.u,RawData!H87,
_xlpm.d,RawData!I87,
_xlpm.r,RawData!J87,
IF(AND(ISNUMBER(_xlpm.u),_xlpm.u&gt;0),_xlpm.u,
   IF(AND(ISNUMBER(_xlpm.q),_xlpm.q&gt;0,ISNUMBER(_xlpm.r),ISNUMBER(_xlpm.d),_xlpm.d&gt;=0,_xlpm.d&lt;1),
      _xlpm.r/(_xlpm.q*(1-_xlpm.d)),
      ""
   )
)
)</f>
        <v>8.43</v>
      </c>
      <c r="I87" s="5">
        <f>_xlfn.LET(
_xlpm.q,RawData!G87,
_xlpm.u,RawData!H87,
_xlpm.d,RawData!I87,
_xlpm.r,RawData!J87,
IF(AND(ISNUMBER(_xlpm.d),_xlpm.d&gt;=0,_xlpm.d&lt;1),_xlpm.d,
   IF(AND(ISNUMBER(_xlpm.q),_xlpm.q&gt;0,ISNUMBER(_xlpm.u),_xlpm.u&gt;0,ISNUMBER(_xlpm.r),_xlpm.r&gt;=0),
      1-(_xlpm.r/(_xlpm.q*_xlpm.u)),
      ""
   )
)
)</f>
        <v>0.02</v>
      </c>
      <c r="J87" s="4">
        <f>_xlfn.LET(
_xlpm.q,RawData!G87,
_xlpm.u,RawData!H87,
_xlpm.d,RawData!I87,
_xlpm.r,RawData!J87,
IF(AND(ISNUMBER(_xlpm.r),_xlpm.r&gt;=0),_xlpm.r,
   IF(AND(ISNUMBER(_xlpm.q),_xlpm.q&gt;0,ISNUMBER(_xlpm.u),_xlpm.u&gt;0,ISNUMBER(_xlpm.d),_xlpm.d&gt;=0,_xlpm.d&lt;1),
      _xlpm.q*_xlpm.u*(1-_xlpm.d),
      ""
   )
)
)</f>
        <v>24.78</v>
      </c>
      <c r="K87" s="4">
        <f>_xlfn.LET(
_xlpm.c,RawData!K87,
_xlpm.r,RawData!J87,
_xlpm.p,RawData!L87,
IF(AND(ISNUMBER(_xlpm.c),_xlpm.c&gt;=0),_xlpm.c,
   IF(AND(ISNUMBER(_xlpm.r),ISNUMBER(_xlpm.p)),
      _xlpm.r-_xlpm.p,
      ""
   )
)
)</f>
        <v>13.74</v>
      </c>
      <c r="L87" s="4">
        <f>_xlfn.LET(
_xlpm.p,RawData!L87,
_xlpm.r,RawData!J87,
_xlpm.c,RawData!K87,
IF(ISNUMBER(_xlpm.p),_xlpm.p,
IF(AND(ISNUMBER(_xlpm.r),ISNUMBER(_xlpm.c)),
_xlpm.r-_xlpm.c,
""
)
))</f>
        <v>11.04</v>
      </c>
    </row>
    <row r="88" spans="1:12" x14ac:dyDescent="0.35">
      <c r="A88" t="s">
        <v>121</v>
      </c>
      <c r="B88" s="7">
        <v>45998</v>
      </c>
      <c r="C88" t="str">
        <f>IF(RawData!C88="","Unknown",PROPER(TRIM(CLEAN(SUBSTITUTE(RawData!C88,CHAR(160)," ")))))</f>
        <v>West</v>
      </c>
      <c r="D88" t="str">
        <f>IF(RawData!D88="","Unknown",PROPER(TRIM(CLEAN(SUBSTITUTE(RawData!D88,CHAR(160)," ")))))</f>
        <v>Ahmedabad</v>
      </c>
      <c r="E88" t="str">
        <f>IF(RawData!E88="","Unknown",PROPER(TRIM(CLEAN(SUBSTITUTE(RawData!E88,CHAR(160)," ")))))</f>
        <v>Backpack</v>
      </c>
      <c r="F88" t="str">
        <f>IF(RawData!F88="","Unknown",PROPER(TRIM(CLEAN(SUBSTITUTE(RawData!F88,CHAR(160)," ")))))</f>
        <v>Accessories</v>
      </c>
      <c r="G88">
        <f>_xlfn.LET(
_xlpm.q,RawData!G88,
_xlpm.u,RawData!H88,
_xlpm.d,RawData!I88,
_xlpm.r,RawData!J88,
IF(AND(ISNUMBER(_xlpm.q),_xlpm.q&gt;0),_xlpm.q,
   IF(AND(ISNUMBER(_xlpm.r),ISNUMBER(_xlpm.u),_xlpm.u&gt;0,ISNUMBER(_xlpm.d),_xlpm.d&gt;=0,_xlpm.d&lt;1),
      ROUND(_xlpm.r/(_xlpm.u*(1-_xlpm.d)),0),
      ""
   )
)
)</f>
        <v>3</v>
      </c>
      <c r="H88" s="4">
        <f>_xlfn.LET(
_xlpm.q,RawData!G88,
_xlpm.u,RawData!H88,
_xlpm.d,RawData!I88,
_xlpm.r,RawData!J88,
IF(AND(ISNUMBER(_xlpm.u),_xlpm.u&gt;0),_xlpm.u,
   IF(AND(ISNUMBER(_xlpm.q),_xlpm.q&gt;0,ISNUMBER(_xlpm.r),ISNUMBER(_xlpm.d),_xlpm.d&gt;=0,_xlpm.d&lt;1),
      _xlpm.r/(_xlpm.q*(1-_xlpm.d)),
      ""
   )
)
)</f>
        <v>45.16</v>
      </c>
      <c r="I88" s="5">
        <f>_xlfn.LET(
_xlpm.q,RawData!G88,
_xlpm.u,RawData!H88,
_xlpm.d,RawData!I88,
_xlpm.r,RawData!J88,
IF(AND(ISNUMBER(_xlpm.d),_xlpm.d&gt;=0,_xlpm.d&lt;1),_xlpm.d,
   IF(AND(ISNUMBER(_xlpm.q),_xlpm.q&gt;0,ISNUMBER(_xlpm.u),_xlpm.u&gt;0,ISNUMBER(_xlpm.r),_xlpm.r&gt;=0),
      1-(_xlpm.r/(_xlpm.q*_xlpm.u)),
      ""
   )
)
)</f>
        <v>0.15</v>
      </c>
      <c r="J88" s="4">
        <f>_xlfn.LET(
_xlpm.q,RawData!G88,
_xlpm.u,RawData!H88,
_xlpm.d,RawData!I88,
_xlpm.r,RawData!J88,
IF(AND(ISNUMBER(_xlpm.r),_xlpm.r&gt;=0),_xlpm.r,
   IF(AND(ISNUMBER(_xlpm.q),_xlpm.q&gt;0,ISNUMBER(_xlpm.u),_xlpm.u&gt;0,ISNUMBER(_xlpm.d),_xlpm.d&gt;=0,_xlpm.d&lt;1),
      _xlpm.q*_xlpm.u*(1-_xlpm.d),
      ""
   )
)
)</f>
        <v>115.16</v>
      </c>
      <c r="K88" s="4">
        <f>_xlfn.LET(
_xlpm.c,RawData!K88,
_xlpm.r,RawData!J88,
_xlpm.p,RawData!L88,
IF(AND(ISNUMBER(_xlpm.c),_xlpm.c&gt;=0),_xlpm.c,
   IF(AND(ISNUMBER(_xlpm.r),ISNUMBER(_xlpm.p)),
      _xlpm.r-_xlpm.p,
      ""
   )
)
)</f>
        <v>70.38</v>
      </c>
      <c r="L88" s="4">
        <f>_xlfn.LET(
_xlpm.p,RawData!L88,
_xlpm.r,RawData!J88,
_xlpm.c,RawData!K88,
IF(ISNUMBER(_xlpm.p),_xlpm.p,
IF(AND(ISNUMBER(_xlpm.r),ISNUMBER(_xlpm.c)),
_xlpm.r-_xlpm.c,
""
)
))</f>
        <v>44.78</v>
      </c>
    </row>
    <row r="89" spans="1:12" x14ac:dyDescent="0.35">
      <c r="A89" t="s">
        <v>122</v>
      </c>
      <c r="B89" s="7">
        <v>45812</v>
      </c>
      <c r="C89" t="str">
        <f>IF(RawData!C89="","Unknown",PROPER(TRIM(CLEAN(SUBSTITUTE(RawData!C89,CHAR(160)," ")))))</f>
        <v>West</v>
      </c>
      <c r="D89" t="str">
        <f>IF(RawData!D89="","Unknown",PROPER(TRIM(CLEAN(SUBSTITUTE(RawData!D89,CHAR(160)," ")))))</f>
        <v>Pune</v>
      </c>
      <c r="E89" t="str">
        <f>IF(RawData!E89="","Unknown",PROPER(TRIM(CLEAN(SUBSTITUTE(RawData!E89,CHAR(160)," ")))))</f>
        <v>Notebook</v>
      </c>
      <c r="F89" t="str">
        <f>IF(RawData!F89="","Unknown",PROPER(TRIM(CLEAN(SUBSTITUTE(RawData!F89,CHAR(160)," ")))))</f>
        <v>Office Supplies</v>
      </c>
      <c r="G89">
        <f>_xlfn.LET(
_xlpm.q,RawData!G89,
_xlpm.u,RawData!H89,
_xlpm.d,RawData!I89,
_xlpm.r,RawData!J89,
IF(AND(ISNUMBER(_xlpm.q),_xlpm.q&gt;0),_xlpm.q,
   IF(AND(ISNUMBER(_xlpm.r),ISNUMBER(_xlpm.u),_xlpm.u&gt;0,ISNUMBER(_xlpm.d),_xlpm.d&gt;=0,_xlpm.d&lt;1),
      ROUND(_xlpm.r/(_xlpm.u*(1-_xlpm.d)),0),
      ""
   )
)
)</f>
        <v>1</v>
      </c>
      <c r="H89" s="4">
        <f>_xlfn.LET(
_xlpm.q,RawData!G89,
_xlpm.u,RawData!H89,
_xlpm.d,RawData!I89,
_xlpm.r,RawData!J89,
IF(AND(ISNUMBER(_xlpm.u),_xlpm.u&gt;0),_xlpm.u,
   IF(AND(ISNUMBER(_xlpm.q),_xlpm.q&gt;0,ISNUMBER(_xlpm.r),ISNUMBER(_xlpm.d),_xlpm.d&gt;=0,_xlpm.d&lt;1),
      _xlpm.r/(_xlpm.q*(1-_xlpm.d)),
      ""
   )
)
)</f>
        <v>8.35</v>
      </c>
      <c r="I89" s="5">
        <f>_xlfn.LET(
_xlpm.q,RawData!G89,
_xlpm.u,RawData!H89,
_xlpm.d,RawData!I89,
_xlpm.r,RawData!J89,
IF(AND(ISNUMBER(_xlpm.d),_xlpm.d&gt;=0,_xlpm.d&lt;1),_xlpm.d,
   IF(AND(ISNUMBER(_xlpm.q),_xlpm.q&gt;0,ISNUMBER(_xlpm.u),_xlpm.u&gt;0,ISNUMBER(_xlpm.r),_xlpm.r&gt;=0),
      1-(_xlpm.r/(_xlpm.q*_xlpm.u)),
      ""
   )
)
)</f>
        <v>0.05</v>
      </c>
      <c r="J89" s="4">
        <f>_xlfn.LET(
_xlpm.q,RawData!G89,
_xlpm.u,RawData!H89,
_xlpm.d,RawData!I89,
_xlpm.r,RawData!J89,
IF(AND(ISNUMBER(_xlpm.r),_xlpm.r&gt;=0),_xlpm.r,
   IF(AND(ISNUMBER(_xlpm.q),_xlpm.q&gt;0,ISNUMBER(_xlpm.u),_xlpm.u&gt;0,ISNUMBER(_xlpm.d),_xlpm.d&gt;=0,_xlpm.d&lt;1),
      _xlpm.q*_xlpm.u*(1-_xlpm.d),
      ""
   )
)
)</f>
        <v>7.93</v>
      </c>
      <c r="K89" s="4">
        <f>_xlfn.LET(
_xlpm.c,RawData!K89,
_xlpm.r,RawData!J89,
_xlpm.p,RawData!L89,
IF(AND(ISNUMBER(_xlpm.c),_xlpm.c&gt;=0),_xlpm.c,
   IF(AND(ISNUMBER(_xlpm.r),ISNUMBER(_xlpm.p)),
      _xlpm.r-_xlpm.p,
      ""
   )
)
)</f>
        <v>4.7300000000000004</v>
      </c>
      <c r="L89" s="4">
        <f>_xlfn.LET(
_xlpm.p,RawData!L89,
_xlpm.r,RawData!J89,
_xlpm.c,RawData!K89,
IF(ISNUMBER(_xlpm.p),_xlpm.p,
IF(AND(ISNUMBER(_xlpm.r),ISNUMBER(_xlpm.c)),
_xlpm.r-_xlpm.c,
""
)
))</f>
        <v>3.2</v>
      </c>
    </row>
    <row r="90" spans="1:12" x14ac:dyDescent="0.35">
      <c r="A90" t="s">
        <v>123</v>
      </c>
      <c r="B90" s="7">
        <v>45765</v>
      </c>
      <c r="C90" t="str">
        <f>IF(RawData!C90="","Unknown",PROPER(TRIM(CLEAN(SUBSTITUTE(RawData!C90,CHAR(160)," ")))))</f>
        <v>West</v>
      </c>
      <c r="D90" t="str">
        <f>IF(RawData!D90="","Unknown",PROPER(TRIM(CLEAN(SUBSTITUTE(RawData!D90,CHAR(160)," ")))))</f>
        <v>Pune</v>
      </c>
      <c r="E90" t="str">
        <f>IF(RawData!E90="","Unknown",PROPER(TRIM(CLEAN(SUBSTITUTE(RawData!E90,CHAR(160)," ")))))</f>
        <v>Pen Set</v>
      </c>
      <c r="F90" t="str">
        <f>IF(RawData!F90="","Unknown",PROPER(TRIM(CLEAN(SUBSTITUTE(RawData!F90,CHAR(160)," ")))))</f>
        <v>Office Supplies</v>
      </c>
      <c r="G90">
        <f>_xlfn.LET(
_xlpm.q,RawData!G90,
_xlpm.u,RawData!H90,
_xlpm.d,RawData!I90,
_xlpm.r,RawData!J90,
IF(AND(ISNUMBER(_xlpm.q),_xlpm.q&gt;0),_xlpm.q,
   IF(AND(ISNUMBER(_xlpm.r),ISNUMBER(_xlpm.u),_xlpm.u&gt;0,ISNUMBER(_xlpm.d),_xlpm.d&gt;=0,_xlpm.d&lt;1),
      ROUND(_xlpm.r/(_xlpm.u*(1-_xlpm.d)),0),
      ""
   )
)
)</f>
        <v>10</v>
      </c>
      <c r="H90" s="4">
        <f>_xlfn.LET(
_xlpm.q,RawData!G90,
_xlpm.u,RawData!H90,
_xlpm.d,RawData!I90,
_xlpm.r,RawData!J90,
IF(AND(ISNUMBER(_xlpm.u),_xlpm.u&gt;0),_xlpm.u,
   IF(AND(ISNUMBER(_xlpm.q),_xlpm.q&gt;0,ISNUMBER(_xlpm.r),ISNUMBER(_xlpm.d),_xlpm.d&gt;=0,_xlpm.d&lt;1),
      _xlpm.r/(_xlpm.q*(1-_xlpm.d)),
      ""
   )
)
)</f>
        <v>12.69</v>
      </c>
      <c r="I90" s="5">
        <f>_xlfn.LET(
_xlpm.q,RawData!G90,
_xlpm.u,RawData!H90,
_xlpm.d,RawData!I90,
_xlpm.r,RawData!J90,
IF(AND(ISNUMBER(_xlpm.d),_xlpm.d&gt;=0,_xlpm.d&lt;1),_xlpm.d,
   IF(AND(ISNUMBER(_xlpm.q),_xlpm.q&gt;0,ISNUMBER(_xlpm.u),_xlpm.u&gt;0,ISNUMBER(_xlpm.r),_xlpm.r&gt;=0),
      1-(_xlpm.r/(_xlpm.q*_xlpm.u)),
      ""
   )
)
)</f>
        <v>0.2</v>
      </c>
      <c r="J90" s="4">
        <f>_xlfn.LET(
_xlpm.q,RawData!G90,
_xlpm.u,RawData!H90,
_xlpm.d,RawData!I90,
_xlpm.r,RawData!J90,
IF(AND(ISNUMBER(_xlpm.r),_xlpm.r&gt;=0),_xlpm.r,
   IF(AND(ISNUMBER(_xlpm.q),_xlpm.q&gt;0,ISNUMBER(_xlpm.u),_xlpm.u&gt;0,ISNUMBER(_xlpm.d),_xlpm.d&gt;=0,_xlpm.d&lt;1),
      _xlpm.q*_xlpm.u*(1-_xlpm.d),
      ""
   )
)
)</f>
        <v>101.52</v>
      </c>
      <c r="K90" s="4">
        <f>_xlfn.LET(
_xlpm.c,RawData!K90,
_xlpm.r,RawData!J90,
_xlpm.p,RawData!L90,
IF(AND(ISNUMBER(_xlpm.c),_xlpm.c&gt;=0),_xlpm.c,
   IF(AND(ISNUMBER(_xlpm.r),ISNUMBER(_xlpm.p)),
      _xlpm.r-_xlpm.p,
      ""
   )
)
)</f>
        <v>66.44</v>
      </c>
      <c r="L90" s="4">
        <f>_xlfn.LET(
_xlpm.p,RawData!L90,
_xlpm.r,RawData!J90,
_xlpm.c,RawData!K90,
IF(ISNUMBER(_xlpm.p),_xlpm.p,
IF(AND(ISNUMBER(_xlpm.r),ISNUMBER(_xlpm.c)),
_xlpm.r-_xlpm.c,
""
)
))</f>
        <v>35.08</v>
      </c>
    </row>
    <row r="91" spans="1:12" x14ac:dyDescent="0.35">
      <c r="A91" t="s">
        <v>124</v>
      </c>
      <c r="B91" s="7">
        <v>45896</v>
      </c>
      <c r="C91" t="str">
        <f>IF(RawData!C91="","Unknown",PROPER(TRIM(CLEAN(SUBSTITUTE(RawData!C91,CHAR(160)," ")))))</f>
        <v>West</v>
      </c>
      <c r="D91" t="str">
        <f>IF(RawData!D91="","Unknown",PROPER(TRIM(CLEAN(SUBSTITUTE(RawData!D91,CHAR(160)," ")))))</f>
        <v>Pune</v>
      </c>
      <c r="E91" t="str">
        <f>IF(RawData!E91="","Unknown",PROPER(TRIM(CLEAN(SUBSTITUTE(RawData!E91,CHAR(160)," ")))))</f>
        <v>Printer</v>
      </c>
      <c r="F91" t="str">
        <f>IF(RawData!F91="","Unknown",PROPER(TRIM(CLEAN(SUBSTITUTE(RawData!F91,CHAR(160)," ")))))</f>
        <v>Office Supplies</v>
      </c>
      <c r="G91">
        <f>_xlfn.LET(
_xlpm.q,RawData!G91,
_xlpm.u,RawData!H91,
_xlpm.d,RawData!I91,
_xlpm.r,RawData!J91,
IF(AND(ISNUMBER(_xlpm.q),_xlpm.q&gt;0),_xlpm.q,
   IF(AND(ISNUMBER(_xlpm.r),ISNUMBER(_xlpm.u),_xlpm.u&gt;0,ISNUMBER(_xlpm.d),_xlpm.d&gt;=0,_xlpm.d&lt;1),
      ROUND(_xlpm.r/(_xlpm.u*(1-_xlpm.d)),0),
      ""
   )
)
)</f>
        <v>4</v>
      </c>
      <c r="H91" s="4">
        <f>_xlfn.LET(
_xlpm.q,RawData!G91,
_xlpm.u,RawData!H91,
_xlpm.d,RawData!I91,
_xlpm.r,RawData!J91,
IF(AND(ISNUMBER(_xlpm.u),_xlpm.u&gt;0),_xlpm.u,
   IF(AND(ISNUMBER(_xlpm.q),_xlpm.q&gt;0,ISNUMBER(_xlpm.r),ISNUMBER(_xlpm.d),_xlpm.d&gt;=0,_xlpm.d&lt;1),
      _xlpm.r/(_xlpm.q*(1-_xlpm.d)),
      ""
   )
)
)</f>
        <v>180.96</v>
      </c>
      <c r="I91" s="5">
        <f>_xlfn.LET(
_xlpm.q,RawData!G91,
_xlpm.u,RawData!H91,
_xlpm.d,RawData!I91,
_xlpm.r,RawData!J91,
IF(AND(ISNUMBER(_xlpm.d),_xlpm.d&gt;=0,_xlpm.d&lt;1),_xlpm.d,
   IF(AND(ISNUMBER(_xlpm.q),_xlpm.q&gt;0,ISNUMBER(_xlpm.u),_xlpm.u&gt;0,ISNUMBER(_xlpm.r),_xlpm.r&gt;=0),
      1-(_xlpm.r/(_xlpm.q*_xlpm.u)),
      ""
   )
)
)</f>
        <v>0.15</v>
      </c>
      <c r="J91" s="4">
        <f>_xlfn.LET(
_xlpm.q,RawData!G91,
_xlpm.u,RawData!H91,
_xlpm.d,RawData!I91,
_xlpm.r,RawData!J91,
IF(AND(ISNUMBER(_xlpm.r),_xlpm.r&gt;=0),_xlpm.r,
   IF(AND(ISNUMBER(_xlpm.q),_xlpm.q&gt;0,ISNUMBER(_xlpm.u),_xlpm.u&gt;0,ISNUMBER(_xlpm.d),_xlpm.d&gt;=0,_xlpm.d&lt;1),
      _xlpm.q*_xlpm.u*(1-_xlpm.d),
      ""
   )
)
)</f>
        <v>615.26</v>
      </c>
      <c r="K91" s="4">
        <f>_xlfn.LET(
_xlpm.c,RawData!K91,
_xlpm.r,RawData!J91,
_xlpm.p,RawData!L91,
IF(AND(ISNUMBER(_xlpm.c),_xlpm.c&gt;=0),_xlpm.c,
   IF(AND(ISNUMBER(_xlpm.r),ISNUMBER(_xlpm.p)),
      _xlpm.r-_xlpm.p,
      ""
   )
)
)</f>
        <v>361.24</v>
      </c>
      <c r="L91" s="4">
        <f>_xlfn.LET(
_xlpm.p,RawData!L91,
_xlpm.r,RawData!J91,
_xlpm.c,RawData!K91,
IF(ISNUMBER(_xlpm.p),_xlpm.p,
IF(AND(ISNUMBER(_xlpm.r),ISNUMBER(_xlpm.c)),
_xlpm.r-_xlpm.c,
""
)
))</f>
        <v>254.02</v>
      </c>
    </row>
    <row r="92" spans="1:12" x14ac:dyDescent="0.35">
      <c r="A92" t="s">
        <v>125</v>
      </c>
      <c r="B92" s="7">
        <v>45744</v>
      </c>
      <c r="C92" t="str">
        <f>IF(RawData!C92="","Unknown",PROPER(TRIM(CLEAN(SUBSTITUTE(RawData!C92,CHAR(160)," ")))))</f>
        <v>North</v>
      </c>
      <c r="D92" t="str">
        <f>IF(RawData!D92="","Unknown",PROPER(TRIM(CLEAN(SUBSTITUTE(RawData!D92,CHAR(160)," ")))))</f>
        <v>Lucknow</v>
      </c>
      <c r="E92" t="str">
        <f>IF(RawData!E92="","Unknown",PROPER(TRIM(CLEAN(SUBSTITUTE(RawData!E92,CHAR(160)," ")))))</f>
        <v>Office Chair</v>
      </c>
      <c r="F92" t="str">
        <f>IF(RawData!F92="","Unknown",PROPER(TRIM(CLEAN(SUBSTITUTE(RawData!F92,CHAR(160)," ")))))</f>
        <v>Furniture</v>
      </c>
      <c r="G92">
        <f>_xlfn.LET(
_xlpm.q,RawData!G92,
_xlpm.u,RawData!H92,
_xlpm.d,RawData!I92,
_xlpm.r,RawData!J92,
IF(AND(ISNUMBER(_xlpm.q),_xlpm.q&gt;0),_xlpm.q,
   IF(AND(ISNUMBER(_xlpm.r),ISNUMBER(_xlpm.u),_xlpm.u&gt;0,ISNUMBER(_xlpm.d),_xlpm.d&gt;=0,_xlpm.d&lt;1),
      ROUND(_xlpm.r/(_xlpm.u*(1-_xlpm.d)),0),
      ""
   )
)
)</f>
        <v>9</v>
      </c>
      <c r="H92" s="4">
        <f>_xlfn.LET(
_xlpm.q,RawData!G92,
_xlpm.u,RawData!H92,
_xlpm.d,RawData!I92,
_xlpm.r,RawData!J92,
IF(AND(ISNUMBER(_xlpm.u),_xlpm.u&gt;0),_xlpm.u,
   IF(AND(ISNUMBER(_xlpm.q),_xlpm.q&gt;0,ISNUMBER(_xlpm.r),ISNUMBER(_xlpm.d),_xlpm.d&gt;=0,_xlpm.d&lt;1),
      _xlpm.r/(_xlpm.q*(1-_xlpm.d)),
      ""
   )
)
)</f>
        <v>171.42</v>
      </c>
      <c r="I92" s="5">
        <f>_xlfn.LET(
_xlpm.q,RawData!G92,
_xlpm.u,RawData!H92,
_xlpm.d,RawData!I92,
_xlpm.r,RawData!J92,
IF(AND(ISNUMBER(_xlpm.d),_xlpm.d&gt;=0,_xlpm.d&lt;1),_xlpm.d,
   IF(AND(ISNUMBER(_xlpm.q),_xlpm.q&gt;0,ISNUMBER(_xlpm.u),_xlpm.u&gt;0,ISNUMBER(_xlpm.r),_xlpm.r&gt;=0),
      1-(_xlpm.r/(_xlpm.q*_xlpm.u)),
      ""
   )
)
)</f>
        <v>0.2</v>
      </c>
      <c r="J92" s="4">
        <f>_xlfn.LET(
_xlpm.q,RawData!G92,
_xlpm.u,RawData!H92,
_xlpm.d,RawData!I92,
_xlpm.r,RawData!J92,
IF(AND(ISNUMBER(_xlpm.r),_xlpm.r&gt;=0),_xlpm.r,
   IF(AND(ISNUMBER(_xlpm.q),_xlpm.q&gt;0,ISNUMBER(_xlpm.u),_xlpm.u&gt;0,ISNUMBER(_xlpm.d),_xlpm.d&gt;=0,_xlpm.d&lt;1),
      _xlpm.q*_xlpm.u*(1-_xlpm.d),
      ""
   )
)
)</f>
        <v>1234.22</v>
      </c>
      <c r="K92" s="4">
        <f>_xlfn.LET(
_xlpm.c,RawData!K92,
_xlpm.r,RawData!J92,
_xlpm.p,RawData!L92,
IF(AND(ISNUMBER(_xlpm.c),_xlpm.c&gt;=0),_xlpm.c,
   IF(AND(ISNUMBER(_xlpm.r),ISNUMBER(_xlpm.p)),
      _xlpm.r-_xlpm.p,
      ""
   )
)
)</f>
        <v>716.63</v>
      </c>
      <c r="L92" s="4">
        <f>_xlfn.LET(
_xlpm.p,RawData!L92,
_xlpm.r,RawData!J92,
_xlpm.c,RawData!K92,
IF(ISNUMBER(_xlpm.p),_xlpm.p,
IF(AND(ISNUMBER(_xlpm.r),ISNUMBER(_xlpm.c)),
_xlpm.r-_xlpm.c,
""
)
))</f>
        <v>517.59</v>
      </c>
    </row>
    <row r="93" spans="1:12" x14ac:dyDescent="0.35">
      <c r="A93" t="s">
        <v>126</v>
      </c>
      <c r="B93" s="7">
        <v>45975</v>
      </c>
      <c r="C93" t="str">
        <f>IF(RawData!C93="","Unknown",PROPER(TRIM(CLEAN(SUBSTITUTE(RawData!C93,CHAR(160)," ")))))</f>
        <v>East</v>
      </c>
      <c r="D93" t="str">
        <f>IF(RawData!D93="","Unknown",PROPER(TRIM(CLEAN(SUBSTITUTE(RawData!D93,CHAR(160)," ")))))</f>
        <v>Bhubaneswar</v>
      </c>
      <c r="E93" t="str">
        <f>IF(RawData!E93="","Unknown",PROPER(TRIM(CLEAN(SUBSTITUTE(RawData!E93,CHAR(160)," ")))))</f>
        <v>Smartphone</v>
      </c>
      <c r="F93" t="str">
        <f>IF(RawData!F93="","Unknown",PROPER(TRIM(CLEAN(SUBSTITUTE(RawData!F93,CHAR(160)," ")))))</f>
        <v>Electronics</v>
      </c>
      <c r="G93">
        <f>_xlfn.LET(
_xlpm.q,RawData!G93,
_xlpm.u,RawData!H93,
_xlpm.d,RawData!I93,
_xlpm.r,RawData!J93,
IF(AND(ISNUMBER(_xlpm.q),_xlpm.q&gt;0),_xlpm.q,
   IF(AND(ISNUMBER(_xlpm.r),ISNUMBER(_xlpm.u),_xlpm.u&gt;0,ISNUMBER(_xlpm.d),_xlpm.d&gt;=0,_xlpm.d&lt;1),
      ROUND(_xlpm.r/(_xlpm.u*(1-_xlpm.d)),0),
      ""
   )
)
)</f>
        <v>4</v>
      </c>
      <c r="H93" s="4">
        <f>_xlfn.LET(
_xlpm.q,RawData!G93,
_xlpm.u,RawData!H93,
_xlpm.d,RawData!I93,
_xlpm.r,RawData!J93,
IF(AND(ISNUMBER(_xlpm.u),_xlpm.u&gt;0),_xlpm.u,
   IF(AND(ISNUMBER(_xlpm.q),_xlpm.q&gt;0,ISNUMBER(_xlpm.r),ISNUMBER(_xlpm.d),_xlpm.d&gt;=0,_xlpm.d&lt;1),
      _xlpm.r/(_xlpm.q*(1-_xlpm.d)),
      ""
   )
)
)</f>
        <v>620.07000000000005</v>
      </c>
      <c r="I93" s="5">
        <f>_xlfn.LET(
_xlpm.q,RawData!G93,
_xlpm.u,RawData!H93,
_xlpm.d,RawData!I93,
_xlpm.r,RawData!J93,
IF(AND(ISNUMBER(_xlpm.d),_xlpm.d&gt;=0,_xlpm.d&lt;1),_xlpm.d,
   IF(AND(ISNUMBER(_xlpm.q),_xlpm.q&gt;0,ISNUMBER(_xlpm.u),_xlpm.u&gt;0,ISNUMBER(_xlpm.r),_xlpm.r&gt;=0),
      1-(_xlpm.r/(_xlpm.q*_xlpm.u)),
      ""
   )
)
)</f>
        <v>0.2</v>
      </c>
      <c r="J93" s="4">
        <f>_xlfn.LET(
_xlpm.q,RawData!G93,
_xlpm.u,RawData!H93,
_xlpm.d,RawData!I93,
_xlpm.r,RawData!J93,
IF(AND(ISNUMBER(_xlpm.r),_xlpm.r&gt;=0),_xlpm.r,
   IF(AND(ISNUMBER(_xlpm.q),_xlpm.q&gt;0,ISNUMBER(_xlpm.u),_xlpm.u&gt;0,ISNUMBER(_xlpm.d),_xlpm.d&gt;=0,_xlpm.d&lt;1),
      _xlpm.q*_xlpm.u*(1-_xlpm.d),
      ""
   )
)
)</f>
        <v>1984.22</v>
      </c>
      <c r="K93" s="4">
        <f>_xlfn.LET(
_xlpm.c,RawData!K93,
_xlpm.r,RawData!J93,
_xlpm.p,RawData!L93,
IF(AND(ISNUMBER(_xlpm.c),_xlpm.c&gt;=0),_xlpm.c,
   IF(AND(ISNUMBER(_xlpm.r),ISNUMBER(_xlpm.p)),
      _xlpm.r-_xlpm.p,
      ""
   )
)
)</f>
        <v>1561.35</v>
      </c>
      <c r="L93" s="4">
        <f>_xlfn.LET(
_xlpm.p,RawData!L93,
_xlpm.r,RawData!J93,
_xlpm.c,RawData!K93,
IF(ISNUMBER(_xlpm.p),_xlpm.p,
IF(AND(ISNUMBER(_xlpm.r),ISNUMBER(_xlpm.c)),
_xlpm.r-_xlpm.c,
""
)
))</f>
        <v>422.87</v>
      </c>
    </row>
    <row r="94" spans="1:12" x14ac:dyDescent="0.35">
      <c r="A94" t="s">
        <v>127</v>
      </c>
      <c r="B94" s="7">
        <v>45773</v>
      </c>
      <c r="C94" t="str">
        <f>IF(RawData!C94="","Unknown",PROPER(TRIM(CLEAN(SUBSTITUTE(RawData!C94,CHAR(160)," ")))))</f>
        <v>South</v>
      </c>
      <c r="D94" t="str">
        <f>IF(RawData!D94="","Unknown",PROPER(TRIM(CLEAN(SUBSTITUTE(RawData!D94,CHAR(160)," ")))))</f>
        <v>Hyderabad</v>
      </c>
      <c r="E94" t="str">
        <f>IF(RawData!E94="","Unknown",PROPER(TRIM(CLEAN(SUBSTITUTE(RawData!E94,CHAR(160)," ")))))</f>
        <v>Headphones</v>
      </c>
      <c r="F94" t="str">
        <f>IF(RawData!F94="","Unknown",PROPER(TRIM(CLEAN(SUBSTITUTE(RawData!F94,CHAR(160)," ")))))</f>
        <v>Electronics</v>
      </c>
      <c r="G94">
        <f>_xlfn.LET(
_xlpm.q,RawData!G94,
_xlpm.u,RawData!H94,
_xlpm.d,RawData!I94,
_xlpm.r,RawData!J94,
IF(AND(ISNUMBER(_xlpm.q),_xlpm.q&gt;0),_xlpm.q,
   IF(AND(ISNUMBER(_xlpm.r),ISNUMBER(_xlpm.u),_xlpm.u&gt;0,ISNUMBER(_xlpm.d),_xlpm.d&gt;=0,_xlpm.d&lt;1),
      ROUND(_xlpm.r/(_xlpm.u*(1-_xlpm.d)),0),
      ""
   )
)
)</f>
        <v>1</v>
      </c>
      <c r="H94" s="4">
        <f>_xlfn.LET(
_xlpm.q,RawData!G94,
_xlpm.u,RawData!H94,
_xlpm.d,RawData!I94,
_xlpm.r,RawData!J94,
IF(AND(ISNUMBER(_xlpm.u),_xlpm.u&gt;0),_xlpm.u,
   IF(AND(ISNUMBER(_xlpm.q),_xlpm.q&gt;0,ISNUMBER(_xlpm.r),ISNUMBER(_xlpm.d),_xlpm.d&gt;=0,_xlpm.d&lt;1),
      _xlpm.r/(_xlpm.q*(1-_xlpm.d)),
      ""
   )
)
)</f>
        <v>74.19</v>
      </c>
      <c r="I94" s="5">
        <f>_xlfn.LET(
_xlpm.q,RawData!G94,
_xlpm.u,RawData!H94,
_xlpm.d,RawData!I94,
_xlpm.r,RawData!J94,
IF(AND(ISNUMBER(_xlpm.d),_xlpm.d&gt;=0,_xlpm.d&lt;1),_xlpm.d,
   IF(AND(ISNUMBER(_xlpm.q),_xlpm.q&gt;0,ISNUMBER(_xlpm.u),_xlpm.u&gt;0,ISNUMBER(_xlpm.r),_xlpm.r&gt;=0),
      1-(_xlpm.r/(_xlpm.q*_xlpm.u)),
      ""
   )
)
)</f>
        <v>0</v>
      </c>
      <c r="J94" s="4">
        <f>_xlfn.LET(
_xlpm.q,RawData!G94,
_xlpm.u,RawData!H94,
_xlpm.d,RawData!I94,
_xlpm.r,RawData!J94,
IF(AND(ISNUMBER(_xlpm.r),_xlpm.r&gt;=0),_xlpm.r,
   IF(AND(ISNUMBER(_xlpm.q),_xlpm.q&gt;0,ISNUMBER(_xlpm.u),_xlpm.u&gt;0,ISNUMBER(_xlpm.d),_xlpm.d&gt;=0,_xlpm.d&lt;1),
      _xlpm.q*_xlpm.u*(1-_xlpm.d),
      ""
   )
)
)</f>
        <v>74.19</v>
      </c>
      <c r="K94" s="4">
        <f>_xlfn.LET(
_xlpm.c,RawData!K94,
_xlpm.r,RawData!J94,
_xlpm.p,RawData!L94,
IF(AND(ISNUMBER(_xlpm.c),_xlpm.c&gt;=0),_xlpm.c,
   IF(AND(ISNUMBER(_xlpm.r),ISNUMBER(_xlpm.p)),
      _xlpm.r-_xlpm.p,
      ""
   )
)
)</f>
        <v>54.02</v>
      </c>
      <c r="L94" s="4">
        <f>_xlfn.LET(
_xlpm.p,RawData!L94,
_xlpm.r,RawData!J94,
_xlpm.c,RawData!K94,
IF(ISNUMBER(_xlpm.p),_xlpm.p,
IF(AND(ISNUMBER(_xlpm.r),ISNUMBER(_xlpm.c)),
_xlpm.r-_xlpm.c,
""
)
))</f>
        <v>20.170000000000002</v>
      </c>
    </row>
    <row r="95" spans="1:12" x14ac:dyDescent="0.35">
      <c r="A95" t="s">
        <v>128</v>
      </c>
      <c r="B95" s="7">
        <v>45901</v>
      </c>
      <c r="C95" t="str">
        <f>IF(RawData!C95="","Unknown",PROPER(TRIM(CLEAN(SUBSTITUTE(RawData!C95,CHAR(160)," ")))))</f>
        <v>North</v>
      </c>
      <c r="D95" t="str">
        <f>IF(RawData!D95="","Unknown",PROPER(TRIM(CLEAN(SUBSTITUTE(RawData!D95,CHAR(160)," ")))))</f>
        <v>Lucknow</v>
      </c>
      <c r="E95" t="str">
        <f>IF(RawData!E95="","Unknown",PROPER(TRIM(CLEAN(SUBSTITUTE(RawData!E95,CHAR(160)," ")))))</f>
        <v>Printer</v>
      </c>
      <c r="F95" t="str">
        <f>IF(RawData!F95="","Unknown",PROPER(TRIM(CLEAN(SUBSTITUTE(RawData!F95,CHAR(160)," ")))))</f>
        <v>Office Supplies</v>
      </c>
      <c r="G95">
        <f>_xlfn.LET(
_xlpm.q,RawData!G95,
_xlpm.u,RawData!H95,
_xlpm.d,RawData!I95,
_xlpm.r,RawData!J95,
IF(AND(ISNUMBER(_xlpm.q),_xlpm.q&gt;0),_xlpm.q,
   IF(AND(ISNUMBER(_xlpm.r),ISNUMBER(_xlpm.u),_xlpm.u&gt;0,ISNUMBER(_xlpm.d),_xlpm.d&gt;=0,_xlpm.d&lt;1),
      ROUND(_xlpm.r/(_xlpm.u*(1-_xlpm.d)),0),
      ""
   )
)
)</f>
        <v>7</v>
      </c>
      <c r="H95" s="4">
        <f>_xlfn.LET(
_xlpm.q,RawData!G95,
_xlpm.u,RawData!H95,
_xlpm.d,RawData!I95,
_xlpm.r,RawData!J95,
IF(AND(ISNUMBER(_xlpm.u),_xlpm.u&gt;0),_xlpm.u,
   IF(AND(ISNUMBER(_xlpm.q),_xlpm.q&gt;0,ISNUMBER(_xlpm.r),ISNUMBER(_xlpm.d),_xlpm.d&gt;=0,_xlpm.d&lt;1),
      _xlpm.r/(_xlpm.q*(1-_xlpm.d)),
      ""
   )
)
)</f>
        <v>175.23</v>
      </c>
      <c r="I95" s="5">
        <f>_xlfn.LET(
_xlpm.q,RawData!G95,
_xlpm.u,RawData!H95,
_xlpm.d,RawData!I95,
_xlpm.r,RawData!J95,
IF(AND(ISNUMBER(_xlpm.d),_xlpm.d&gt;=0,_xlpm.d&lt;1),_xlpm.d,
   IF(AND(ISNUMBER(_xlpm.q),_xlpm.q&gt;0,ISNUMBER(_xlpm.u),_xlpm.u&gt;0,ISNUMBER(_xlpm.r),_xlpm.r&gt;=0),
      1-(_xlpm.r/(_xlpm.q*_xlpm.u)),
      ""
   )
)
)</f>
        <v>0.2</v>
      </c>
      <c r="J95" s="4">
        <f>_xlfn.LET(
_xlpm.q,RawData!G95,
_xlpm.u,RawData!H95,
_xlpm.d,RawData!I95,
_xlpm.r,RawData!J95,
IF(AND(ISNUMBER(_xlpm.r),_xlpm.r&gt;=0),_xlpm.r,
   IF(AND(ISNUMBER(_xlpm.q),_xlpm.q&gt;0,ISNUMBER(_xlpm.u),_xlpm.u&gt;0,ISNUMBER(_xlpm.d),_xlpm.d&gt;=0,_xlpm.d&lt;1),
      _xlpm.q*_xlpm.u*(1-_xlpm.d),
      ""
   )
)
)</f>
        <v>981.29</v>
      </c>
      <c r="K95" s="4">
        <f>_xlfn.LET(
_xlpm.c,RawData!K95,
_xlpm.r,RawData!J95,
_xlpm.p,RawData!L95,
IF(AND(ISNUMBER(_xlpm.c),_xlpm.c&gt;=0),_xlpm.c,
   IF(AND(ISNUMBER(_xlpm.r),ISNUMBER(_xlpm.p)),
      _xlpm.r-_xlpm.p,
      ""
   )
)
)</f>
        <v>686.81</v>
      </c>
      <c r="L95" s="4">
        <f>_xlfn.LET(
_xlpm.p,RawData!L95,
_xlpm.r,RawData!J95,
_xlpm.c,RawData!K95,
IF(ISNUMBER(_xlpm.p),_xlpm.p,
IF(AND(ISNUMBER(_xlpm.r),ISNUMBER(_xlpm.c)),
_xlpm.r-_xlpm.c,
""
)
))</f>
        <v>294.48</v>
      </c>
    </row>
    <row r="96" spans="1:12" x14ac:dyDescent="0.35">
      <c r="A96" t="s">
        <v>129</v>
      </c>
      <c r="B96" s="7">
        <v>45757</v>
      </c>
      <c r="C96" t="str">
        <f>IF(RawData!C96="","Unknown",PROPER(TRIM(CLEAN(SUBSTITUTE(RawData!C96,CHAR(160)," ")))))</f>
        <v>West</v>
      </c>
      <c r="D96" t="str">
        <f>IF(RawData!D96="","Unknown",PROPER(TRIM(CLEAN(SUBSTITUTE(RawData!D96,CHAR(160)," ")))))</f>
        <v>Mumbai</v>
      </c>
      <c r="E96" t="str">
        <f>IF(RawData!E96="","Unknown",PROPER(TRIM(CLEAN(SUBSTITUTE(RawData!E96,CHAR(160)," ")))))</f>
        <v>Printer</v>
      </c>
      <c r="F96" t="str">
        <f>IF(RawData!F96="","Unknown",PROPER(TRIM(CLEAN(SUBSTITUTE(RawData!F96,CHAR(160)," ")))))</f>
        <v>Office Supplies</v>
      </c>
      <c r="G96">
        <f>_xlfn.LET(
_xlpm.q,RawData!G96,
_xlpm.u,RawData!H96,
_xlpm.d,RawData!I96,
_xlpm.r,RawData!J96,
IF(AND(ISNUMBER(_xlpm.q),_xlpm.q&gt;0),_xlpm.q,
   IF(AND(ISNUMBER(_xlpm.r),ISNUMBER(_xlpm.u),_xlpm.u&gt;0,ISNUMBER(_xlpm.d),_xlpm.d&gt;=0,_xlpm.d&lt;1),
      ROUND(_xlpm.r/(_xlpm.u*(1-_xlpm.d)),0),
      ""
   )
)
)</f>
        <v>7</v>
      </c>
      <c r="H96" s="4">
        <f>_xlfn.LET(
_xlpm.q,RawData!G96,
_xlpm.u,RawData!H96,
_xlpm.d,RawData!I96,
_xlpm.r,RawData!J96,
IF(AND(ISNUMBER(_xlpm.u),_xlpm.u&gt;0),_xlpm.u,
   IF(AND(ISNUMBER(_xlpm.q),_xlpm.q&gt;0,ISNUMBER(_xlpm.r),ISNUMBER(_xlpm.d),_xlpm.d&gt;=0,_xlpm.d&lt;1),
      _xlpm.r/(_xlpm.q*(1-_xlpm.d)),
      ""
   )
)
)</f>
        <v>161.41999999999999</v>
      </c>
      <c r="I96" s="5">
        <f>_xlfn.LET(
_xlpm.q,RawData!G96,
_xlpm.u,RawData!H96,
_xlpm.d,RawData!I96,
_xlpm.r,RawData!J96,
IF(AND(ISNUMBER(_xlpm.d),_xlpm.d&gt;=0,_xlpm.d&lt;1),_xlpm.d,
   IF(AND(ISNUMBER(_xlpm.q),_xlpm.q&gt;0,ISNUMBER(_xlpm.u),_xlpm.u&gt;0,ISNUMBER(_xlpm.r),_xlpm.r&gt;=0),
      1-(_xlpm.r/(_xlpm.q*_xlpm.u)),
      ""
   )
)
)</f>
        <v>0.02</v>
      </c>
      <c r="J96" s="4">
        <f>_xlfn.LET(
_xlpm.q,RawData!G96,
_xlpm.u,RawData!H96,
_xlpm.d,RawData!I96,
_xlpm.r,RawData!J96,
IF(AND(ISNUMBER(_xlpm.r),_xlpm.r&gt;=0),_xlpm.r,
   IF(AND(ISNUMBER(_xlpm.q),_xlpm.q&gt;0,ISNUMBER(_xlpm.u),_xlpm.u&gt;0,ISNUMBER(_xlpm.d),_xlpm.d&gt;=0,_xlpm.d&lt;1),
      _xlpm.q*_xlpm.u*(1-_xlpm.d),
      ""
   )
)
)</f>
        <v>1107.3399999999999</v>
      </c>
      <c r="K96" s="4">
        <f>_xlfn.LET(
_xlpm.c,RawData!K96,
_xlpm.r,RawData!J96,
_xlpm.p,RawData!L96,
IF(AND(ISNUMBER(_xlpm.c),_xlpm.c&gt;=0),_xlpm.c,
   IF(AND(ISNUMBER(_xlpm.r),ISNUMBER(_xlpm.p)),
      _xlpm.r-_xlpm.p,
      ""
   )
)
)</f>
        <v>681.35</v>
      </c>
      <c r="L96" s="4">
        <f>_xlfn.LET(
_xlpm.p,RawData!L96,
_xlpm.r,RawData!J96,
_xlpm.c,RawData!K96,
IF(ISNUMBER(_xlpm.p),_xlpm.p,
IF(AND(ISNUMBER(_xlpm.r),ISNUMBER(_xlpm.c)),
_xlpm.r-_xlpm.c,
""
)
))</f>
        <v>425.99</v>
      </c>
    </row>
    <row r="97" spans="1:12" x14ac:dyDescent="0.35">
      <c r="A97" t="s">
        <v>130</v>
      </c>
      <c r="B97" s="7">
        <v>45993</v>
      </c>
      <c r="C97" t="str">
        <f>IF(RawData!C97="","Unknown",PROPER(TRIM(CLEAN(SUBSTITUTE(RawData!C97,CHAR(160)," ")))))</f>
        <v>North</v>
      </c>
      <c r="D97" t="str">
        <f>IF(RawData!D97="","Unknown",PROPER(TRIM(CLEAN(SUBSTITUTE(RawData!D97,CHAR(160)," ")))))</f>
        <v>Delhi</v>
      </c>
      <c r="E97" t="str">
        <f>IF(RawData!E97="","Unknown",PROPER(TRIM(CLEAN(SUBSTITUTE(RawData!E97,CHAR(160)," ")))))</f>
        <v>Smartphone</v>
      </c>
      <c r="F97" t="str">
        <f>IF(RawData!F97="","Unknown",PROPER(TRIM(CLEAN(SUBSTITUTE(RawData!F97,CHAR(160)," ")))))</f>
        <v>Electronics</v>
      </c>
      <c r="G97">
        <f>_xlfn.LET(
_xlpm.q,RawData!G97,
_xlpm.u,RawData!H97,
_xlpm.d,RawData!I97,
_xlpm.r,RawData!J97,
IF(AND(ISNUMBER(_xlpm.q),_xlpm.q&gt;0),_xlpm.q,
   IF(AND(ISNUMBER(_xlpm.r),ISNUMBER(_xlpm.u),_xlpm.u&gt;0,ISNUMBER(_xlpm.d),_xlpm.d&gt;=0,_xlpm.d&lt;1),
      ROUND(_xlpm.r/(_xlpm.u*(1-_xlpm.d)),0),
      ""
   )
)
)</f>
        <v>7</v>
      </c>
      <c r="H97" s="4">
        <f>_xlfn.LET(
_xlpm.q,RawData!G97,
_xlpm.u,RawData!H97,
_xlpm.d,RawData!I97,
_xlpm.r,RawData!J97,
IF(AND(ISNUMBER(_xlpm.u),_xlpm.u&gt;0),_xlpm.u,
   IF(AND(ISNUMBER(_xlpm.q),_xlpm.q&gt;0,ISNUMBER(_xlpm.r),ISNUMBER(_xlpm.d),_xlpm.d&gt;=0,_xlpm.d&lt;1),
      _xlpm.r/(_xlpm.q*(1-_xlpm.d)),
      ""
   )
)
)</f>
        <v>482.86</v>
      </c>
      <c r="I97" s="5">
        <f>_xlfn.LET(
_xlpm.q,RawData!G97,
_xlpm.u,RawData!H97,
_xlpm.d,RawData!I97,
_xlpm.r,RawData!J97,
IF(AND(ISNUMBER(_xlpm.d),_xlpm.d&gt;=0,_xlpm.d&lt;1),_xlpm.d,
   IF(AND(ISNUMBER(_xlpm.q),_xlpm.q&gt;0,ISNUMBER(_xlpm.u),_xlpm.u&gt;0,ISNUMBER(_xlpm.r),_xlpm.r&gt;=0),
      1-(_xlpm.r/(_xlpm.q*_xlpm.u)),
      ""
   )
)
)</f>
        <v>0.02</v>
      </c>
      <c r="J97" s="4">
        <f>_xlfn.LET(
_xlpm.q,RawData!G97,
_xlpm.u,RawData!H97,
_xlpm.d,RawData!I97,
_xlpm.r,RawData!J97,
IF(AND(ISNUMBER(_xlpm.r),_xlpm.r&gt;=0),_xlpm.r,
   IF(AND(ISNUMBER(_xlpm.q),_xlpm.q&gt;0,ISNUMBER(_xlpm.u),_xlpm.u&gt;0,ISNUMBER(_xlpm.d),_xlpm.d&gt;=0,_xlpm.d&lt;1),
      _xlpm.q*_xlpm.u*(1-_xlpm.d),
      ""
   )
)
)</f>
        <v>3312.42</v>
      </c>
      <c r="K97" s="4">
        <f>_xlfn.LET(
_xlpm.c,RawData!K97,
_xlpm.r,RawData!J97,
_xlpm.p,RawData!L97,
IF(AND(ISNUMBER(_xlpm.c),_xlpm.c&gt;=0),_xlpm.c,
   IF(AND(ISNUMBER(_xlpm.r),ISNUMBER(_xlpm.p)),
      _xlpm.r-_xlpm.p,
      ""
   )
)
)</f>
        <v>2624.26</v>
      </c>
      <c r="L97" s="4">
        <f>_xlfn.LET(
_xlpm.p,RawData!L97,
_xlpm.r,RawData!J97,
_xlpm.c,RawData!K97,
IF(ISNUMBER(_xlpm.p),_xlpm.p,
IF(AND(ISNUMBER(_xlpm.r),ISNUMBER(_xlpm.c)),
_xlpm.r-_xlpm.c,
""
)
))</f>
        <v>688.16</v>
      </c>
    </row>
    <row r="98" spans="1:12" x14ac:dyDescent="0.35">
      <c r="A98" t="s">
        <v>131</v>
      </c>
      <c r="B98" s="7">
        <v>46014</v>
      </c>
      <c r="C98" t="str">
        <f>IF(RawData!C98="","Unknown",PROPER(TRIM(CLEAN(SUBSTITUTE(RawData!C98,CHAR(160)," ")))))</f>
        <v>West</v>
      </c>
      <c r="D98" t="str">
        <f>IF(RawData!D98="","Unknown",PROPER(TRIM(CLEAN(SUBSTITUTE(RawData!D98,CHAR(160)," ")))))</f>
        <v>Mumbai</v>
      </c>
      <c r="E98" t="str">
        <f>IF(RawData!E98="","Unknown",PROPER(TRIM(CLEAN(SUBSTITUTE(RawData!E98,CHAR(160)," ")))))</f>
        <v>Laptop</v>
      </c>
      <c r="F98" t="str">
        <f>IF(RawData!F98="","Unknown",PROPER(TRIM(CLEAN(SUBSTITUTE(RawData!F98,CHAR(160)," ")))))</f>
        <v>Electronics</v>
      </c>
      <c r="G98">
        <f>_xlfn.LET(
_xlpm.q,RawData!G98,
_xlpm.u,RawData!H98,
_xlpm.d,RawData!I98,
_xlpm.r,RawData!J98,
IF(AND(ISNUMBER(_xlpm.q),_xlpm.q&gt;0),_xlpm.q,
   IF(AND(ISNUMBER(_xlpm.r),ISNUMBER(_xlpm.u),_xlpm.u&gt;0,ISNUMBER(_xlpm.d),_xlpm.d&gt;=0,_xlpm.d&lt;1),
      ROUND(_xlpm.r/(_xlpm.u*(1-_xlpm.d)),0),
      ""
   )
)
)</f>
        <v>9</v>
      </c>
      <c r="H98" s="4">
        <f>_xlfn.LET(
_xlpm.q,RawData!G98,
_xlpm.u,RawData!H98,
_xlpm.d,RawData!I98,
_xlpm.r,RawData!J98,
IF(AND(ISNUMBER(_xlpm.u),_xlpm.u&gt;0),_xlpm.u,
   IF(AND(ISNUMBER(_xlpm.q),_xlpm.q&gt;0,ISNUMBER(_xlpm.r),ISNUMBER(_xlpm.d),_xlpm.d&gt;=0,_xlpm.d&lt;1),
      _xlpm.r/(_xlpm.q*(1-_xlpm.d)),
      ""
   )
)
)</f>
        <v>952.11</v>
      </c>
      <c r="I98" s="5">
        <f>_xlfn.LET(
_xlpm.q,RawData!G98,
_xlpm.u,RawData!H98,
_xlpm.d,RawData!I98,
_xlpm.r,RawData!J98,
IF(AND(ISNUMBER(_xlpm.d),_xlpm.d&gt;=0,_xlpm.d&lt;1),_xlpm.d,
   IF(AND(ISNUMBER(_xlpm.q),_xlpm.q&gt;0,ISNUMBER(_xlpm.u),_xlpm.u&gt;0,ISNUMBER(_xlpm.r),_xlpm.r&gt;=0),
      1-(_xlpm.r/(_xlpm.q*_xlpm.u)),
      ""
   )
)
)</f>
        <v>0.02</v>
      </c>
      <c r="J98" s="4">
        <f>_xlfn.LET(
_xlpm.q,RawData!G98,
_xlpm.u,RawData!H98,
_xlpm.d,RawData!I98,
_xlpm.r,RawData!J98,
IF(AND(ISNUMBER(_xlpm.r),_xlpm.r&gt;=0),_xlpm.r,
   IF(AND(ISNUMBER(_xlpm.q),_xlpm.q&gt;0,ISNUMBER(_xlpm.u),_xlpm.u&gt;0,ISNUMBER(_xlpm.d),_xlpm.d&gt;=0,_xlpm.d&lt;1),
      _xlpm.q*_xlpm.u*(1-_xlpm.d),
      ""
   )
)
)</f>
        <v>8397.61</v>
      </c>
      <c r="K98" s="4">
        <f>_xlfn.LET(
_xlpm.c,RawData!K98,
_xlpm.r,RawData!J98,
_xlpm.p,RawData!L98,
IF(AND(ISNUMBER(_xlpm.c),_xlpm.c&gt;=0),_xlpm.c,
   IF(AND(ISNUMBER(_xlpm.r),ISNUMBER(_xlpm.p)),
      _xlpm.r-_xlpm.p,
      ""
   )
)
)</f>
        <v>6054.15</v>
      </c>
      <c r="L98" s="4">
        <f>_xlfn.LET(
_xlpm.p,RawData!L98,
_xlpm.r,RawData!J98,
_xlpm.c,RawData!K98,
IF(ISNUMBER(_xlpm.p),_xlpm.p,
IF(AND(ISNUMBER(_xlpm.r),ISNUMBER(_xlpm.c)),
_xlpm.r-_xlpm.c,
""
)
))</f>
        <v>2343.46</v>
      </c>
    </row>
    <row r="99" spans="1:12" x14ac:dyDescent="0.35">
      <c r="A99" t="s">
        <v>132</v>
      </c>
      <c r="B99" s="7">
        <v>45891</v>
      </c>
      <c r="C99" t="str">
        <f>IF(RawData!C99="","Unknown",PROPER(TRIM(CLEAN(SUBSTITUTE(RawData!C99,CHAR(160)," ")))))</f>
        <v>South</v>
      </c>
      <c r="D99" t="str">
        <f>IF(RawData!D99="","Unknown",PROPER(TRIM(CLEAN(SUBSTITUTE(RawData!D99,CHAR(160)," ")))))</f>
        <v>Bengaluru</v>
      </c>
      <c r="E99" t="str">
        <f>IF(RawData!E99="","Unknown",PROPER(TRIM(CLEAN(SUBSTITUTE(RawData!E99,CHAR(160)," ")))))</f>
        <v>Printer</v>
      </c>
      <c r="F99" t="str">
        <f>IF(RawData!F99="","Unknown",PROPER(TRIM(CLEAN(SUBSTITUTE(RawData!F99,CHAR(160)," ")))))</f>
        <v>Office Supplies</v>
      </c>
      <c r="G99">
        <f>_xlfn.LET(
_xlpm.q,RawData!G99,
_xlpm.u,RawData!H99,
_xlpm.d,RawData!I99,
_xlpm.r,RawData!J99,
IF(AND(ISNUMBER(_xlpm.q),_xlpm.q&gt;0),_xlpm.q,
   IF(AND(ISNUMBER(_xlpm.r),ISNUMBER(_xlpm.u),_xlpm.u&gt;0,ISNUMBER(_xlpm.d),_xlpm.d&gt;=0,_xlpm.d&lt;1),
      ROUND(_xlpm.r/(_xlpm.u*(1-_xlpm.d)),0),
      ""
   )
)
)</f>
        <v>9</v>
      </c>
      <c r="H99" s="4">
        <f>_xlfn.LET(
_xlpm.q,RawData!G99,
_xlpm.u,RawData!H99,
_xlpm.d,RawData!I99,
_xlpm.r,RawData!J99,
IF(AND(ISNUMBER(_xlpm.u),_xlpm.u&gt;0),_xlpm.u,
   IF(AND(ISNUMBER(_xlpm.q),_xlpm.q&gt;0,ISNUMBER(_xlpm.r),ISNUMBER(_xlpm.d),_xlpm.d&gt;=0,_xlpm.d&lt;1),
      _xlpm.r/(_xlpm.q*(1-_xlpm.d)),
      ""
   )
)
)</f>
        <v>152.27000000000001</v>
      </c>
      <c r="I99" s="5">
        <f>_xlfn.LET(
_xlpm.q,RawData!G99,
_xlpm.u,RawData!H99,
_xlpm.d,RawData!I99,
_xlpm.r,RawData!J99,
IF(AND(ISNUMBER(_xlpm.d),_xlpm.d&gt;=0,_xlpm.d&lt;1),_xlpm.d,
   IF(AND(ISNUMBER(_xlpm.q),_xlpm.q&gt;0,ISNUMBER(_xlpm.u),_xlpm.u&gt;0,ISNUMBER(_xlpm.r),_xlpm.r&gt;=0),
      1-(_xlpm.r/(_xlpm.q*_xlpm.u)),
      ""
   )
)
)</f>
        <v>0.15</v>
      </c>
      <c r="J99" s="4">
        <f>_xlfn.LET(
_xlpm.q,RawData!G99,
_xlpm.u,RawData!H99,
_xlpm.d,RawData!I99,
_xlpm.r,RawData!J99,
IF(AND(ISNUMBER(_xlpm.r),_xlpm.r&gt;=0),_xlpm.r,
   IF(AND(ISNUMBER(_xlpm.q),_xlpm.q&gt;0,ISNUMBER(_xlpm.u),_xlpm.u&gt;0,ISNUMBER(_xlpm.d),_xlpm.d&gt;=0,_xlpm.d&lt;1),
      _xlpm.q*_xlpm.u*(1-_xlpm.d),
      ""
   )
)
)</f>
        <v>1164.8699999999999</v>
      </c>
      <c r="K99" s="4">
        <f>_xlfn.LET(
_xlpm.c,RawData!K99,
_xlpm.r,RawData!J99,
_xlpm.p,RawData!L99,
IF(AND(ISNUMBER(_xlpm.c),_xlpm.c&gt;=0),_xlpm.c,
   IF(AND(ISNUMBER(_xlpm.r),ISNUMBER(_xlpm.p)),
      _xlpm.r-_xlpm.p,
      ""
   )
)
)</f>
        <v>750.51</v>
      </c>
      <c r="L99" s="4">
        <f>_xlfn.LET(
_xlpm.p,RawData!L99,
_xlpm.r,RawData!J99,
_xlpm.c,RawData!K99,
IF(ISNUMBER(_xlpm.p),_xlpm.p,
IF(AND(ISNUMBER(_xlpm.r),ISNUMBER(_xlpm.c)),
_xlpm.r-_xlpm.c,
""
)
))</f>
        <v>414.36</v>
      </c>
    </row>
    <row r="100" spans="1:12" x14ac:dyDescent="0.35">
      <c r="A100" t="s">
        <v>133</v>
      </c>
      <c r="B100" s="7">
        <v>45820</v>
      </c>
      <c r="C100" t="str">
        <f>IF(RawData!C100="","Unknown",PROPER(TRIM(CLEAN(SUBSTITUTE(RawData!C100,CHAR(160)," ")))))</f>
        <v>West</v>
      </c>
      <c r="D100" t="str">
        <f>IF(RawData!D100="","Unknown",PROPER(TRIM(CLEAN(SUBSTITUTE(RawData!D100,CHAR(160)," ")))))</f>
        <v>Ahmedabad</v>
      </c>
      <c r="E100" t="str">
        <f>IF(RawData!E100="","Unknown",PROPER(TRIM(CLEAN(SUBSTITUTE(RawData!E100,CHAR(160)," ")))))</f>
        <v>Pen Set</v>
      </c>
      <c r="F100" t="str">
        <f>IF(RawData!F100="","Unknown",PROPER(TRIM(CLEAN(SUBSTITUTE(RawData!F100,CHAR(160)," ")))))</f>
        <v>Office Supplies</v>
      </c>
      <c r="G100">
        <f>_xlfn.LET(
_xlpm.q,RawData!G100,
_xlpm.u,RawData!H100,
_xlpm.d,RawData!I100,
_xlpm.r,RawData!J100,
IF(AND(ISNUMBER(_xlpm.q),_xlpm.q&gt;0),_xlpm.q,
   IF(AND(ISNUMBER(_xlpm.r),ISNUMBER(_xlpm.u),_xlpm.u&gt;0,ISNUMBER(_xlpm.d),_xlpm.d&gt;=0,_xlpm.d&lt;1),
      ROUND(_xlpm.r/(_xlpm.u*(1-_xlpm.d)),0),
      ""
   )
)
)</f>
        <v>9</v>
      </c>
      <c r="H100" s="4">
        <f>_xlfn.LET(
_xlpm.q,RawData!G100,
_xlpm.u,RawData!H100,
_xlpm.d,RawData!I100,
_xlpm.r,RawData!J100,
IF(AND(ISNUMBER(_xlpm.u),_xlpm.u&gt;0),_xlpm.u,
   IF(AND(ISNUMBER(_xlpm.q),_xlpm.q&gt;0,ISNUMBER(_xlpm.r),ISNUMBER(_xlpm.d),_xlpm.d&gt;=0,_xlpm.d&lt;1),
      _xlpm.r/(_xlpm.q*(1-_xlpm.d)),
      ""
   )
)
)</f>
        <v>12.81</v>
      </c>
      <c r="I100" s="5">
        <f>_xlfn.LET(
_xlpm.q,RawData!G100,
_xlpm.u,RawData!H100,
_xlpm.d,RawData!I100,
_xlpm.r,RawData!J100,
IF(AND(ISNUMBER(_xlpm.d),_xlpm.d&gt;=0,_xlpm.d&lt;1),_xlpm.d,
   IF(AND(ISNUMBER(_xlpm.q),_xlpm.q&gt;0,ISNUMBER(_xlpm.u),_xlpm.u&gt;0,ISNUMBER(_xlpm.r),_xlpm.r&gt;=0),
      1-(_xlpm.r/(_xlpm.q*_xlpm.u)),
      ""
   )
)
)</f>
        <v>0.1</v>
      </c>
      <c r="J100" s="4">
        <f>_xlfn.LET(
_xlpm.q,RawData!G100,
_xlpm.u,RawData!H100,
_xlpm.d,RawData!I100,
_xlpm.r,RawData!J100,
IF(AND(ISNUMBER(_xlpm.r),_xlpm.r&gt;=0),_xlpm.r,
   IF(AND(ISNUMBER(_xlpm.q),_xlpm.q&gt;0,ISNUMBER(_xlpm.u),_xlpm.u&gt;0,ISNUMBER(_xlpm.d),_xlpm.d&gt;=0,_xlpm.d&lt;1),
      _xlpm.q*_xlpm.u*(1-_xlpm.d),
      ""
   )
)
)</f>
        <v>103.76</v>
      </c>
      <c r="K100" s="4">
        <f>_xlfn.LET(
_xlpm.c,RawData!K100,
_xlpm.r,RawData!J100,
_xlpm.p,RawData!L100,
IF(AND(ISNUMBER(_xlpm.c),_xlpm.c&gt;=0),_xlpm.c,
   IF(AND(ISNUMBER(_xlpm.r),ISNUMBER(_xlpm.p)),
      _xlpm.r-_xlpm.p,
      ""
   )
)
)</f>
        <v>82.2</v>
      </c>
      <c r="L100" s="4">
        <f>_xlfn.LET(
_xlpm.p,RawData!L100,
_xlpm.r,RawData!J100,
_xlpm.c,RawData!K100,
IF(ISNUMBER(_xlpm.p),_xlpm.p,
IF(AND(ISNUMBER(_xlpm.r),ISNUMBER(_xlpm.c)),
_xlpm.r-_xlpm.c,
""
)
))</f>
        <v>21.56</v>
      </c>
    </row>
    <row r="101" spans="1:12" x14ac:dyDescent="0.35">
      <c r="A101" t="s">
        <v>134</v>
      </c>
      <c r="B101" s="7">
        <v>45886</v>
      </c>
      <c r="C101" t="str">
        <f>IF(RawData!C101="","Unknown",PROPER(TRIM(CLEAN(SUBSTITUTE(RawData!C101,CHAR(160)," ")))))</f>
        <v>South</v>
      </c>
      <c r="D101" t="str">
        <f>IF(RawData!D101="","Unknown",PROPER(TRIM(CLEAN(SUBSTITUTE(RawData!D101,CHAR(160)," ")))))</f>
        <v>Chennai</v>
      </c>
      <c r="E101" t="str">
        <f>IF(RawData!E101="","Unknown",PROPER(TRIM(CLEAN(SUBSTITUTE(RawData!E101,CHAR(160)," ")))))</f>
        <v>Keyboard</v>
      </c>
      <c r="F101" t="str">
        <f>IF(RawData!F101="","Unknown",PROPER(TRIM(CLEAN(SUBSTITUTE(RawData!F101,CHAR(160)," ")))))</f>
        <v>Accessories</v>
      </c>
      <c r="G101">
        <f>_xlfn.LET(
_xlpm.q,RawData!G101,
_xlpm.u,RawData!H101,
_xlpm.d,RawData!I101,
_xlpm.r,RawData!J101,
IF(AND(ISNUMBER(_xlpm.q),_xlpm.q&gt;0),_xlpm.q,
   IF(AND(ISNUMBER(_xlpm.r),ISNUMBER(_xlpm.u),_xlpm.u&gt;0,ISNUMBER(_xlpm.d),_xlpm.d&gt;=0,_xlpm.d&lt;1),
      ROUND(_xlpm.r/(_xlpm.u*(1-_xlpm.d)),0),
      ""
   )
)
)</f>
        <v>8</v>
      </c>
      <c r="H101" s="4">
        <f>_xlfn.LET(
_xlpm.q,RawData!G101,
_xlpm.u,RawData!H101,
_xlpm.d,RawData!I101,
_xlpm.r,RawData!J101,
IF(AND(ISNUMBER(_xlpm.u),_xlpm.u&gt;0),_xlpm.u,
   IF(AND(ISNUMBER(_xlpm.q),_xlpm.q&gt;0,ISNUMBER(_xlpm.r),ISNUMBER(_xlpm.d),_xlpm.d&gt;=0,_xlpm.d&lt;1),
      _xlpm.r/(_xlpm.q*(1-_xlpm.d)),
      ""
   )
)
)</f>
        <v>39.06</v>
      </c>
      <c r="I101" s="5">
        <f>_xlfn.LET(
_xlpm.q,RawData!G101,
_xlpm.u,RawData!H101,
_xlpm.d,RawData!I101,
_xlpm.r,RawData!J101,
IF(AND(ISNUMBER(_xlpm.d),_xlpm.d&gt;=0,_xlpm.d&lt;1),_xlpm.d,
   IF(AND(ISNUMBER(_xlpm.q),_xlpm.q&gt;0,ISNUMBER(_xlpm.u),_xlpm.u&gt;0,ISNUMBER(_xlpm.r),_xlpm.r&gt;=0),
      1-(_xlpm.r/(_xlpm.q*_xlpm.u)),
      ""
   )
)
)</f>
        <v>0.1</v>
      </c>
      <c r="J101" s="4">
        <f>_xlfn.LET(
_xlpm.q,RawData!G101,
_xlpm.u,RawData!H101,
_xlpm.d,RawData!I101,
_xlpm.r,RawData!J101,
IF(AND(ISNUMBER(_xlpm.r),_xlpm.r&gt;=0),_xlpm.r,
   IF(AND(ISNUMBER(_xlpm.q),_xlpm.q&gt;0,ISNUMBER(_xlpm.u),_xlpm.u&gt;0,ISNUMBER(_xlpm.d),_xlpm.d&gt;=0,_xlpm.d&lt;1),
      _xlpm.q*_xlpm.u*(1-_xlpm.d),
      ""
   )
)
)</f>
        <v>281.23</v>
      </c>
      <c r="K101" s="4">
        <f>_xlfn.LET(
_xlpm.c,RawData!K101,
_xlpm.r,RawData!J101,
_xlpm.p,RawData!L101,
IF(AND(ISNUMBER(_xlpm.c),_xlpm.c&gt;=0),_xlpm.c,
   IF(AND(ISNUMBER(_xlpm.r),ISNUMBER(_xlpm.p)),
      _xlpm.r-_xlpm.p,
      ""
   )
)
)</f>
        <v>213.89</v>
      </c>
      <c r="L101" s="4">
        <f>_xlfn.LET(
_xlpm.p,RawData!L101,
_xlpm.r,RawData!J101,
_xlpm.c,RawData!K101,
IF(ISNUMBER(_xlpm.p),_xlpm.p,
IF(AND(ISNUMBER(_xlpm.r),ISNUMBER(_xlpm.c)),
_xlpm.r-_xlpm.c,
""
)
))</f>
        <v>67.34</v>
      </c>
    </row>
    <row r="102" spans="1:12" x14ac:dyDescent="0.35">
      <c r="A102" t="s">
        <v>135</v>
      </c>
      <c r="B102" s="7">
        <v>45784</v>
      </c>
      <c r="C102" t="str">
        <f>IF(RawData!C102="","Unknown",PROPER(TRIM(CLEAN(SUBSTITUTE(RawData!C102,CHAR(160)," ")))))</f>
        <v>East</v>
      </c>
      <c r="D102" t="str">
        <f>IF(RawData!D102="","Unknown",PROPER(TRIM(CLEAN(SUBSTITUTE(RawData!D102,CHAR(160)," ")))))</f>
        <v>Kolkata</v>
      </c>
      <c r="E102" t="str">
        <f>IF(RawData!E102="","Unknown",PROPER(TRIM(CLEAN(SUBSTITUTE(RawData!E102,CHAR(160)," ")))))</f>
        <v>Notebook</v>
      </c>
      <c r="F102" t="str">
        <f>IF(RawData!F102="","Unknown",PROPER(TRIM(CLEAN(SUBSTITUTE(RawData!F102,CHAR(160)," ")))))</f>
        <v>Office Supplies</v>
      </c>
      <c r="G102">
        <f>_xlfn.LET(
_xlpm.q,RawData!G102,
_xlpm.u,RawData!H102,
_xlpm.d,RawData!I102,
_xlpm.r,RawData!J102,
IF(AND(ISNUMBER(_xlpm.q),_xlpm.q&gt;0),_xlpm.q,
   IF(AND(ISNUMBER(_xlpm.r),ISNUMBER(_xlpm.u),_xlpm.u&gt;0,ISNUMBER(_xlpm.d),_xlpm.d&gt;=0,_xlpm.d&lt;1),
      ROUND(_xlpm.r/(_xlpm.u*(1-_xlpm.d)),0),
      ""
   )
)
)</f>
        <v>8</v>
      </c>
      <c r="H102" s="4">
        <f>_xlfn.LET(
_xlpm.q,RawData!G102,
_xlpm.u,RawData!H102,
_xlpm.d,RawData!I102,
_xlpm.r,RawData!J102,
IF(AND(ISNUMBER(_xlpm.u),_xlpm.u&gt;0),_xlpm.u,
   IF(AND(ISNUMBER(_xlpm.q),_xlpm.q&gt;0,ISNUMBER(_xlpm.r),ISNUMBER(_xlpm.d),_xlpm.d&gt;=0,_xlpm.d&lt;1),
      _xlpm.r/(_xlpm.q*(1-_xlpm.d)),
      ""
   )
)
)</f>
        <v>8.34</v>
      </c>
      <c r="I102" s="5">
        <f>_xlfn.LET(
_xlpm.q,RawData!G102,
_xlpm.u,RawData!H102,
_xlpm.d,RawData!I102,
_xlpm.r,RawData!J102,
IF(AND(ISNUMBER(_xlpm.d),_xlpm.d&gt;=0,_xlpm.d&lt;1),_xlpm.d,
   IF(AND(ISNUMBER(_xlpm.q),_xlpm.q&gt;0,ISNUMBER(_xlpm.u),_xlpm.u&gt;0,ISNUMBER(_xlpm.r),_xlpm.r&gt;=0),
      1-(_xlpm.r/(_xlpm.q*_xlpm.u)),
      ""
   )
)
)</f>
        <v>0.2</v>
      </c>
      <c r="J102" s="4">
        <f>_xlfn.LET(
_xlpm.q,RawData!G102,
_xlpm.u,RawData!H102,
_xlpm.d,RawData!I102,
_xlpm.r,RawData!J102,
IF(AND(ISNUMBER(_xlpm.r),_xlpm.r&gt;=0),_xlpm.r,
   IF(AND(ISNUMBER(_xlpm.q),_xlpm.q&gt;0,ISNUMBER(_xlpm.u),_xlpm.u&gt;0,ISNUMBER(_xlpm.d),_xlpm.d&gt;=0,_xlpm.d&lt;1),
      _xlpm.q*_xlpm.u*(1-_xlpm.d),
      ""
   )
)
)</f>
        <v>53.38</v>
      </c>
      <c r="K102" s="4">
        <f>_xlfn.LET(
_xlpm.c,RawData!K102,
_xlpm.r,RawData!J102,
_xlpm.p,RawData!L102,
IF(AND(ISNUMBER(_xlpm.c),_xlpm.c&gt;=0),_xlpm.c,
   IF(AND(ISNUMBER(_xlpm.r),ISNUMBER(_xlpm.p)),
      _xlpm.r-_xlpm.p,
      ""
   )
)
)</f>
        <v>30.57</v>
      </c>
      <c r="L102" s="4">
        <f>_xlfn.LET(
_xlpm.p,RawData!L102,
_xlpm.r,RawData!J102,
_xlpm.c,RawData!K102,
IF(ISNUMBER(_xlpm.p),_xlpm.p,
IF(AND(ISNUMBER(_xlpm.r),ISNUMBER(_xlpm.c)),
_xlpm.r-_xlpm.c,
""
)
))</f>
        <v>22.81</v>
      </c>
    </row>
    <row r="103" spans="1:12" x14ac:dyDescent="0.35">
      <c r="A103" t="s">
        <v>136</v>
      </c>
      <c r="B103" s="7">
        <v>45798</v>
      </c>
      <c r="C103" t="str">
        <f>IF(RawData!C103="","Unknown",PROPER(TRIM(CLEAN(SUBSTITUTE(RawData!C103,CHAR(160)," ")))))</f>
        <v>West</v>
      </c>
      <c r="D103" t="str">
        <f>IF(RawData!D103="","Unknown",PROPER(TRIM(CLEAN(SUBSTITUTE(RawData!D103,CHAR(160)," ")))))</f>
        <v>Mumbai</v>
      </c>
      <c r="E103" t="str">
        <f>IF(RawData!E103="","Unknown",PROPER(TRIM(CLEAN(SUBSTITUTE(RawData!E103,CHAR(160)," ")))))</f>
        <v>Smartphone</v>
      </c>
      <c r="F103" t="str">
        <f>IF(RawData!F103="","Unknown",PROPER(TRIM(CLEAN(SUBSTITUTE(RawData!F103,CHAR(160)," ")))))</f>
        <v>Electronics</v>
      </c>
      <c r="G103">
        <f>_xlfn.LET(
_xlpm.q,RawData!G103,
_xlpm.u,RawData!H103,
_xlpm.d,RawData!I103,
_xlpm.r,RawData!J103,
IF(AND(ISNUMBER(_xlpm.q),_xlpm.q&gt;0),_xlpm.q,
   IF(AND(ISNUMBER(_xlpm.r),ISNUMBER(_xlpm.u),_xlpm.u&gt;0,ISNUMBER(_xlpm.d),_xlpm.d&gt;=0,_xlpm.d&lt;1),
      ROUND(_xlpm.r/(_xlpm.u*(1-_xlpm.d)),0),
      ""
   )
)
)</f>
        <v>5</v>
      </c>
      <c r="H103" s="4">
        <f>_xlfn.LET(
_xlpm.q,RawData!G103,
_xlpm.u,RawData!H103,
_xlpm.d,RawData!I103,
_xlpm.r,RawData!J103,
IF(AND(ISNUMBER(_xlpm.u),_xlpm.u&gt;0),_xlpm.u,
   IF(AND(ISNUMBER(_xlpm.q),_xlpm.q&gt;0,ISNUMBER(_xlpm.r),ISNUMBER(_xlpm.d),_xlpm.d&gt;=0,_xlpm.d&lt;1),
      _xlpm.r/(_xlpm.q*(1-_xlpm.d)),
      ""
   )
)
)</f>
        <v>494.17</v>
      </c>
      <c r="I103" s="5">
        <f>_xlfn.LET(
_xlpm.q,RawData!G103,
_xlpm.u,RawData!H103,
_xlpm.d,RawData!I103,
_xlpm.r,RawData!J103,
IF(AND(ISNUMBER(_xlpm.d),_xlpm.d&gt;=0,_xlpm.d&lt;1),_xlpm.d,
   IF(AND(ISNUMBER(_xlpm.q),_xlpm.q&gt;0,ISNUMBER(_xlpm.u),_xlpm.u&gt;0,ISNUMBER(_xlpm.r),_xlpm.r&gt;=0),
      1-(_xlpm.r/(_xlpm.q*_xlpm.u)),
      ""
   )
)
)</f>
        <v>0.02</v>
      </c>
      <c r="J103" s="4">
        <f>_xlfn.LET(
_xlpm.q,RawData!G103,
_xlpm.u,RawData!H103,
_xlpm.d,RawData!I103,
_xlpm.r,RawData!J103,
IF(AND(ISNUMBER(_xlpm.r),_xlpm.r&gt;=0),_xlpm.r,
   IF(AND(ISNUMBER(_xlpm.q),_xlpm.q&gt;0,ISNUMBER(_xlpm.u),_xlpm.u&gt;0,ISNUMBER(_xlpm.d),_xlpm.d&gt;=0,_xlpm.d&lt;1),
      _xlpm.q*_xlpm.u*(1-_xlpm.d),
      ""
   )
)
)</f>
        <v>2421.4299999999998</v>
      </c>
      <c r="K103" s="4">
        <f>_xlfn.LET(
_xlpm.c,RawData!K103,
_xlpm.r,RawData!J103,
_xlpm.p,RawData!L103,
IF(AND(ISNUMBER(_xlpm.c),_xlpm.c&gt;=0),_xlpm.c,
   IF(AND(ISNUMBER(_xlpm.r),ISNUMBER(_xlpm.p)),
      _xlpm.r-_xlpm.p,
      ""
   )
)
)</f>
        <v>1919.25</v>
      </c>
      <c r="L103" s="4">
        <f>_xlfn.LET(
_xlpm.p,RawData!L103,
_xlpm.r,RawData!J103,
_xlpm.c,RawData!K103,
IF(ISNUMBER(_xlpm.p),_xlpm.p,
IF(AND(ISNUMBER(_xlpm.r),ISNUMBER(_xlpm.c)),
_xlpm.r-_xlpm.c,
""
)
))</f>
        <v>502.18</v>
      </c>
    </row>
    <row r="104" spans="1:12" x14ac:dyDescent="0.35">
      <c r="A104" t="s">
        <v>138</v>
      </c>
      <c r="B104" s="7">
        <v>45829</v>
      </c>
      <c r="C104" t="str">
        <f>IF(RawData!C104="","Unknown",PROPER(TRIM(CLEAN(SUBSTITUTE(RawData!C104,CHAR(160)," ")))))</f>
        <v>East</v>
      </c>
      <c r="D104" t="str">
        <f>IF(RawData!D104="","Unknown",PROPER(TRIM(CLEAN(SUBSTITUTE(RawData!D104,CHAR(160)," ")))))</f>
        <v>Kolkata</v>
      </c>
      <c r="E104" t="str">
        <f>IF(RawData!E104="","Unknown",PROPER(TRIM(CLEAN(SUBSTITUTE(RawData!E104,CHAR(160)," ")))))</f>
        <v>Notebook</v>
      </c>
      <c r="F104" t="str">
        <f>IF(RawData!F104="","Unknown",PROPER(TRIM(CLEAN(SUBSTITUTE(RawData!F104,CHAR(160)," ")))))</f>
        <v>Office Supplies</v>
      </c>
      <c r="G104">
        <f>_xlfn.LET(
_xlpm.q,RawData!G104,
_xlpm.u,RawData!H104,
_xlpm.d,RawData!I104,
_xlpm.r,RawData!J104,
IF(AND(ISNUMBER(_xlpm.q),_xlpm.q&gt;0),_xlpm.q,
   IF(AND(ISNUMBER(_xlpm.r),ISNUMBER(_xlpm.u),_xlpm.u&gt;0,ISNUMBER(_xlpm.d),_xlpm.d&gt;=0,_xlpm.d&lt;1),
      ROUND(_xlpm.r/(_xlpm.u*(1-_xlpm.d)),0),
      ""
   )
)
)</f>
        <v>2</v>
      </c>
      <c r="H104" s="4">
        <f>_xlfn.LET(
_xlpm.q,RawData!G104,
_xlpm.u,RawData!H104,
_xlpm.d,RawData!I104,
_xlpm.r,RawData!J104,
IF(AND(ISNUMBER(_xlpm.u),_xlpm.u&gt;0),_xlpm.u,
   IF(AND(ISNUMBER(_xlpm.q),_xlpm.q&gt;0,ISNUMBER(_xlpm.r),ISNUMBER(_xlpm.d),_xlpm.d&gt;=0,_xlpm.d&lt;1),
      _xlpm.r/(_xlpm.q*(1-_xlpm.d)),
      ""
   )
)
)</f>
        <v>8.26</v>
      </c>
      <c r="I104" s="5">
        <f>_xlfn.LET(
_xlpm.q,RawData!G104,
_xlpm.u,RawData!H104,
_xlpm.d,RawData!I104,
_xlpm.r,RawData!J104,
IF(AND(ISNUMBER(_xlpm.d),_xlpm.d&gt;=0,_xlpm.d&lt;1),_xlpm.d,
   IF(AND(ISNUMBER(_xlpm.q),_xlpm.q&gt;0,ISNUMBER(_xlpm.u),_xlpm.u&gt;0,ISNUMBER(_xlpm.r),_xlpm.r&gt;=0),
      1-(_xlpm.r/(_xlpm.q*_xlpm.u)),
      ""
   )
)
)</f>
        <v>0.02</v>
      </c>
      <c r="J104" s="4">
        <f>_xlfn.LET(
_xlpm.q,RawData!G104,
_xlpm.u,RawData!H104,
_xlpm.d,RawData!I104,
_xlpm.r,RawData!J104,
IF(AND(ISNUMBER(_xlpm.r),_xlpm.r&gt;=0),_xlpm.r,
   IF(AND(ISNUMBER(_xlpm.q),_xlpm.q&gt;0,ISNUMBER(_xlpm.u),_xlpm.u&gt;0,ISNUMBER(_xlpm.d),_xlpm.d&gt;=0,_xlpm.d&lt;1),
      _xlpm.q*_xlpm.u*(1-_xlpm.d),
      ""
   )
)
)</f>
        <v>16.190000000000001</v>
      </c>
      <c r="K104" s="4">
        <f>_xlfn.LET(
_xlpm.c,RawData!K104,
_xlpm.r,RawData!J104,
_xlpm.p,RawData!L104,
IF(AND(ISNUMBER(_xlpm.c),_xlpm.c&gt;=0),_xlpm.c,
   IF(AND(ISNUMBER(_xlpm.r),ISNUMBER(_xlpm.p)),
      _xlpm.r-_xlpm.p,
      ""
   )
)
)</f>
        <v>8.94</v>
      </c>
      <c r="L104" s="4">
        <f>_xlfn.LET(
_xlpm.p,RawData!L104,
_xlpm.r,RawData!J104,
_xlpm.c,RawData!K104,
IF(ISNUMBER(_xlpm.p),_xlpm.p,
IF(AND(ISNUMBER(_xlpm.r),ISNUMBER(_xlpm.c)),
_xlpm.r-_xlpm.c,
""
)
))</f>
        <v>7.25</v>
      </c>
    </row>
    <row r="105" spans="1:12" x14ac:dyDescent="0.35">
      <c r="A105" t="s">
        <v>139</v>
      </c>
      <c r="B105" s="7">
        <v>45776</v>
      </c>
      <c r="C105" t="str">
        <f>IF(RawData!C105="","Unknown",PROPER(TRIM(CLEAN(SUBSTITUTE(RawData!C105,CHAR(160)," ")))))</f>
        <v>West</v>
      </c>
      <c r="D105" t="str">
        <f>IF(RawData!D105="","Unknown",PROPER(TRIM(CLEAN(SUBSTITUTE(RawData!D105,CHAR(160)," ")))))</f>
        <v>Mumbai</v>
      </c>
      <c r="E105" t="str">
        <f>IF(RawData!E105="","Unknown",PROPER(TRIM(CLEAN(SUBSTITUTE(RawData!E105,CHAR(160)," ")))))</f>
        <v>Keyboard</v>
      </c>
      <c r="F105" t="str">
        <f>IF(RawData!F105="","Unknown",PROPER(TRIM(CLEAN(SUBSTITUTE(RawData!F105,CHAR(160)," ")))))</f>
        <v>Accessories</v>
      </c>
      <c r="G105">
        <f>_xlfn.LET(
_xlpm.q,RawData!G105,
_xlpm.u,RawData!H105,
_xlpm.d,RawData!I105,
_xlpm.r,RawData!J105,
IF(AND(ISNUMBER(_xlpm.q),_xlpm.q&gt;0),_xlpm.q,
   IF(AND(ISNUMBER(_xlpm.r),ISNUMBER(_xlpm.u),_xlpm.u&gt;0,ISNUMBER(_xlpm.d),_xlpm.d&gt;=0,_xlpm.d&lt;1),
      ROUND(_xlpm.r/(_xlpm.u*(1-_xlpm.d)),0),
      ""
   )
)
)</f>
        <v>3</v>
      </c>
      <c r="H105" s="4">
        <f>_xlfn.LET(
_xlpm.q,RawData!G105,
_xlpm.u,RawData!H105,
_xlpm.d,RawData!I105,
_xlpm.r,RawData!J105,
IF(AND(ISNUMBER(_xlpm.u),_xlpm.u&gt;0),_xlpm.u,
   IF(AND(ISNUMBER(_xlpm.q),_xlpm.q&gt;0,ISNUMBER(_xlpm.r),ISNUMBER(_xlpm.d),_xlpm.d&gt;=0,_xlpm.d&lt;1),
      _xlpm.r/(_xlpm.q*(1-_xlpm.d)),
      ""
   )
)
)</f>
        <v>30.82</v>
      </c>
      <c r="I105" s="5">
        <f>_xlfn.LET(
_xlpm.q,RawData!G105,
_xlpm.u,RawData!H105,
_xlpm.d,RawData!I105,
_xlpm.r,RawData!J105,
IF(AND(ISNUMBER(_xlpm.d),_xlpm.d&gt;=0,_xlpm.d&lt;1),_xlpm.d,
   IF(AND(ISNUMBER(_xlpm.q),_xlpm.q&gt;0,ISNUMBER(_xlpm.u),_xlpm.u&gt;0,ISNUMBER(_xlpm.r),_xlpm.r&gt;=0),
      1-(_xlpm.r/(_xlpm.q*_xlpm.u)),
      ""
   )
)
)</f>
        <v>0.2</v>
      </c>
      <c r="J105" s="4">
        <f>_xlfn.LET(
_xlpm.q,RawData!G105,
_xlpm.u,RawData!H105,
_xlpm.d,RawData!I105,
_xlpm.r,RawData!J105,
IF(AND(ISNUMBER(_xlpm.r),_xlpm.r&gt;=0),_xlpm.r,
   IF(AND(ISNUMBER(_xlpm.q),_xlpm.q&gt;0,ISNUMBER(_xlpm.u),_xlpm.u&gt;0,ISNUMBER(_xlpm.d),_xlpm.d&gt;=0,_xlpm.d&lt;1),
      _xlpm.q*_xlpm.u*(1-_xlpm.d),
      ""
   )
)
)</f>
        <v>73.97</v>
      </c>
      <c r="K105" s="4">
        <f>_xlfn.LET(
_xlpm.c,RawData!K105,
_xlpm.r,RawData!J105,
_xlpm.p,RawData!L105,
IF(AND(ISNUMBER(_xlpm.c),_xlpm.c&gt;=0),_xlpm.c,
   IF(AND(ISNUMBER(_xlpm.r),ISNUMBER(_xlpm.p)),
      _xlpm.r-_xlpm.p,
      ""
   )
)
)</f>
        <v>53.93</v>
      </c>
      <c r="L105" s="4">
        <f>_xlfn.LET(
_xlpm.p,RawData!L105,
_xlpm.r,RawData!J105,
_xlpm.c,RawData!K105,
IF(ISNUMBER(_xlpm.p),_xlpm.p,
IF(AND(ISNUMBER(_xlpm.r),ISNUMBER(_xlpm.c)),
_xlpm.r-_xlpm.c,
""
)
))</f>
        <v>20.04</v>
      </c>
    </row>
    <row r="106" spans="1:12" x14ac:dyDescent="0.35">
      <c r="A106" t="s">
        <v>140</v>
      </c>
      <c r="B106" s="7">
        <v>45690</v>
      </c>
      <c r="C106" t="str">
        <f>IF(RawData!C106="","Unknown",PROPER(TRIM(CLEAN(SUBSTITUTE(RawData!C106,CHAR(160)," ")))))</f>
        <v>West</v>
      </c>
      <c r="D106" t="str">
        <f>IF(RawData!D106="","Unknown",PROPER(TRIM(CLEAN(SUBSTITUTE(RawData!D106,CHAR(160)," ")))))</f>
        <v>Pune</v>
      </c>
      <c r="E106" t="str">
        <f>IF(RawData!E106="","Unknown",PROPER(TRIM(CLEAN(SUBSTITUTE(RawData!E106,CHAR(160)," ")))))</f>
        <v>Bookshelf</v>
      </c>
      <c r="F106" t="str">
        <f>IF(RawData!F106="","Unknown",PROPER(TRIM(CLEAN(SUBSTITUTE(RawData!F106,CHAR(160)," ")))))</f>
        <v>Furniture</v>
      </c>
      <c r="G106">
        <f>_xlfn.LET(
_xlpm.q,RawData!G106,
_xlpm.u,RawData!H106,
_xlpm.d,RawData!I106,
_xlpm.r,RawData!J106,
IF(AND(ISNUMBER(_xlpm.q),_xlpm.q&gt;0),_xlpm.q,
   IF(AND(ISNUMBER(_xlpm.r),ISNUMBER(_xlpm.u),_xlpm.u&gt;0,ISNUMBER(_xlpm.d),_xlpm.d&gt;=0,_xlpm.d&lt;1),
      ROUND(_xlpm.r/(_xlpm.u*(1-_xlpm.d)),0),
      ""
   )
)
)</f>
        <v>6</v>
      </c>
      <c r="H106" s="4">
        <f>_xlfn.LET(
_xlpm.q,RawData!G106,
_xlpm.u,RawData!H106,
_xlpm.d,RawData!I106,
_xlpm.r,RawData!J106,
IF(AND(ISNUMBER(_xlpm.u),_xlpm.u&gt;0),_xlpm.u,
   IF(AND(ISNUMBER(_xlpm.q),_xlpm.q&gt;0,ISNUMBER(_xlpm.r),ISNUMBER(_xlpm.d),_xlpm.d&gt;=0,_xlpm.d&lt;1),
      _xlpm.r/(_xlpm.q*(1-_xlpm.d)),
      ""
   )
)
)</f>
        <v>119.21</v>
      </c>
      <c r="I106" s="5">
        <f>_xlfn.LET(
_xlpm.q,RawData!G106,
_xlpm.u,RawData!H106,
_xlpm.d,RawData!I106,
_xlpm.r,RawData!J106,
IF(AND(ISNUMBER(_xlpm.d),_xlpm.d&gt;=0,_xlpm.d&lt;1),_xlpm.d,
   IF(AND(ISNUMBER(_xlpm.q),_xlpm.q&gt;0,ISNUMBER(_xlpm.u),_xlpm.u&gt;0,ISNUMBER(_xlpm.r),_xlpm.r&gt;=0),
      1-(_xlpm.r/(_xlpm.q*_xlpm.u)),
      ""
   )
)
)</f>
        <v>0.15</v>
      </c>
      <c r="J106" s="4">
        <f>_xlfn.LET(
_xlpm.q,RawData!G106,
_xlpm.u,RawData!H106,
_xlpm.d,RawData!I106,
_xlpm.r,RawData!J106,
IF(AND(ISNUMBER(_xlpm.r),_xlpm.r&gt;=0),_xlpm.r,
   IF(AND(ISNUMBER(_xlpm.q),_xlpm.q&gt;0,ISNUMBER(_xlpm.u),_xlpm.u&gt;0,ISNUMBER(_xlpm.d),_xlpm.d&gt;=0,_xlpm.d&lt;1),
      _xlpm.q*_xlpm.u*(1-_xlpm.d),
      ""
   )
)
)</f>
        <v>607.97</v>
      </c>
      <c r="K106" s="4">
        <f>_xlfn.LET(
_xlpm.c,RawData!K106,
_xlpm.r,RawData!J106,
_xlpm.p,RawData!L106,
IF(AND(ISNUMBER(_xlpm.c),_xlpm.c&gt;=0),_xlpm.c,
   IF(AND(ISNUMBER(_xlpm.r),ISNUMBER(_xlpm.p)),
      _xlpm.r-_xlpm.p,
      ""
   )
)
)</f>
        <v>360.78</v>
      </c>
      <c r="L106" s="4">
        <f>_xlfn.LET(
_xlpm.p,RawData!L106,
_xlpm.r,RawData!J106,
_xlpm.c,RawData!K106,
IF(ISNUMBER(_xlpm.p),_xlpm.p,
IF(AND(ISNUMBER(_xlpm.r),ISNUMBER(_xlpm.c)),
_xlpm.r-_xlpm.c,
""
)
))</f>
        <v>247.19</v>
      </c>
    </row>
    <row r="107" spans="1:12" x14ac:dyDescent="0.35">
      <c r="A107" t="s">
        <v>141</v>
      </c>
      <c r="B107" s="7">
        <v>45870</v>
      </c>
      <c r="C107" t="str">
        <f>IF(RawData!C107="","Unknown",PROPER(TRIM(CLEAN(SUBSTITUTE(RawData!C107,CHAR(160)," ")))))</f>
        <v>North</v>
      </c>
      <c r="D107" t="str">
        <f>IF(RawData!D107="","Unknown",PROPER(TRIM(CLEAN(SUBSTITUTE(RawData!D107,CHAR(160)," ")))))</f>
        <v>Lucknow</v>
      </c>
      <c r="E107" t="str">
        <f>IF(RawData!E107="","Unknown",PROPER(TRIM(CLEAN(SUBSTITUTE(RawData!E107,CHAR(160)," ")))))</f>
        <v>Monitor</v>
      </c>
      <c r="F107" t="str">
        <f>IF(RawData!F107="","Unknown",PROPER(TRIM(CLEAN(SUBSTITUTE(RawData!F107,CHAR(160)," ")))))</f>
        <v>Electronics</v>
      </c>
      <c r="G107">
        <f>_xlfn.LET(
_xlpm.q,RawData!G107,
_xlpm.u,RawData!H107,
_xlpm.d,RawData!I107,
_xlpm.r,RawData!J107,
IF(AND(ISNUMBER(_xlpm.q),_xlpm.q&gt;0),_xlpm.q,
   IF(AND(ISNUMBER(_xlpm.r),ISNUMBER(_xlpm.u),_xlpm.u&gt;0,ISNUMBER(_xlpm.d),_xlpm.d&gt;=0,_xlpm.d&lt;1),
      ROUND(_xlpm.r/(_xlpm.u*(1-_xlpm.d)),0),
      ""
   )
)
)</f>
        <v>7</v>
      </c>
      <c r="H107" s="4">
        <f>_xlfn.LET(
_xlpm.q,RawData!G107,
_xlpm.u,RawData!H107,
_xlpm.d,RawData!I107,
_xlpm.r,RawData!J107,
IF(AND(ISNUMBER(_xlpm.u),_xlpm.u&gt;0),_xlpm.u,
   IF(AND(ISNUMBER(_xlpm.q),_xlpm.q&gt;0,ISNUMBER(_xlpm.r),ISNUMBER(_xlpm.d),_xlpm.d&gt;=0,_xlpm.d&lt;1),
      _xlpm.r/(_xlpm.q*(1-_xlpm.d)),
      ""
   )
)
)</f>
        <v>223.22</v>
      </c>
      <c r="I107" s="5">
        <f>_xlfn.LET(
_xlpm.q,RawData!G107,
_xlpm.u,RawData!H107,
_xlpm.d,RawData!I107,
_xlpm.r,RawData!J107,
IF(AND(ISNUMBER(_xlpm.d),_xlpm.d&gt;=0,_xlpm.d&lt;1),_xlpm.d,
   IF(AND(ISNUMBER(_xlpm.q),_xlpm.q&gt;0,ISNUMBER(_xlpm.u),_xlpm.u&gt;0,ISNUMBER(_xlpm.r),_xlpm.r&gt;=0),
      1-(_xlpm.r/(_xlpm.q*_xlpm.u)),
      ""
   )
)
)</f>
        <v>0.1</v>
      </c>
      <c r="J107" s="4">
        <f>_xlfn.LET(
_xlpm.q,RawData!G107,
_xlpm.u,RawData!H107,
_xlpm.d,RawData!I107,
_xlpm.r,RawData!J107,
IF(AND(ISNUMBER(_xlpm.r),_xlpm.r&gt;=0),_xlpm.r,
   IF(AND(ISNUMBER(_xlpm.q),_xlpm.q&gt;0,ISNUMBER(_xlpm.u),_xlpm.u&gt;0,ISNUMBER(_xlpm.d),_xlpm.d&gt;=0,_xlpm.d&lt;1),
      _xlpm.q*_xlpm.u*(1-_xlpm.d),
      ""
   )
)
)</f>
        <v>1406.29</v>
      </c>
      <c r="K107" s="4">
        <f>_xlfn.LET(
_xlpm.c,RawData!K107,
_xlpm.r,RawData!J107,
_xlpm.p,RawData!L107,
IF(AND(ISNUMBER(_xlpm.c),_xlpm.c&gt;=0),_xlpm.c,
   IF(AND(ISNUMBER(_xlpm.r),ISNUMBER(_xlpm.p)),
      _xlpm.r-_xlpm.p,
      ""
   )
)
)</f>
        <v>1036.17</v>
      </c>
      <c r="L107" s="4">
        <f>_xlfn.LET(
_xlpm.p,RawData!L107,
_xlpm.r,RawData!J107,
_xlpm.c,RawData!K107,
IF(ISNUMBER(_xlpm.p),_xlpm.p,
IF(AND(ISNUMBER(_xlpm.r),ISNUMBER(_xlpm.c)),
_xlpm.r-_xlpm.c,
""
)
))</f>
        <v>370.12</v>
      </c>
    </row>
    <row r="108" spans="1:12" x14ac:dyDescent="0.35">
      <c r="A108" t="s">
        <v>142</v>
      </c>
      <c r="B108" s="7">
        <v>46014</v>
      </c>
      <c r="C108" t="str">
        <f>IF(RawData!C108="","Unknown",PROPER(TRIM(CLEAN(SUBSTITUTE(RawData!C108,CHAR(160)," ")))))</f>
        <v>North</v>
      </c>
      <c r="D108" t="str">
        <f>IF(RawData!D108="","Unknown",PROPER(TRIM(CLEAN(SUBSTITUTE(RawData!D108,CHAR(160)," ")))))</f>
        <v>Delhi</v>
      </c>
      <c r="E108" t="str">
        <f>IF(RawData!E108="","Unknown",PROPER(TRIM(CLEAN(SUBSTITUTE(RawData!E108,CHAR(160)," ")))))</f>
        <v>Pen Set</v>
      </c>
      <c r="F108" t="str">
        <f>IF(RawData!F108="","Unknown",PROPER(TRIM(CLEAN(SUBSTITUTE(RawData!F108,CHAR(160)," ")))))</f>
        <v>Office Supplies</v>
      </c>
      <c r="G108">
        <f>_xlfn.LET(
_xlpm.q,RawData!G108,
_xlpm.u,RawData!H108,
_xlpm.d,RawData!I108,
_xlpm.r,RawData!J108,
IF(AND(ISNUMBER(_xlpm.q),_xlpm.q&gt;0),_xlpm.q,
   IF(AND(ISNUMBER(_xlpm.r),ISNUMBER(_xlpm.u),_xlpm.u&gt;0,ISNUMBER(_xlpm.d),_xlpm.d&gt;=0,_xlpm.d&lt;1),
      ROUND(_xlpm.r/(_xlpm.u*(1-_xlpm.d)),0),
      ""
   )
)
)</f>
        <v>7</v>
      </c>
      <c r="H108" s="4">
        <f>_xlfn.LET(
_xlpm.q,RawData!G108,
_xlpm.u,RawData!H108,
_xlpm.d,RawData!I108,
_xlpm.r,RawData!J108,
IF(AND(ISNUMBER(_xlpm.u),_xlpm.u&gt;0),_xlpm.u,
   IF(AND(ISNUMBER(_xlpm.q),_xlpm.q&gt;0,ISNUMBER(_xlpm.r),ISNUMBER(_xlpm.d),_xlpm.d&gt;=0,_xlpm.d&lt;1),
      _xlpm.r/(_xlpm.q*(1-_xlpm.d)),
      ""
   )
)
)</f>
        <v>12.55</v>
      </c>
      <c r="I108" s="5">
        <f>_xlfn.LET(
_xlpm.q,RawData!G108,
_xlpm.u,RawData!H108,
_xlpm.d,RawData!I108,
_xlpm.r,RawData!J108,
IF(AND(ISNUMBER(_xlpm.d),_xlpm.d&gt;=0,_xlpm.d&lt;1),_xlpm.d,
   IF(AND(ISNUMBER(_xlpm.q),_xlpm.q&gt;0,ISNUMBER(_xlpm.u),_xlpm.u&gt;0,ISNUMBER(_xlpm.r),_xlpm.r&gt;=0),
      1-(_xlpm.r/(_xlpm.q*_xlpm.u)),
      ""
   )
)
)</f>
        <v>0.1</v>
      </c>
      <c r="J108" s="4">
        <f>_xlfn.LET(
_xlpm.q,RawData!G108,
_xlpm.u,RawData!H108,
_xlpm.d,RawData!I108,
_xlpm.r,RawData!J108,
IF(AND(ISNUMBER(_xlpm.r),_xlpm.r&gt;=0),_xlpm.r,
   IF(AND(ISNUMBER(_xlpm.q),_xlpm.q&gt;0,ISNUMBER(_xlpm.u),_xlpm.u&gt;0,ISNUMBER(_xlpm.d),_xlpm.d&gt;=0,_xlpm.d&lt;1),
      _xlpm.q*_xlpm.u*(1-_xlpm.d),
      ""
   )
)
)</f>
        <v>79.069999999999993</v>
      </c>
      <c r="K108" s="4">
        <f>_xlfn.LET(
_xlpm.c,RawData!K108,
_xlpm.r,RawData!J108,
_xlpm.p,RawData!L108,
IF(AND(ISNUMBER(_xlpm.c),_xlpm.c&gt;=0),_xlpm.c,
   IF(AND(ISNUMBER(_xlpm.r),ISNUMBER(_xlpm.p)),
      _xlpm.r-_xlpm.p,
      ""
   )
)
)</f>
        <v>48.28</v>
      </c>
      <c r="L108" s="4">
        <f>_xlfn.LET(
_xlpm.p,RawData!L108,
_xlpm.r,RawData!J108,
_xlpm.c,RawData!K108,
IF(ISNUMBER(_xlpm.p),_xlpm.p,
IF(AND(ISNUMBER(_xlpm.r),ISNUMBER(_xlpm.c)),
_xlpm.r-_xlpm.c,
""
)
))</f>
        <v>30.79</v>
      </c>
    </row>
    <row r="109" spans="1:12" x14ac:dyDescent="0.35">
      <c r="A109" t="s">
        <v>143</v>
      </c>
      <c r="B109" s="7">
        <v>45838</v>
      </c>
      <c r="C109" t="str">
        <f>IF(RawData!C109="","Unknown",PROPER(TRIM(CLEAN(SUBSTITUTE(RawData!C109,CHAR(160)," ")))))</f>
        <v>East</v>
      </c>
      <c r="D109" t="str">
        <f>IF(RawData!D109="","Unknown",PROPER(TRIM(CLEAN(SUBSTITUTE(RawData!D109,CHAR(160)," ")))))</f>
        <v>Patna</v>
      </c>
      <c r="E109" t="str">
        <f>IF(RawData!E109="","Unknown",PROPER(TRIM(CLEAN(SUBSTITUTE(RawData!E109,CHAR(160)," ")))))</f>
        <v>Bookshelf</v>
      </c>
      <c r="F109" t="str">
        <f>IF(RawData!F109="","Unknown",PROPER(TRIM(CLEAN(SUBSTITUTE(RawData!F109,CHAR(160)," ")))))</f>
        <v>Furniture</v>
      </c>
      <c r="G109">
        <f>_xlfn.LET(
_xlpm.q,RawData!G109,
_xlpm.u,RawData!H109,
_xlpm.d,RawData!I109,
_xlpm.r,RawData!J109,
IF(AND(ISNUMBER(_xlpm.q),_xlpm.q&gt;0),_xlpm.q,
   IF(AND(ISNUMBER(_xlpm.r),ISNUMBER(_xlpm.u),_xlpm.u&gt;0,ISNUMBER(_xlpm.d),_xlpm.d&gt;=0,_xlpm.d&lt;1),
      ROUND(_xlpm.r/(_xlpm.u*(1-_xlpm.d)),0),
      ""
   )
)
)</f>
        <v>7</v>
      </c>
      <c r="H109" s="4">
        <f>_xlfn.LET(
_xlpm.q,RawData!G109,
_xlpm.u,RawData!H109,
_xlpm.d,RawData!I109,
_xlpm.r,RawData!J109,
IF(AND(ISNUMBER(_xlpm.u),_xlpm.u&gt;0),_xlpm.u,
   IF(AND(ISNUMBER(_xlpm.q),_xlpm.q&gt;0,ISNUMBER(_xlpm.r),ISNUMBER(_xlpm.d),_xlpm.d&gt;=0,_xlpm.d&lt;1),
      _xlpm.r/(_xlpm.q*(1-_xlpm.d)),
      ""
   )
)
)</f>
        <v>148.91</v>
      </c>
      <c r="I109" s="5">
        <f>_xlfn.LET(
_xlpm.q,RawData!G109,
_xlpm.u,RawData!H109,
_xlpm.d,RawData!I109,
_xlpm.r,RawData!J109,
IF(AND(ISNUMBER(_xlpm.d),_xlpm.d&gt;=0,_xlpm.d&lt;1),_xlpm.d,
   IF(AND(ISNUMBER(_xlpm.q),_xlpm.q&gt;0,ISNUMBER(_xlpm.u),_xlpm.u&gt;0,ISNUMBER(_xlpm.r),_xlpm.r&gt;=0),
      1-(_xlpm.r/(_xlpm.q*_xlpm.u)),
      ""
   )
)
)</f>
        <v>0.15</v>
      </c>
      <c r="J109" s="4">
        <f>_xlfn.LET(
_xlpm.q,RawData!G109,
_xlpm.u,RawData!H109,
_xlpm.d,RawData!I109,
_xlpm.r,RawData!J109,
IF(AND(ISNUMBER(_xlpm.r),_xlpm.r&gt;=0),_xlpm.r,
   IF(AND(ISNUMBER(_xlpm.q),_xlpm.q&gt;0,ISNUMBER(_xlpm.u),_xlpm.u&gt;0,ISNUMBER(_xlpm.d),_xlpm.d&gt;=0,_xlpm.d&lt;1),
      _xlpm.q*_xlpm.u*(1-_xlpm.d),
      ""
   )
)
)</f>
        <v>886.01</v>
      </c>
      <c r="K109" s="4">
        <f>_xlfn.LET(
_xlpm.c,RawData!K109,
_xlpm.r,RawData!J109,
_xlpm.p,RawData!L109,
IF(AND(ISNUMBER(_xlpm.c),_xlpm.c&gt;=0),_xlpm.c,
   IF(AND(ISNUMBER(_xlpm.r),ISNUMBER(_xlpm.p)),
      _xlpm.r-_xlpm.p,
      ""
   )
)
)</f>
        <v>544.05999999999995</v>
      </c>
      <c r="L109" s="4">
        <f>_xlfn.LET(
_xlpm.p,RawData!L109,
_xlpm.r,RawData!J109,
_xlpm.c,RawData!K109,
IF(ISNUMBER(_xlpm.p),_xlpm.p,
IF(AND(ISNUMBER(_xlpm.r),ISNUMBER(_xlpm.c)),
_xlpm.r-_xlpm.c,
""
)
))</f>
        <v>341.95</v>
      </c>
    </row>
    <row r="110" spans="1:12" x14ac:dyDescent="0.35">
      <c r="A110" t="s">
        <v>144</v>
      </c>
      <c r="B110" s="7">
        <v>45937</v>
      </c>
      <c r="C110" t="str">
        <f>IF(RawData!C110="","Unknown",PROPER(TRIM(CLEAN(SUBSTITUTE(RawData!C110,CHAR(160)," ")))))</f>
        <v>South</v>
      </c>
      <c r="D110" t="str">
        <f>IF(RawData!D110="","Unknown",PROPER(TRIM(CLEAN(SUBSTITUTE(RawData!D110,CHAR(160)," ")))))</f>
        <v>Chennai</v>
      </c>
      <c r="E110" t="str">
        <f>IF(RawData!E110="","Unknown",PROPER(TRIM(CLEAN(SUBSTITUTE(RawData!E110,CHAR(160)," ")))))</f>
        <v>Printer</v>
      </c>
      <c r="F110" t="str">
        <f>IF(RawData!F110="","Unknown",PROPER(TRIM(CLEAN(SUBSTITUTE(RawData!F110,CHAR(160)," ")))))</f>
        <v>Office Supplies</v>
      </c>
      <c r="G110">
        <f>_xlfn.LET(
_xlpm.q,RawData!G110,
_xlpm.u,RawData!H110,
_xlpm.d,RawData!I110,
_xlpm.r,RawData!J110,
IF(AND(ISNUMBER(_xlpm.q),_xlpm.q&gt;0),_xlpm.q,
   IF(AND(ISNUMBER(_xlpm.r),ISNUMBER(_xlpm.u),_xlpm.u&gt;0,ISNUMBER(_xlpm.d),_xlpm.d&gt;=0,_xlpm.d&lt;1),
      ROUND(_xlpm.r/(_xlpm.u*(1-_xlpm.d)),0),
      ""
   )
)
)</f>
        <v>4</v>
      </c>
      <c r="H110" s="4">
        <f>_xlfn.LET(
_xlpm.q,RawData!G110,
_xlpm.u,RawData!H110,
_xlpm.d,RawData!I110,
_xlpm.r,RawData!J110,
IF(AND(ISNUMBER(_xlpm.u),_xlpm.u&gt;0),_xlpm.u,
   IF(AND(ISNUMBER(_xlpm.q),_xlpm.q&gt;0,ISNUMBER(_xlpm.r),ISNUMBER(_xlpm.d),_xlpm.d&gt;=0,_xlpm.d&lt;1),
      _xlpm.r/(_xlpm.q*(1-_xlpm.d)),
      ""
   )
)
)</f>
        <v>151.62</v>
      </c>
      <c r="I110" s="5">
        <f>_xlfn.LET(
_xlpm.q,RawData!G110,
_xlpm.u,RawData!H110,
_xlpm.d,RawData!I110,
_xlpm.r,RawData!J110,
IF(AND(ISNUMBER(_xlpm.d),_xlpm.d&gt;=0,_xlpm.d&lt;1),_xlpm.d,
   IF(AND(ISNUMBER(_xlpm.q),_xlpm.q&gt;0,ISNUMBER(_xlpm.u),_xlpm.u&gt;0,ISNUMBER(_xlpm.r),_xlpm.r&gt;=0),
      1-(_xlpm.r/(_xlpm.q*_xlpm.u)),
      ""
   )
)
)</f>
        <v>0.05</v>
      </c>
      <c r="J110" s="4">
        <f>_xlfn.LET(
_xlpm.q,RawData!G110,
_xlpm.u,RawData!H110,
_xlpm.d,RawData!I110,
_xlpm.r,RawData!J110,
IF(AND(ISNUMBER(_xlpm.r),_xlpm.r&gt;=0),_xlpm.r,
   IF(AND(ISNUMBER(_xlpm.q),_xlpm.q&gt;0,ISNUMBER(_xlpm.u),_xlpm.u&gt;0,ISNUMBER(_xlpm.d),_xlpm.d&gt;=0,_xlpm.d&lt;1),
      _xlpm.q*_xlpm.u*(1-_xlpm.d),
      ""
   )
)
)</f>
        <v>576.16</v>
      </c>
      <c r="K110" s="4">
        <f>_xlfn.LET(
_xlpm.c,RawData!K110,
_xlpm.r,RawData!J110,
_xlpm.p,RawData!L110,
IF(AND(ISNUMBER(_xlpm.c),_xlpm.c&gt;=0),_xlpm.c,
   IF(AND(ISNUMBER(_xlpm.r),ISNUMBER(_xlpm.p)),
      _xlpm.r-_xlpm.p,
      ""
   )
)
)</f>
        <v>433.01</v>
      </c>
      <c r="L110" s="4">
        <f>_xlfn.LET(
_xlpm.p,RawData!L110,
_xlpm.r,RawData!J110,
_xlpm.c,RawData!K110,
IF(ISNUMBER(_xlpm.p),_xlpm.p,
IF(AND(ISNUMBER(_xlpm.r),ISNUMBER(_xlpm.c)),
_xlpm.r-_xlpm.c,
""
)
))</f>
        <v>143.15</v>
      </c>
    </row>
    <row r="111" spans="1:12" x14ac:dyDescent="0.35">
      <c r="A111" t="s">
        <v>145</v>
      </c>
      <c r="B111" s="7">
        <v>45906</v>
      </c>
      <c r="C111" t="str">
        <f>IF(RawData!C111="","Unknown",PROPER(TRIM(CLEAN(SUBSTITUTE(RawData!C111,CHAR(160)," ")))))</f>
        <v>North</v>
      </c>
      <c r="D111" t="str">
        <f>IF(RawData!D111="","Unknown",PROPER(TRIM(CLEAN(SUBSTITUTE(RawData!D111,CHAR(160)," ")))))</f>
        <v>Lucknow</v>
      </c>
      <c r="E111" t="str">
        <f>IF(RawData!E111="","Unknown",PROPER(TRIM(CLEAN(SUBSTITUTE(RawData!E111,CHAR(160)," ")))))</f>
        <v>Bookshelf</v>
      </c>
      <c r="F111" t="str">
        <f>IF(RawData!F111="","Unknown",PROPER(TRIM(CLEAN(SUBSTITUTE(RawData!F111,CHAR(160)," ")))))</f>
        <v>Furniture</v>
      </c>
      <c r="G111">
        <f>_xlfn.LET(
_xlpm.q,RawData!G111,
_xlpm.u,RawData!H111,
_xlpm.d,RawData!I111,
_xlpm.r,RawData!J111,
IF(AND(ISNUMBER(_xlpm.q),_xlpm.q&gt;0),_xlpm.q,
   IF(AND(ISNUMBER(_xlpm.r),ISNUMBER(_xlpm.u),_xlpm.u&gt;0,ISNUMBER(_xlpm.d),_xlpm.d&gt;=0,_xlpm.d&lt;1),
      ROUND(_xlpm.r/(_xlpm.u*(1-_xlpm.d)),0),
      ""
   )
)
)</f>
        <v>6</v>
      </c>
      <c r="H111" s="4">
        <f>_xlfn.LET(
_xlpm.q,RawData!G111,
_xlpm.u,RawData!H111,
_xlpm.d,RawData!I111,
_xlpm.r,RawData!J111,
IF(AND(ISNUMBER(_xlpm.u),_xlpm.u&gt;0),_xlpm.u,
   IF(AND(ISNUMBER(_xlpm.q),_xlpm.q&gt;0,ISNUMBER(_xlpm.r),ISNUMBER(_xlpm.d),_xlpm.d&gt;=0,_xlpm.d&lt;1),
      _xlpm.r/(_xlpm.q*(1-_xlpm.d)),
      ""
   )
)
)</f>
        <v>146.28</v>
      </c>
      <c r="I111" s="5">
        <f>_xlfn.LET(
_xlpm.q,RawData!G111,
_xlpm.u,RawData!H111,
_xlpm.d,RawData!I111,
_xlpm.r,RawData!J111,
IF(AND(ISNUMBER(_xlpm.d),_xlpm.d&gt;=0,_xlpm.d&lt;1),_xlpm.d,
   IF(AND(ISNUMBER(_xlpm.q),_xlpm.q&gt;0,ISNUMBER(_xlpm.u),_xlpm.u&gt;0,ISNUMBER(_xlpm.r),_xlpm.r&gt;=0),
      1-(_xlpm.r/(_xlpm.q*_xlpm.u)),
      ""
   )
)
)</f>
        <v>0.2</v>
      </c>
      <c r="J111" s="4">
        <f>_xlfn.LET(
_xlpm.q,RawData!G111,
_xlpm.u,RawData!H111,
_xlpm.d,RawData!I111,
_xlpm.r,RawData!J111,
IF(AND(ISNUMBER(_xlpm.r),_xlpm.r&gt;=0),_xlpm.r,
   IF(AND(ISNUMBER(_xlpm.q),_xlpm.q&gt;0,ISNUMBER(_xlpm.u),_xlpm.u&gt;0,ISNUMBER(_xlpm.d),_xlpm.d&gt;=0,_xlpm.d&lt;1),
      _xlpm.q*_xlpm.u*(1-_xlpm.d),
      ""
   )
)
)</f>
        <v>702.14</v>
      </c>
      <c r="K111" s="4">
        <f>_xlfn.LET(
_xlpm.c,RawData!K111,
_xlpm.r,RawData!J111,
_xlpm.p,RawData!L111,
IF(AND(ISNUMBER(_xlpm.c),_xlpm.c&gt;=0),_xlpm.c,
   IF(AND(ISNUMBER(_xlpm.r),ISNUMBER(_xlpm.p)),
      _xlpm.r-_xlpm.p,
      ""
   )
)
)</f>
        <v>547.16999999999996</v>
      </c>
      <c r="L111" s="4">
        <f>_xlfn.LET(
_xlpm.p,RawData!L111,
_xlpm.r,RawData!J111,
_xlpm.c,RawData!K111,
IF(ISNUMBER(_xlpm.p),_xlpm.p,
IF(AND(ISNUMBER(_xlpm.r),ISNUMBER(_xlpm.c)),
_xlpm.r-_xlpm.c,
""
)
))</f>
        <v>154.97</v>
      </c>
    </row>
    <row r="112" spans="1:12" x14ac:dyDescent="0.35">
      <c r="A112" t="s">
        <v>146</v>
      </c>
      <c r="B112" s="7">
        <v>45865</v>
      </c>
      <c r="C112" t="str">
        <f>IF(RawData!C112="","Unknown",PROPER(TRIM(CLEAN(SUBSTITUTE(RawData!C112,CHAR(160)," ")))))</f>
        <v>South</v>
      </c>
      <c r="D112" t="str">
        <f>IF(RawData!D112="","Unknown",PROPER(TRIM(CLEAN(SUBSTITUTE(RawData!D112,CHAR(160)," ")))))</f>
        <v>Bengaluru</v>
      </c>
      <c r="E112" t="str">
        <f>IF(RawData!E112="","Unknown",PROPER(TRIM(CLEAN(SUBSTITUTE(RawData!E112,CHAR(160)," ")))))</f>
        <v>Printer</v>
      </c>
      <c r="F112" t="str">
        <f>IF(RawData!F112="","Unknown",PROPER(TRIM(CLEAN(SUBSTITUTE(RawData!F112,CHAR(160)," ")))))</f>
        <v>Office Supplies</v>
      </c>
      <c r="G112">
        <f>_xlfn.LET(
_xlpm.q,RawData!G112,
_xlpm.u,RawData!H112,
_xlpm.d,RawData!I112,
_xlpm.r,RawData!J112,
IF(AND(ISNUMBER(_xlpm.q),_xlpm.q&gt;0),_xlpm.q,
   IF(AND(ISNUMBER(_xlpm.r),ISNUMBER(_xlpm.u),_xlpm.u&gt;0,ISNUMBER(_xlpm.d),_xlpm.d&gt;=0,_xlpm.d&lt;1),
      ROUND(_xlpm.r/(_xlpm.u*(1-_xlpm.d)),0),
      ""
   )
)
)</f>
        <v>3</v>
      </c>
      <c r="H112" s="4">
        <f>_xlfn.LET(
_xlpm.q,RawData!G112,
_xlpm.u,RawData!H112,
_xlpm.d,RawData!I112,
_xlpm.r,RawData!J112,
IF(AND(ISNUMBER(_xlpm.u),_xlpm.u&gt;0),_xlpm.u,
   IF(AND(ISNUMBER(_xlpm.q),_xlpm.q&gt;0,ISNUMBER(_xlpm.r),ISNUMBER(_xlpm.d),_xlpm.d&gt;=0,_xlpm.d&lt;1),
      _xlpm.r/(_xlpm.q*(1-_xlpm.d)),
      ""
   )
)
)</f>
        <v>167.57</v>
      </c>
      <c r="I112" s="5">
        <f>_xlfn.LET(
_xlpm.q,RawData!G112,
_xlpm.u,RawData!H112,
_xlpm.d,RawData!I112,
_xlpm.r,RawData!J112,
IF(AND(ISNUMBER(_xlpm.d),_xlpm.d&gt;=0,_xlpm.d&lt;1),_xlpm.d,
   IF(AND(ISNUMBER(_xlpm.q),_xlpm.q&gt;0,ISNUMBER(_xlpm.u),_xlpm.u&gt;0,ISNUMBER(_xlpm.r),_xlpm.r&gt;=0),
      1-(_xlpm.r/(_xlpm.q*_xlpm.u)),
      ""
   )
)
)</f>
        <v>0.15</v>
      </c>
      <c r="J112" s="4">
        <f>_xlfn.LET(
_xlpm.q,RawData!G112,
_xlpm.u,RawData!H112,
_xlpm.d,RawData!I112,
_xlpm.r,RawData!J112,
IF(AND(ISNUMBER(_xlpm.r),_xlpm.r&gt;=0),_xlpm.r,
   IF(AND(ISNUMBER(_xlpm.q),_xlpm.q&gt;0,ISNUMBER(_xlpm.u),_xlpm.u&gt;0,ISNUMBER(_xlpm.d),_xlpm.d&gt;=0,_xlpm.d&lt;1),
      _xlpm.q*_xlpm.u*(1-_xlpm.d),
      ""
   )
)
)</f>
        <v>427.3</v>
      </c>
      <c r="K112" s="4">
        <f>_xlfn.LET(
_xlpm.c,RawData!K112,
_xlpm.r,RawData!J112,
_xlpm.p,RawData!L112,
IF(AND(ISNUMBER(_xlpm.c),_xlpm.c&gt;=0),_xlpm.c,
   IF(AND(ISNUMBER(_xlpm.r),ISNUMBER(_xlpm.p)),
      _xlpm.r-_xlpm.p,
      ""
   )
)
)</f>
        <v>300.58</v>
      </c>
      <c r="L112" s="4">
        <f>_xlfn.LET(
_xlpm.p,RawData!L112,
_xlpm.r,RawData!J112,
_xlpm.c,RawData!K112,
IF(ISNUMBER(_xlpm.p),_xlpm.p,
IF(AND(ISNUMBER(_xlpm.r),ISNUMBER(_xlpm.c)),
_xlpm.r-_xlpm.c,
""
)
))</f>
        <v>126.72</v>
      </c>
    </row>
    <row r="113" spans="1:12" x14ac:dyDescent="0.35">
      <c r="A113" t="s">
        <v>147</v>
      </c>
      <c r="B113" s="7">
        <v>45671</v>
      </c>
      <c r="C113" t="str">
        <f>IF(RawData!C113="","Unknown",PROPER(TRIM(CLEAN(SUBSTITUTE(RawData!C113,CHAR(160)," ")))))</f>
        <v>West</v>
      </c>
      <c r="D113" t="str">
        <f>IF(RawData!D113="","Unknown",PROPER(TRIM(CLEAN(SUBSTITUTE(RawData!D113,CHAR(160)," ")))))</f>
        <v>Mumbai</v>
      </c>
      <c r="E113" t="str">
        <f>IF(RawData!E113="","Unknown",PROPER(TRIM(CLEAN(SUBSTITUTE(RawData!E113,CHAR(160)," ")))))</f>
        <v>Pen Set</v>
      </c>
      <c r="F113" t="str">
        <f>IF(RawData!F113="","Unknown",PROPER(TRIM(CLEAN(SUBSTITUTE(RawData!F113,CHAR(160)," ")))))</f>
        <v>Office Supplies</v>
      </c>
      <c r="G113">
        <f>_xlfn.LET(
_xlpm.q,RawData!G113,
_xlpm.u,RawData!H113,
_xlpm.d,RawData!I113,
_xlpm.r,RawData!J113,
IF(AND(ISNUMBER(_xlpm.q),_xlpm.q&gt;0),_xlpm.q,
   IF(AND(ISNUMBER(_xlpm.r),ISNUMBER(_xlpm.u),_xlpm.u&gt;0,ISNUMBER(_xlpm.d),_xlpm.d&gt;=0,_xlpm.d&lt;1),
      ROUND(_xlpm.r/(_xlpm.u*(1-_xlpm.d)),0),
      ""
   )
)
)</f>
        <v>10</v>
      </c>
      <c r="H113" s="4">
        <f>_xlfn.LET(
_xlpm.q,RawData!G113,
_xlpm.u,RawData!H113,
_xlpm.d,RawData!I113,
_xlpm.r,RawData!J113,
IF(AND(ISNUMBER(_xlpm.u),_xlpm.u&gt;0),_xlpm.u,
   IF(AND(ISNUMBER(_xlpm.q),_xlpm.q&gt;0,ISNUMBER(_xlpm.r),ISNUMBER(_xlpm.d),_xlpm.d&gt;=0,_xlpm.d&lt;1),
      _xlpm.r/(_xlpm.q*(1-_xlpm.d)),
      ""
   )
)
)</f>
        <v>10.54</v>
      </c>
      <c r="I113" s="5">
        <f>_xlfn.LET(
_xlpm.q,RawData!G113,
_xlpm.u,RawData!H113,
_xlpm.d,RawData!I113,
_xlpm.r,RawData!J113,
IF(AND(ISNUMBER(_xlpm.d),_xlpm.d&gt;=0,_xlpm.d&lt;1),_xlpm.d,
   IF(AND(ISNUMBER(_xlpm.q),_xlpm.q&gt;0,ISNUMBER(_xlpm.u),_xlpm.u&gt;0,ISNUMBER(_xlpm.r),_xlpm.r&gt;=0),
      1-(_xlpm.r/(_xlpm.q*_xlpm.u)),
      ""
   )
)
)</f>
        <v>0.2</v>
      </c>
      <c r="J113" s="4">
        <f>_xlfn.LET(
_xlpm.q,RawData!G113,
_xlpm.u,RawData!H113,
_xlpm.d,RawData!I113,
_xlpm.r,RawData!J113,
IF(AND(ISNUMBER(_xlpm.r),_xlpm.r&gt;=0),_xlpm.r,
   IF(AND(ISNUMBER(_xlpm.q),_xlpm.q&gt;0,ISNUMBER(_xlpm.u),_xlpm.u&gt;0,ISNUMBER(_xlpm.d),_xlpm.d&gt;=0,_xlpm.d&lt;1),
      _xlpm.q*_xlpm.u*(1-_xlpm.d),
      ""
   )
)
)</f>
        <v>84.32</v>
      </c>
      <c r="K113" s="4">
        <f>_xlfn.LET(
_xlpm.c,RawData!K113,
_xlpm.r,RawData!J113,
_xlpm.p,RawData!L113,
IF(AND(ISNUMBER(_xlpm.c),_xlpm.c&gt;=0),_xlpm.c,
   IF(AND(ISNUMBER(_xlpm.r),ISNUMBER(_xlpm.p)),
      _xlpm.r-_xlpm.p,
      ""
   )
)
)</f>
        <v>54.75</v>
      </c>
      <c r="L113" s="4">
        <f>_xlfn.LET(
_xlpm.p,RawData!L113,
_xlpm.r,RawData!J113,
_xlpm.c,RawData!K113,
IF(ISNUMBER(_xlpm.p),_xlpm.p,
IF(AND(ISNUMBER(_xlpm.r),ISNUMBER(_xlpm.c)),
_xlpm.r-_xlpm.c,
""
)
))</f>
        <v>29.57</v>
      </c>
    </row>
    <row r="114" spans="1:12" x14ac:dyDescent="0.35">
      <c r="A114" t="s">
        <v>148</v>
      </c>
      <c r="B114" s="7">
        <v>45700</v>
      </c>
      <c r="C114" t="str">
        <f>IF(RawData!C114="","Unknown",PROPER(TRIM(CLEAN(SUBSTITUTE(RawData!C114,CHAR(160)," ")))))</f>
        <v>West</v>
      </c>
      <c r="D114" t="str">
        <f>IF(RawData!D114="","Unknown",PROPER(TRIM(CLEAN(SUBSTITUTE(RawData!D114,CHAR(160)," ")))))</f>
        <v>Mumbai</v>
      </c>
      <c r="E114" t="str">
        <f>IF(RawData!E114="","Unknown",PROPER(TRIM(CLEAN(SUBSTITUTE(RawData!E114,CHAR(160)," ")))))</f>
        <v>Headphones</v>
      </c>
      <c r="F114" t="str">
        <f>IF(RawData!F114="","Unknown",PROPER(TRIM(CLEAN(SUBSTITUTE(RawData!F114,CHAR(160)," ")))))</f>
        <v>Electronics</v>
      </c>
      <c r="G114">
        <f>_xlfn.LET(
_xlpm.q,RawData!G114,
_xlpm.u,RawData!H114,
_xlpm.d,RawData!I114,
_xlpm.r,RawData!J114,
IF(AND(ISNUMBER(_xlpm.q),_xlpm.q&gt;0),_xlpm.q,
   IF(AND(ISNUMBER(_xlpm.r),ISNUMBER(_xlpm.u),_xlpm.u&gt;0,ISNUMBER(_xlpm.d),_xlpm.d&gt;=0,_xlpm.d&lt;1),
      ROUND(_xlpm.r/(_xlpm.u*(1-_xlpm.d)),0),
      ""
   )
)
)</f>
        <v>8</v>
      </c>
      <c r="H114" s="4">
        <f>_xlfn.LET(
_xlpm.q,RawData!G114,
_xlpm.u,RawData!H114,
_xlpm.d,RawData!I114,
_xlpm.r,RawData!J114,
IF(AND(ISNUMBER(_xlpm.u),_xlpm.u&gt;0),_xlpm.u,
   IF(AND(ISNUMBER(_xlpm.q),_xlpm.q&gt;0,ISNUMBER(_xlpm.r),ISNUMBER(_xlpm.d),_xlpm.d&gt;=0,_xlpm.d&lt;1),
      _xlpm.r/(_xlpm.q*(1-_xlpm.d)),
      ""
   )
)
)</f>
        <v>74.36</v>
      </c>
      <c r="I114" s="5">
        <f>_xlfn.LET(
_xlpm.q,RawData!G114,
_xlpm.u,RawData!H114,
_xlpm.d,RawData!I114,
_xlpm.r,RawData!J114,
IF(AND(ISNUMBER(_xlpm.d),_xlpm.d&gt;=0,_xlpm.d&lt;1),_xlpm.d,
   IF(AND(ISNUMBER(_xlpm.q),_xlpm.q&gt;0,ISNUMBER(_xlpm.u),_xlpm.u&gt;0,ISNUMBER(_xlpm.r),_xlpm.r&gt;=0),
      1-(_xlpm.r/(_xlpm.q*_xlpm.u)),
      ""
   )
)
)</f>
        <v>0.02</v>
      </c>
      <c r="J114" s="4">
        <f>_xlfn.LET(
_xlpm.q,RawData!G114,
_xlpm.u,RawData!H114,
_xlpm.d,RawData!I114,
_xlpm.r,RawData!J114,
IF(AND(ISNUMBER(_xlpm.r),_xlpm.r&gt;=0),_xlpm.r,
   IF(AND(ISNUMBER(_xlpm.q),_xlpm.q&gt;0,ISNUMBER(_xlpm.u),_xlpm.u&gt;0,ISNUMBER(_xlpm.d),_xlpm.d&gt;=0,_xlpm.d&lt;1),
      _xlpm.q*_xlpm.u*(1-_xlpm.d),
      ""
   )
)
)</f>
        <v>582.98</v>
      </c>
      <c r="K114" s="4">
        <f>_xlfn.LET(
_xlpm.c,RawData!K114,
_xlpm.r,RawData!J114,
_xlpm.p,RawData!L114,
IF(AND(ISNUMBER(_xlpm.c),_xlpm.c&gt;=0),_xlpm.c,
   IF(AND(ISNUMBER(_xlpm.r),ISNUMBER(_xlpm.p)),
      _xlpm.r-_xlpm.p,
      ""
   )
)
)</f>
        <v>359.04</v>
      </c>
      <c r="L114" s="4">
        <f>_xlfn.LET(
_xlpm.p,RawData!L114,
_xlpm.r,RawData!J114,
_xlpm.c,RawData!K114,
IF(ISNUMBER(_xlpm.p),_xlpm.p,
IF(AND(ISNUMBER(_xlpm.r),ISNUMBER(_xlpm.c)),
_xlpm.r-_xlpm.c,
""
)
))</f>
        <v>223.94</v>
      </c>
    </row>
    <row r="115" spans="1:12" x14ac:dyDescent="0.35">
      <c r="A115" t="s">
        <v>149</v>
      </c>
      <c r="B115" s="7">
        <v>45791</v>
      </c>
      <c r="C115" t="str">
        <f>IF(RawData!C115="","Unknown",PROPER(TRIM(CLEAN(SUBSTITUTE(RawData!C115,CHAR(160)," ")))))</f>
        <v>West</v>
      </c>
      <c r="D115" t="str">
        <f>IF(RawData!D115="","Unknown",PROPER(TRIM(CLEAN(SUBSTITUTE(RawData!D115,CHAR(160)," ")))))</f>
        <v>Pune</v>
      </c>
      <c r="E115" t="str">
        <f>IF(RawData!E115="","Unknown",PROPER(TRIM(CLEAN(SUBSTITUTE(RawData!E115,CHAR(160)," ")))))</f>
        <v>Desk</v>
      </c>
      <c r="F115" t="str">
        <f>IF(RawData!F115="","Unknown",PROPER(TRIM(CLEAN(SUBSTITUTE(RawData!F115,CHAR(160)," ")))))</f>
        <v>Furniture</v>
      </c>
      <c r="G115">
        <f>_xlfn.LET(
_xlpm.q,RawData!G115,
_xlpm.u,RawData!H115,
_xlpm.d,RawData!I115,
_xlpm.r,RawData!J115,
IF(AND(ISNUMBER(_xlpm.q),_xlpm.q&gt;0),_xlpm.q,
   IF(AND(ISNUMBER(_xlpm.r),ISNUMBER(_xlpm.u),_xlpm.u&gt;0,ISNUMBER(_xlpm.d),_xlpm.d&gt;=0,_xlpm.d&lt;1),
      ROUND(_xlpm.r/(_xlpm.u*(1-_xlpm.d)),0),
      ""
   )
)
)</f>
        <v>4</v>
      </c>
      <c r="H115" s="4">
        <f>_xlfn.LET(
_xlpm.q,RawData!G115,
_xlpm.u,RawData!H115,
_xlpm.d,RawData!I115,
_xlpm.r,RawData!J115,
IF(AND(ISNUMBER(_xlpm.u),_xlpm.u&gt;0),_xlpm.u,
   IF(AND(ISNUMBER(_xlpm.q),_xlpm.q&gt;0,ISNUMBER(_xlpm.r),ISNUMBER(_xlpm.d),_xlpm.d&gt;=0,_xlpm.d&lt;1),
      _xlpm.r/(_xlpm.q*(1-_xlpm.d)),
      ""
   )
)
)</f>
        <v>285.48</v>
      </c>
      <c r="I115" s="5">
        <f>_xlfn.LET(
_xlpm.q,RawData!G115,
_xlpm.u,RawData!H115,
_xlpm.d,RawData!I115,
_xlpm.r,RawData!J115,
IF(AND(ISNUMBER(_xlpm.d),_xlpm.d&gt;=0,_xlpm.d&lt;1),_xlpm.d,
   IF(AND(ISNUMBER(_xlpm.q),_xlpm.q&gt;0,ISNUMBER(_xlpm.u),_xlpm.u&gt;0,ISNUMBER(_xlpm.r),_xlpm.r&gt;=0),
      1-(_xlpm.r/(_xlpm.q*_xlpm.u)),
      ""
   )
)
)</f>
        <v>0.1</v>
      </c>
      <c r="J115" s="4">
        <f>_xlfn.LET(
_xlpm.q,RawData!G115,
_xlpm.u,RawData!H115,
_xlpm.d,RawData!I115,
_xlpm.r,RawData!J115,
IF(AND(ISNUMBER(_xlpm.r),_xlpm.r&gt;=0),_xlpm.r,
   IF(AND(ISNUMBER(_xlpm.q),_xlpm.q&gt;0,ISNUMBER(_xlpm.u),_xlpm.u&gt;0,ISNUMBER(_xlpm.d),_xlpm.d&gt;=0,_xlpm.d&lt;1),
      _xlpm.q*_xlpm.u*(1-_xlpm.d),
      ""
   )
)
)</f>
        <v>1027.73</v>
      </c>
      <c r="K115" s="4">
        <f>_xlfn.LET(
_xlpm.c,RawData!K115,
_xlpm.r,RawData!J115,
_xlpm.p,RawData!L115,
IF(AND(ISNUMBER(_xlpm.c),_xlpm.c&gt;=0),_xlpm.c,
   IF(AND(ISNUMBER(_xlpm.r),ISNUMBER(_xlpm.p)),
      _xlpm.r-_xlpm.p,
      ""
   )
)
)</f>
        <v>674.33</v>
      </c>
      <c r="L115" s="4">
        <f>_xlfn.LET(
_xlpm.p,RawData!L115,
_xlpm.r,RawData!J115,
_xlpm.c,RawData!K115,
IF(ISNUMBER(_xlpm.p),_xlpm.p,
IF(AND(ISNUMBER(_xlpm.r),ISNUMBER(_xlpm.c)),
_xlpm.r-_xlpm.c,
""
)
))</f>
        <v>353.4</v>
      </c>
    </row>
    <row r="116" spans="1:12" x14ac:dyDescent="0.35">
      <c r="A116" t="s">
        <v>150</v>
      </c>
      <c r="B116" s="7">
        <v>45830</v>
      </c>
      <c r="C116" t="str">
        <f>IF(RawData!C116="","Unknown",PROPER(TRIM(CLEAN(SUBSTITUTE(RawData!C116,CHAR(160)," ")))))</f>
        <v>West</v>
      </c>
      <c r="D116" t="str">
        <f>IF(RawData!D116="","Unknown",PROPER(TRIM(CLEAN(SUBSTITUTE(RawData!D116,CHAR(160)," ")))))</f>
        <v>Mumbai</v>
      </c>
      <c r="E116" t="str">
        <f>IF(RawData!E116="","Unknown",PROPER(TRIM(CLEAN(SUBSTITUTE(RawData!E116,CHAR(160)," ")))))</f>
        <v>Office Chair</v>
      </c>
      <c r="F116" t="str">
        <f>IF(RawData!F116="","Unknown",PROPER(TRIM(CLEAN(SUBSTITUTE(RawData!F116,CHAR(160)," ")))))</f>
        <v>Furniture</v>
      </c>
      <c r="G116">
        <f>_xlfn.LET(
_xlpm.q,RawData!G116,
_xlpm.u,RawData!H116,
_xlpm.d,RawData!I116,
_xlpm.r,RawData!J116,
IF(AND(ISNUMBER(_xlpm.q),_xlpm.q&gt;0),_xlpm.q,
   IF(AND(ISNUMBER(_xlpm.r),ISNUMBER(_xlpm.u),_xlpm.u&gt;0,ISNUMBER(_xlpm.d),_xlpm.d&gt;=0,_xlpm.d&lt;1),
      ROUND(_xlpm.r/(_xlpm.u*(1-_xlpm.d)),0),
      ""
   )
)
)</f>
        <v>7</v>
      </c>
      <c r="H116" s="4">
        <f>_xlfn.LET(
_xlpm.q,RawData!G116,
_xlpm.u,RawData!H116,
_xlpm.d,RawData!I116,
_xlpm.r,RawData!J116,
IF(AND(ISNUMBER(_xlpm.u),_xlpm.u&gt;0),_xlpm.u,
   IF(AND(ISNUMBER(_xlpm.q),_xlpm.q&gt;0,ISNUMBER(_xlpm.r),ISNUMBER(_xlpm.d),_xlpm.d&gt;=0,_xlpm.d&lt;1),
      _xlpm.r/(_xlpm.q*(1-_xlpm.d)),
      ""
   )
)
)</f>
        <v>201.17</v>
      </c>
      <c r="I116" s="5">
        <f>_xlfn.LET(
_xlpm.q,RawData!G116,
_xlpm.u,RawData!H116,
_xlpm.d,RawData!I116,
_xlpm.r,RawData!J116,
IF(AND(ISNUMBER(_xlpm.d),_xlpm.d&gt;=0,_xlpm.d&lt;1),_xlpm.d,
   IF(AND(ISNUMBER(_xlpm.q),_xlpm.q&gt;0,ISNUMBER(_xlpm.u),_xlpm.u&gt;0,ISNUMBER(_xlpm.r),_xlpm.r&gt;=0),
      1-(_xlpm.r/(_xlpm.q*_xlpm.u)),
      ""
   )
)
)</f>
        <v>0.05</v>
      </c>
      <c r="J116" s="4">
        <f>_xlfn.LET(
_xlpm.q,RawData!G116,
_xlpm.u,RawData!H116,
_xlpm.d,RawData!I116,
_xlpm.r,RawData!J116,
IF(AND(ISNUMBER(_xlpm.r),_xlpm.r&gt;=0),_xlpm.r,
   IF(AND(ISNUMBER(_xlpm.q),_xlpm.q&gt;0,ISNUMBER(_xlpm.u),_xlpm.u&gt;0,ISNUMBER(_xlpm.d),_xlpm.d&gt;=0,_xlpm.d&lt;1),
      _xlpm.q*_xlpm.u*(1-_xlpm.d),
      ""
   )
)
)</f>
        <v>1337.78</v>
      </c>
      <c r="K116" s="4">
        <f>_xlfn.LET(
_xlpm.c,RawData!K116,
_xlpm.r,RawData!J116,
_xlpm.p,RawData!L116,
IF(AND(ISNUMBER(_xlpm.c),_xlpm.c&gt;=0),_xlpm.c,
   IF(AND(ISNUMBER(_xlpm.r),ISNUMBER(_xlpm.p)),
      _xlpm.r-_xlpm.p,
      ""
   )
)
)</f>
        <v>963.75</v>
      </c>
      <c r="L116" s="4">
        <f>_xlfn.LET(
_xlpm.p,RawData!L116,
_xlpm.r,RawData!J116,
_xlpm.c,RawData!K116,
IF(ISNUMBER(_xlpm.p),_xlpm.p,
IF(AND(ISNUMBER(_xlpm.r),ISNUMBER(_xlpm.c)),
_xlpm.r-_xlpm.c,
""
)
))</f>
        <v>374.03</v>
      </c>
    </row>
    <row r="117" spans="1:12" x14ac:dyDescent="0.35">
      <c r="A117" t="s">
        <v>151</v>
      </c>
      <c r="B117" s="7">
        <v>45898</v>
      </c>
      <c r="C117" t="str">
        <f>IF(RawData!C117="","Unknown",PROPER(TRIM(CLEAN(SUBSTITUTE(RawData!C117,CHAR(160)," ")))))</f>
        <v>North</v>
      </c>
      <c r="D117" t="str">
        <f>IF(RawData!D117="","Unknown",PROPER(TRIM(CLEAN(SUBSTITUTE(RawData!D117,CHAR(160)," ")))))</f>
        <v>Jaipur</v>
      </c>
      <c r="E117" t="str">
        <f>IF(RawData!E117="","Unknown",PROPER(TRIM(CLEAN(SUBSTITUTE(RawData!E117,CHAR(160)," ")))))</f>
        <v>Keyboard</v>
      </c>
      <c r="F117" t="str">
        <f>IF(RawData!F117="","Unknown",PROPER(TRIM(CLEAN(SUBSTITUTE(RawData!F117,CHAR(160)," ")))))</f>
        <v>Accessories</v>
      </c>
      <c r="G117">
        <f>_xlfn.LET(
_xlpm.q,RawData!G117,
_xlpm.u,RawData!H117,
_xlpm.d,RawData!I117,
_xlpm.r,RawData!J117,
IF(AND(ISNUMBER(_xlpm.q),_xlpm.q&gt;0),_xlpm.q,
   IF(AND(ISNUMBER(_xlpm.r),ISNUMBER(_xlpm.u),_xlpm.u&gt;0,ISNUMBER(_xlpm.d),_xlpm.d&gt;=0,_xlpm.d&lt;1),
      ROUND(_xlpm.r/(_xlpm.u*(1-_xlpm.d)),0),
      ""
   )
)
)</f>
        <v>9</v>
      </c>
      <c r="H117" s="4">
        <f>_xlfn.LET(
_xlpm.q,RawData!G117,
_xlpm.u,RawData!H117,
_xlpm.d,RawData!I117,
_xlpm.r,RawData!J117,
IF(AND(ISNUMBER(_xlpm.u),_xlpm.u&gt;0),_xlpm.u,
   IF(AND(ISNUMBER(_xlpm.q),_xlpm.q&gt;0,ISNUMBER(_xlpm.r),ISNUMBER(_xlpm.d),_xlpm.d&gt;=0,_xlpm.d&lt;1),
      _xlpm.r/(_xlpm.q*(1-_xlpm.d)),
      ""
   )
)
)</f>
        <v>38.1</v>
      </c>
      <c r="I117" s="5">
        <f>_xlfn.LET(
_xlpm.q,RawData!G117,
_xlpm.u,RawData!H117,
_xlpm.d,RawData!I117,
_xlpm.r,RawData!J117,
IF(AND(ISNUMBER(_xlpm.d),_xlpm.d&gt;=0,_xlpm.d&lt;1),_xlpm.d,
   IF(AND(ISNUMBER(_xlpm.q),_xlpm.q&gt;0,ISNUMBER(_xlpm.u),_xlpm.u&gt;0,ISNUMBER(_xlpm.r),_xlpm.r&gt;=0),
      1-(_xlpm.r/(_xlpm.q*_xlpm.u)),
      ""
   )
)
)</f>
        <v>0</v>
      </c>
      <c r="J117" s="4">
        <f>_xlfn.LET(
_xlpm.q,RawData!G117,
_xlpm.u,RawData!H117,
_xlpm.d,RawData!I117,
_xlpm.r,RawData!J117,
IF(AND(ISNUMBER(_xlpm.r),_xlpm.r&gt;=0),_xlpm.r,
   IF(AND(ISNUMBER(_xlpm.q),_xlpm.q&gt;0,ISNUMBER(_xlpm.u),_xlpm.u&gt;0,ISNUMBER(_xlpm.d),_xlpm.d&gt;=0,_xlpm.d&lt;1),
      _xlpm.q*_xlpm.u*(1-_xlpm.d),
      ""
   )
)
)</f>
        <v>342.9</v>
      </c>
      <c r="K117" s="4">
        <f>_xlfn.LET(
_xlpm.c,RawData!K117,
_xlpm.r,RawData!J117,
_xlpm.p,RawData!L117,
IF(AND(ISNUMBER(_xlpm.c),_xlpm.c&gt;=0),_xlpm.c,
   IF(AND(ISNUMBER(_xlpm.r),ISNUMBER(_xlpm.p)),
      _xlpm.r-_xlpm.p,
      ""
   )
)
)</f>
        <v>235.13</v>
      </c>
      <c r="L117" s="4">
        <f>_xlfn.LET(
_xlpm.p,RawData!L117,
_xlpm.r,RawData!J117,
_xlpm.c,RawData!K117,
IF(ISNUMBER(_xlpm.p),_xlpm.p,
IF(AND(ISNUMBER(_xlpm.r),ISNUMBER(_xlpm.c)),
_xlpm.r-_xlpm.c,
""
)
))</f>
        <v>107.77</v>
      </c>
    </row>
    <row r="118" spans="1:12" x14ac:dyDescent="0.35">
      <c r="A118" t="s">
        <v>152</v>
      </c>
      <c r="B118" s="7">
        <v>45772</v>
      </c>
      <c r="C118" t="str">
        <f>IF(RawData!C118="","Unknown",PROPER(TRIM(CLEAN(SUBSTITUTE(RawData!C118,CHAR(160)," ")))))</f>
        <v>North</v>
      </c>
      <c r="D118" t="str">
        <f>IF(RawData!D118="","Unknown",PROPER(TRIM(CLEAN(SUBSTITUTE(RawData!D118,CHAR(160)," ")))))</f>
        <v>Delhi</v>
      </c>
      <c r="E118" t="str">
        <f>IF(RawData!E118="","Unknown",PROPER(TRIM(CLEAN(SUBSTITUTE(RawData!E118,CHAR(160)," ")))))</f>
        <v>Backpack</v>
      </c>
      <c r="F118" t="str">
        <f>IF(RawData!F118="","Unknown",PROPER(TRIM(CLEAN(SUBSTITUTE(RawData!F118,CHAR(160)," ")))))</f>
        <v>Accessories</v>
      </c>
      <c r="G118">
        <f>_xlfn.LET(
_xlpm.q,RawData!G118,
_xlpm.u,RawData!H118,
_xlpm.d,RawData!I118,
_xlpm.r,RawData!J118,
IF(AND(ISNUMBER(_xlpm.q),_xlpm.q&gt;0),_xlpm.q,
   IF(AND(ISNUMBER(_xlpm.r),ISNUMBER(_xlpm.u),_xlpm.u&gt;0,ISNUMBER(_xlpm.d),_xlpm.d&gt;=0,_xlpm.d&lt;1),
      ROUND(_xlpm.r/(_xlpm.u*(1-_xlpm.d)),0),
      ""
   )
)
)</f>
        <v>1</v>
      </c>
      <c r="H118" s="4">
        <f>_xlfn.LET(
_xlpm.q,RawData!G118,
_xlpm.u,RawData!H118,
_xlpm.d,RawData!I118,
_xlpm.r,RawData!J118,
IF(AND(ISNUMBER(_xlpm.u),_xlpm.u&gt;0),_xlpm.u,
   IF(AND(ISNUMBER(_xlpm.q),_xlpm.q&gt;0,ISNUMBER(_xlpm.r),ISNUMBER(_xlpm.d),_xlpm.d&gt;=0,_xlpm.d&lt;1),
      _xlpm.r/(_xlpm.q*(1-_xlpm.d)),
      ""
   )
)
)</f>
        <v>46.04</v>
      </c>
      <c r="I118" s="5">
        <f>_xlfn.LET(
_xlpm.q,RawData!G118,
_xlpm.u,RawData!H118,
_xlpm.d,RawData!I118,
_xlpm.r,RawData!J118,
IF(AND(ISNUMBER(_xlpm.d),_xlpm.d&gt;=0,_xlpm.d&lt;1),_xlpm.d,
   IF(AND(ISNUMBER(_xlpm.q),_xlpm.q&gt;0,ISNUMBER(_xlpm.u),_xlpm.u&gt;0,ISNUMBER(_xlpm.r),_xlpm.r&gt;=0),
      1-(_xlpm.r/(_xlpm.q*_xlpm.u)),
      ""
   )
)
)</f>
        <v>0</v>
      </c>
      <c r="J118" s="4">
        <f>_xlfn.LET(
_xlpm.q,RawData!G118,
_xlpm.u,RawData!H118,
_xlpm.d,RawData!I118,
_xlpm.r,RawData!J118,
IF(AND(ISNUMBER(_xlpm.r),_xlpm.r&gt;=0),_xlpm.r,
   IF(AND(ISNUMBER(_xlpm.q),_xlpm.q&gt;0,ISNUMBER(_xlpm.u),_xlpm.u&gt;0,ISNUMBER(_xlpm.d),_xlpm.d&gt;=0,_xlpm.d&lt;1),
      _xlpm.q*_xlpm.u*(1-_xlpm.d),
      ""
   )
)
)</f>
        <v>46.04</v>
      </c>
      <c r="K118" s="4">
        <f>_xlfn.LET(
_xlpm.c,RawData!K118,
_xlpm.r,RawData!J118,
_xlpm.p,RawData!L118,
IF(AND(ISNUMBER(_xlpm.c),_xlpm.c&gt;=0),_xlpm.c,
   IF(AND(ISNUMBER(_xlpm.r),ISNUMBER(_xlpm.p)),
      _xlpm.r-_xlpm.p,
      ""
   )
)
)</f>
        <v>31.44</v>
      </c>
      <c r="L118" s="4">
        <f>_xlfn.LET(
_xlpm.p,RawData!L118,
_xlpm.r,RawData!J118,
_xlpm.c,RawData!K118,
IF(ISNUMBER(_xlpm.p),_xlpm.p,
IF(AND(ISNUMBER(_xlpm.r),ISNUMBER(_xlpm.c)),
_xlpm.r-_xlpm.c,
""
)
))</f>
        <v>14.6</v>
      </c>
    </row>
    <row r="119" spans="1:12" x14ac:dyDescent="0.35">
      <c r="A119" t="s">
        <v>153</v>
      </c>
      <c r="B119" s="7">
        <v>45760</v>
      </c>
      <c r="C119" t="str">
        <f>IF(RawData!C119="","Unknown",PROPER(TRIM(CLEAN(SUBSTITUTE(RawData!C119,CHAR(160)," ")))))</f>
        <v>North</v>
      </c>
      <c r="D119" t="str">
        <f>IF(RawData!D119="","Unknown",PROPER(TRIM(CLEAN(SUBSTITUTE(RawData!D119,CHAR(160)," ")))))</f>
        <v>Delhi</v>
      </c>
      <c r="E119" t="str">
        <f>IF(RawData!E119="","Unknown",PROPER(TRIM(CLEAN(SUBSTITUTE(RawData!E119,CHAR(160)," ")))))</f>
        <v>Pen Set</v>
      </c>
      <c r="F119" t="str">
        <f>IF(RawData!F119="","Unknown",PROPER(TRIM(CLEAN(SUBSTITUTE(RawData!F119,CHAR(160)," ")))))</f>
        <v>Electronics</v>
      </c>
      <c r="G119">
        <f>_xlfn.LET(
_xlpm.q,RawData!G119,
_xlpm.u,RawData!H119,
_xlpm.d,RawData!I119,
_xlpm.r,RawData!J119,
IF(AND(ISNUMBER(_xlpm.q),_xlpm.q&gt;0),_xlpm.q,
   IF(AND(ISNUMBER(_xlpm.r),ISNUMBER(_xlpm.u),_xlpm.u&gt;0,ISNUMBER(_xlpm.d),_xlpm.d&gt;=0,_xlpm.d&lt;1),
      ROUND(_xlpm.r/(_xlpm.u*(1-_xlpm.d)),0),
      ""
   )
)
)</f>
        <v>3</v>
      </c>
      <c r="H119" s="4">
        <f>_xlfn.LET(
_xlpm.q,RawData!G119,
_xlpm.u,RawData!H119,
_xlpm.d,RawData!I119,
_xlpm.r,RawData!J119,
IF(AND(ISNUMBER(_xlpm.u),_xlpm.u&gt;0),_xlpm.u,
   IF(AND(ISNUMBER(_xlpm.q),_xlpm.q&gt;0,ISNUMBER(_xlpm.r),ISNUMBER(_xlpm.d),_xlpm.d&gt;=0,_xlpm.d&lt;1),
      _xlpm.r/(_xlpm.q*(1-_xlpm.d)),
      ""
   )
)
)</f>
        <v>10.9</v>
      </c>
      <c r="I119" s="5">
        <f>_xlfn.LET(
_xlpm.q,RawData!G119,
_xlpm.u,RawData!H119,
_xlpm.d,RawData!I119,
_xlpm.r,RawData!J119,
IF(AND(ISNUMBER(_xlpm.d),_xlpm.d&gt;=0,_xlpm.d&lt;1),_xlpm.d,
   IF(AND(ISNUMBER(_xlpm.q),_xlpm.q&gt;0,ISNUMBER(_xlpm.u),_xlpm.u&gt;0,ISNUMBER(_xlpm.r),_xlpm.r&gt;=0),
      1-(_xlpm.r/(_xlpm.q*_xlpm.u)),
      ""
   )
)
)</f>
        <v>0.02</v>
      </c>
      <c r="J119" s="4">
        <f>_xlfn.LET(
_xlpm.q,RawData!G119,
_xlpm.u,RawData!H119,
_xlpm.d,RawData!I119,
_xlpm.r,RawData!J119,
IF(AND(ISNUMBER(_xlpm.r),_xlpm.r&gt;=0),_xlpm.r,
   IF(AND(ISNUMBER(_xlpm.q),_xlpm.q&gt;0,ISNUMBER(_xlpm.u),_xlpm.u&gt;0,ISNUMBER(_xlpm.d),_xlpm.d&gt;=0,_xlpm.d&lt;1),
      _xlpm.q*_xlpm.u*(1-_xlpm.d),
      ""
   )
)
)</f>
        <v>32.049999999999997</v>
      </c>
      <c r="K119" s="4">
        <f>_xlfn.LET(
_xlpm.c,RawData!K119,
_xlpm.r,RawData!J119,
_xlpm.p,RawData!L119,
IF(AND(ISNUMBER(_xlpm.c),_xlpm.c&gt;=0),_xlpm.c,
   IF(AND(ISNUMBER(_xlpm.r),ISNUMBER(_xlpm.p)),
      _xlpm.r-_xlpm.p,
      ""
   )
)
)</f>
        <v>23.88</v>
      </c>
      <c r="L119" s="4">
        <f>_xlfn.LET(
_xlpm.p,RawData!L119,
_xlpm.r,RawData!J119,
_xlpm.c,RawData!K119,
IF(ISNUMBER(_xlpm.p),_xlpm.p,
IF(AND(ISNUMBER(_xlpm.r),ISNUMBER(_xlpm.c)),
_xlpm.r-_xlpm.c,
""
)
))</f>
        <v>8.17</v>
      </c>
    </row>
    <row r="120" spans="1:12" x14ac:dyDescent="0.35">
      <c r="A120" t="s">
        <v>155</v>
      </c>
      <c r="B120" s="7">
        <v>45900</v>
      </c>
      <c r="C120" t="str">
        <f>IF(RawData!C120="","Unknown",PROPER(TRIM(CLEAN(SUBSTITUTE(RawData!C120,CHAR(160)," ")))))</f>
        <v>North</v>
      </c>
      <c r="D120" t="str">
        <f>IF(RawData!D120="","Unknown",PROPER(TRIM(CLEAN(SUBSTITUTE(RawData!D120,CHAR(160)," ")))))</f>
        <v>Lucknow</v>
      </c>
      <c r="E120" t="str">
        <f>IF(RawData!E120="","Unknown",PROPER(TRIM(CLEAN(SUBSTITUTE(RawData!E120,CHAR(160)," ")))))</f>
        <v>Pen Set</v>
      </c>
      <c r="F120" t="str">
        <f>IF(RawData!F120="","Unknown",PROPER(TRIM(CLEAN(SUBSTITUTE(RawData!F120,CHAR(160)," ")))))</f>
        <v>Office Supplies</v>
      </c>
      <c r="G120">
        <f>_xlfn.LET(
_xlpm.q,RawData!G120,
_xlpm.u,RawData!H120,
_xlpm.d,RawData!I120,
_xlpm.r,RawData!J120,
IF(AND(ISNUMBER(_xlpm.q),_xlpm.q&gt;0),_xlpm.q,
   IF(AND(ISNUMBER(_xlpm.r),ISNUMBER(_xlpm.u),_xlpm.u&gt;0,ISNUMBER(_xlpm.d),_xlpm.d&gt;=0,_xlpm.d&lt;1),
      ROUND(_xlpm.r/(_xlpm.u*(1-_xlpm.d)),0),
      ""
   )
)
)</f>
        <v>4</v>
      </c>
      <c r="H120" s="4">
        <f>_xlfn.LET(
_xlpm.q,RawData!G120,
_xlpm.u,RawData!H120,
_xlpm.d,RawData!I120,
_xlpm.r,RawData!J120,
IF(AND(ISNUMBER(_xlpm.u),_xlpm.u&gt;0),_xlpm.u,
   IF(AND(ISNUMBER(_xlpm.q),_xlpm.q&gt;0,ISNUMBER(_xlpm.r),ISNUMBER(_xlpm.d),_xlpm.d&gt;=0,_xlpm.d&lt;1),
      _xlpm.r/(_xlpm.q*(1-_xlpm.d)),
      ""
   )
)
)</f>
        <v>11.21</v>
      </c>
      <c r="I120" s="5">
        <f>_xlfn.LET(
_xlpm.q,RawData!G120,
_xlpm.u,RawData!H120,
_xlpm.d,RawData!I120,
_xlpm.r,RawData!J120,
IF(AND(ISNUMBER(_xlpm.d),_xlpm.d&gt;=0,_xlpm.d&lt;1),_xlpm.d,
   IF(AND(ISNUMBER(_xlpm.q),_xlpm.q&gt;0,ISNUMBER(_xlpm.u),_xlpm.u&gt;0,ISNUMBER(_xlpm.r),_xlpm.r&gt;=0),
      1-(_xlpm.r/(_xlpm.q*_xlpm.u)),
      ""
   )
)
)</f>
        <v>0.1</v>
      </c>
      <c r="J120" s="4">
        <f>_xlfn.LET(
_xlpm.q,RawData!G120,
_xlpm.u,RawData!H120,
_xlpm.d,RawData!I120,
_xlpm.r,RawData!J120,
IF(AND(ISNUMBER(_xlpm.r),_xlpm.r&gt;=0),_xlpm.r,
   IF(AND(ISNUMBER(_xlpm.q),_xlpm.q&gt;0,ISNUMBER(_xlpm.u),_xlpm.u&gt;0,ISNUMBER(_xlpm.d),_xlpm.d&gt;=0,_xlpm.d&lt;1),
      _xlpm.q*_xlpm.u*(1-_xlpm.d),
      ""
   )
)
)</f>
        <v>40.36</v>
      </c>
      <c r="K120" s="4">
        <f>_xlfn.LET(
_xlpm.c,RawData!K120,
_xlpm.r,RawData!J120,
_xlpm.p,RawData!L120,
IF(AND(ISNUMBER(_xlpm.c),_xlpm.c&gt;=0),_xlpm.c,
   IF(AND(ISNUMBER(_xlpm.r),ISNUMBER(_xlpm.p)),
      _xlpm.r-_xlpm.p,
      ""
   )
)
)</f>
        <v>22.46</v>
      </c>
      <c r="L120" s="4">
        <f>_xlfn.LET(
_xlpm.p,RawData!L120,
_xlpm.r,RawData!J120,
_xlpm.c,RawData!K120,
IF(ISNUMBER(_xlpm.p),_xlpm.p,
IF(AND(ISNUMBER(_xlpm.r),ISNUMBER(_xlpm.c)),
_xlpm.r-_xlpm.c,
""
)
))</f>
        <v>17.899999999999999</v>
      </c>
    </row>
    <row r="121" spans="1:12" x14ac:dyDescent="0.35">
      <c r="A121" t="s">
        <v>156</v>
      </c>
      <c r="B121" s="7">
        <v>45789</v>
      </c>
      <c r="C121" t="str">
        <f>IF(RawData!C121="","Unknown",PROPER(TRIM(CLEAN(SUBSTITUTE(RawData!C121,CHAR(160)," ")))))</f>
        <v>East</v>
      </c>
      <c r="D121" t="str">
        <f>IF(RawData!D121="","Unknown",PROPER(TRIM(CLEAN(SUBSTITUTE(RawData!D121,CHAR(160)," ")))))</f>
        <v>Patna</v>
      </c>
      <c r="E121" t="str">
        <f>IF(RawData!E121="","Unknown",PROPER(TRIM(CLEAN(SUBSTITUTE(RawData!E121,CHAR(160)," ")))))</f>
        <v>Headphones</v>
      </c>
      <c r="F121" t="str">
        <f>IF(RawData!F121="","Unknown",PROPER(TRIM(CLEAN(SUBSTITUTE(RawData!F121,CHAR(160)," ")))))</f>
        <v>Electronics</v>
      </c>
      <c r="G121">
        <f>_xlfn.LET(
_xlpm.q,RawData!G121,
_xlpm.u,RawData!H121,
_xlpm.d,RawData!I121,
_xlpm.r,RawData!J121,
IF(AND(ISNUMBER(_xlpm.q),_xlpm.q&gt;0),_xlpm.q,
   IF(AND(ISNUMBER(_xlpm.r),ISNUMBER(_xlpm.u),_xlpm.u&gt;0,ISNUMBER(_xlpm.d),_xlpm.d&gt;=0,_xlpm.d&lt;1),
      ROUND(_xlpm.r/(_xlpm.u*(1-_xlpm.d)),0),
      ""
   )
)
)</f>
        <v>10</v>
      </c>
      <c r="H121" s="4">
        <f>_xlfn.LET(
_xlpm.q,RawData!G121,
_xlpm.u,RawData!H121,
_xlpm.d,RawData!I121,
_xlpm.r,RawData!J121,
IF(AND(ISNUMBER(_xlpm.u),_xlpm.u&gt;0),_xlpm.u,
   IF(AND(ISNUMBER(_xlpm.q),_xlpm.q&gt;0,ISNUMBER(_xlpm.r),ISNUMBER(_xlpm.d),_xlpm.d&gt;=0,_xlpm.d&lt;1),
      _xlpm.r/(_xlpm.q*(1-_xlpm.d)),
      ""
   )
)
)</f>
        <v>83.49</v>
      </c>
      <c r="I121" s="5">
        <f>_xlfn.LET(
_xlpm.q,RawData!G121,
_xlpm.u,RawData!H121,
_xlpm.d,RawData!I121,
_xlpm.r,RawData!J121,
IF(AND(ISNUMBER(_xlpm.d),_xlpm.d&gt;=0,_xlpm.d&lt;1),_xlpm.d,
   IF(AND(ISNUMBER(_xlpm.q),_xlpm.q&gt;0,ISNUMBER(_xlpm.u),_xlpm.u&gt;0,ISNUMBER(_xlpm.r),_xlpm.r&gt;=0),
      1-(_xlpm.r/(_xlpm.q*_xlpm.u)),
      ""
   )
)
)</f>
        <v>0.15</v>
      </c>
      <c r="J121" s="4">
        <f>_xlfn.LET(
_xlpm.q,RawData!G121,
_xlpm.u,RawData!H121,
_xlpm.d,RawData!I121,
_xlpm.r,RawData!J121,
IF(AND(ISNUMBER(_xlpm.r),_xlpm.r&gt;=0),_xlpm.r,
   IF(AND(ISNUMBER(_xlpm.q),_xlpm.q&gt;0,ISNUMBER(_xlpm.u),_xlpm.u&gt;0,ISNUMBER(_xlpm.d),_xlpm.d&gt;=0,_xlpm.d&lt;1),
      _xlpm.q*_xlpm.u*(1-_xlpm.d),
      ""
   )
)
)</f>
        <v>709.66</v>
      </c>
      <c r="K121" s="4">
        <f>_xlfn.LET(
_xlpm.c,RawData!K121,
_xlpm.r,RawData!J121,
_xlpm.p,RawData!L121,
IF(AND(ISNUMBER(_xlpm.c),_xlpm.c&gt;=0),_xlpm.c,
   IF(AND(ISNUMBER(_xlpm.r),ISNUMBER(_xlpm.p)),
      _xlpm.r-_xlpm.p,
      ""
   )
)
)</f>
        <v>424.25</v>
      </c>
      <c r="L121" s="4">
        <f>_xlfn.LET(
_xlpm.p,RawData!L121,
_xlpm.r,RawData!J121,
_xlpm.c,RawData!K121,
IF(ISNUMBER(_xlpm.p),_xlpm.p,
IF(AND(ISNUMBER(_xlpm.r),ISNUMBER(_xlpm.c)),
_xlpm.r-_xlpm.c,
""
)
))</f>
        <v>285.41000000000003</v>
      </c>
    </row>
    <row r="122" spans="1:12" x14ac:dyDescent="0.35">
      <c r="A122" t="s">
        <v>157</v>
      </c>
      <c r="B122" s="7">
        <v>45716</v>
      </c>
      <c r="C122" t="str">
        <f>IF(RawData!C122="","Unknown",PROPER(TRIM(CLEAN(SUBSTITUTE(RawData!C122,CHAR(160)," ")))))</f>
        <v>South</v>
      </c>
      <c r="D122" t="str">
        <f>IF(RawData!D122="","Unknown",PROPER(TRIM(CLEAN(SUBSTITUTE(RawData!D122,CHAR(160)," ")))))</f>
        <v>Hyderabad</v>
      </c>
      <c r="E122" t="str">
        <f>IF(RawData!E122="","Unknown",PROPER(TRIM(CLEAN(SUBSTITUTE(RawData!E122,CHAR(160)," ")))))</f>
        <v>Office Chair</v>
      </c>
      <c r="F122" t="str">
        <f>IF(RawData!F122="","Unknown",PROPER(TRIM(CLEAN(SUBSTITUTE(RawData!F122,CHAR(160)," ")))))</f>
        <v>Furniture</v>
      </c>
      <c r="G122">
        <f>_xlfn.LET(
_xlpm.q,RawData!G122,
_xlpm.u,RawData!H122,
_xlpm.d,RawData!I122,
_xlpm.r,RawData!J122,
IF(AND(ISNUMBER(_xlpm.q),_xlpm.q&gt;0),_xlpm.q,
   IF(AND(ISNUMBER(_xlpm.r),ISNUMBER(_xlpm.u),_xlpm.u&gt;0,ISNUMBER(_xlpm.d),_xlpm.d&gt;=0,_xlpm.d&lt;1),
      ROUND(_xlpm.r/(_xlpm.u*(1-_xlpm.d)),0),
      ""
   )
)
)</f>
        <v>2</v>
      </c>
      <c r="H122" s="4">
        <f>_xlfn.LET(
_xlpm.q,RawData!G122,
_xlpm.u,RawData!H122,
_xlpm.d,RawData!I122,
_xlpm.r,RawData!J122,
IF(AND(ISNUMBER(_xlpm.u),_xlpm.u&gt;0),_xlpm.u,
   IF(AND(ISNUMBER(_xlpm.q),_xlpm.q&gt;0,ISNUMBER(_xlpm.r),ISNUMBER(_xlpm.d),_xlpm.d&gt;=0,_xlpm.d&lt;1),
      _xlpm.r/(_xlpm.q*(1-_xlpm.d)),
      ""
   )
)
)</f>
        <v>203.78</v>
      </c>
      <c r="I122" s="5">
        <f>_xlfn.LET(
_xlpm.q,RawData!G122,
_xlpm.u,RawData!H122,
_xlpm.d,RawData!I122,
_xlpm.r,RawData!J122,
IF(AND(ISNUMBER(_xlpm.d),_xlpm.d&gt;=0,_xlpm.d&lt;1),_xlpm.d,
   IF(AND(ISNUMBER(_xlpm.q),_xlpm.q&gt;0,ISNUMBER(_xlpm.u),_xlpm.u&gt;0,ISNUMBER(_xlpm.r),_xlpm.r&gt;=0),
      1-(_xlpm.r/(_xlpm.q*_xlpm.u)),
      ""
   )
)
)</f>
        <v>0.15</v>
      </c>
      <c r="J122" s="4">
        <f>_xlfn.LET(
_xlpm.q,RawData!G122,
_xlpm.u,RawData!H122,
_xlpm.d,RawData!I122,
_xlpm.r,RawData!J122,
IF(AND(ISNUMBER(_xlpm.r),_xlpm.r&gt;=0),_xlpm.r,
   IF(AND(ISNUMBER(_xlpm.q),_xlpm.q&gt;0,ISNUMBER(_xlpm.u),_xlpm.u&gt;0,ISNUMBER(_xlpm.d),_xlpm.d&gt;=0,_xlpm.d&lt;1),
      _xlpm.q*_xlpm.u*(1-_xlpm.d),
      ""
   )
)
)</f>
        <v>346.43</v>
      </c>
      <c r="K122" s="4">
        <f>_xlfn.LET(
_xlpm.c,RawData!K122,
_xlpm.r,RawData!J122,
_xlpm.p,RawData!L122,
IF(AND(ISNUMBER(_xlpm.c),_xlpm.c&gt;=0),_xlpm.c,
   IF(AND(ISNUMBER(_xlpm.r),ISNUMBER(_xlpm.p)),
      _xlpm.r-_xlpm.p,
      ""
   )
)
)</f>
        <v>279.76</v>
      </c>
      <c r="L122" s="4">
        <f>_xlfn.LET(
_xlpm.p,RawData!L122,
_xlpm.r,RawData!J122,
_xlpm.c,RawData!K122,
IF(ISNUMBER(_xlpm.p),_xlpm.p,
IF(AND(ISNUMBER(_xlpm.r),ISNUMBER(_xlpm.c)),
_xlpm.r-_xlpm.c,
""
)
))</f>
        <v>66.67</v>
      </c>
    </row>
    <row r="123" spans="1:12" x14ac:dyDescent="0.35">
      <c r="A123" t="s">
        <v>158</v>
      </c>
      <c r="B123" s="7">
        <v>45817</v>
      </c>
      <c r="C123" t="str">
        <f>IF(RawData!C123="","Unknown",PROPER(TRIM(CLEAN(SUBSTITUTE(RawData!C123,CHAR(160)," ")))))</f>
        <v>West</v>
      </c>
      <c r="D123" t="str">
        <f>IF(RawData!D123="","Unknown",PROPER(TRIM(CLEAN(SUBSTITUTE(RawData!D123,CHAR(160)," ")))))</f>
        <v>Ahmedabad</v>
      </c>
      <c r="E123" t="str">
        <f>IF(RawData!E123="","Unknown",PROPER(TRIM(CLEAN(SUBSTITUTE(RawData!E123,CHAR(160)," ")))))</f>
        <v>Bookshelf</v>
      </c>
      <c r="F123" t="str">
        <f>IF(RawData!F123="","Unknown",PROPER(TRIM(CLEAN(SUBSTITUTE(RawData!F123,CHAR(160)," ")))))</f>
        <v>Furniture</v>
      </c>
      <c r="G123">
        <f>_xlfn.LET(
_xlpm.q,RawData!G123,
_xlpm.u,RawData!H123,
_xlpm.d,RawData!I123,
_xlpm.r,RawData!J123,
IF(AND(ISNUMBER(_xlpm.q),_xlpm.q&gt;0),_xlpm.q,
   IF(AND(ISNUMBER(_xlpm.r),ISNUMBER(_xlpm.u),_xlpm.u&gt;0,ISNUMBER(_xlpm.d),_xlpm.d&gt;=0,_xlpm.d&lt;1),
      ROUND(_xlpm.r/(_xlpm.u*(1-_xlpm.d)),0),
      ""
   )
)
)</f>
        <v>4</v>
      </c>
      <c r="H123" s="4">
        <f>_xlfn.LET(
_xlpm.q,RawData!G123,
_xlpm.u,RawData!H123,
_xlpm.d,RawData!I123,
_xlpm.r,RawData!J123,
IF(AND(ISNUMBER(_xlpm.u),_xlpm.u&gt;0),_xlpm.u,
   IF(AND(ISNUMBER(_xlpm.q),_xlpm.q&gt;0,ISNUMBER(_xlpm.r),ISNUMBER(_xlpm.d),_xlpm.d&gt;=0,_xlpm.d&lt;1),
      _xlpm.r/(_xlpm.q*(1-_xlpm.d)),
      ""
   )
)
)</f>
        <v>157.41999999999999</v>
      </c>
      <c r="I123" s="5">
        <f>_xlfn.LET(
_xlpm.q,RawData!G123,
_xlpm.u,RawData!H123,
_xlpm.d,RawData!I123,
_xlpm.r,RawData!J123,
IF(AND(ISNUMBER(_xlpm.d),_xlpm.d&gt;=0,_xlpm.d&lt;1),_xlpm.d,
   IF(AND(ISNUMBER(_xlpm.q),_xlpm.q&gt;0,ISNUMBER(_xlpm.u),_xlpm.u&gt;0,ISNUMBER(_xlpm.r),_xlpm.r&gt;=0),
      1-(_xlpm.r/(_xlpm.q*_xlpm.u)),
      ""
   )
)
)</f>
        <v>0</v>
      </c>
      <c r="J123" s="4">
        <f>_xlfn.LET(
_xlpm.q,RawData!G123,
_xlpm.u,RawData!H123,
_xlpm.d,RawData!I123,
_xlpm.r,RawData!J123,
IF(AND(ISNUMBER(_xlpm.r),_xlpm.r&gt;=0),_xlpm.r,
   IF(AND(ISNUMBER(_xlpm.q),_xlpm.q&gt;0,ISNUMBER(_xlpm.u),_xlpm.u&gt;0,ISNUMBER(_xlpm.d),_xlpm.d&gt;=0,_xlpm.d&lt;1),
      _xlpm.q*_xlpm.u*(1-_xlpm.d),
      ""
   )
)
)</f>
        <v>629.67999999999995</v>
      </c>
      <c r="K123" s="4">
        <f>_xlfn.LET(
_xlpm.c,RawData!K123,
_xlpm.r,RawData!J123,
_xlpm.p,RawData!L123,
IF(AND(ISNUMBER(_xlpm.c),_xlpm.c&gt;=0),_xlpm.c,
   IF(AND(ISNUMBER(_xlpm.r),ISNUMBER(_xlpm.p)),
      _xlpm.r-_xlpm.p,
      ""
   )
)
)</f>
        <v>409.26</v>
      </c>
      <c r="L123" s="4">
        <f>_xlfn.LET(
_xlpm.p,RawData!L123,
_xlpm.r,RawData!J123,
_xlpm.c,RawData!K123,
IF(ISNUMBER(_xlpm.p),_xlpm.p,
IF(AND(ISNUMBER(_xlpm.r),ISNUMBER(_xlpm.c)),
_xlpm.r-_xlpm.c,
""
)
))</f>
        <v>220.42</v>
      </c>
    </row>
    <row r="124" spans="1:12" x14ac:dyDescent="0.35">
      <c r="A124" t="s">
        <v>159</v>
      </c>
      <c r="B124" s="7">
        <v>46011</v>
      </c>
      <c r="C124" t="str">
        <f>IF(RawData!C124="","Unknown",PROPER(TRIM(CLEAN(SUBSTITUTE(RawData!C124,CHAR(160)," ")))))</f>
        <v>South</v>
      </c>
      <c r="D124" t="str">
        <f>IF(RawData!D124="","Unknown",PROPER(TRIM(CLEAN(SUBSTITUTE(RawData!D124,CHAR(160)," ")))))</f>
        <v>Bengaluru</v>
      </c>
      <c r="E124" t="str">
        <f>IF(RawData!E124="","Unknown",PROPER(TRIM(CLEAN(SUBSTITUTE(RawData!E124,CHAR(160)," ")))))</f>
        <v>Smartphone</v>
      </c>
      <c r="F124" t="str">
        <f>IF(RawData!F124="","Unknown",PROPER(TRIM(CLEAN(SUBSTITUTE(RawData!F124,CHAR(160)," ")))))</f>
        <v>Electronics</v>
      </c>
      <c r="G124">
        <f>_xlfn.LET(
_xlpm.q,RawData!G124,
_xlpm.u,RawData!H124,
_xlpm.d,RawData!I124,
_xlpm.r,RawData!J124,
IF(AND(ISNUMBER(_xlpm.q),_xlpm.q&gt;0),_xlpm.q,
   IF(AND(ISNUMBER(_xlpm.r),ISNUMBER(_xlpm.u),_xlpm.u&gt;0,ISNUMBER(_xlpm.d),_xlpm.d&gt;=0,_xlpm.d&lt;1),
      ROUND(_xlpm.r/(_xlpm.u*(1-_xlpm.d)),0),
      ""
   )
)
)</f>
        <v>5</v>
      </c>
      <c r="H124" s="4">
        <f>_xlfn.LET(
_xlpm.q,RawData!G124,
_xlpm.u,RawData!H124,
_xlpm.d,RawData!I124,
_xlpm.r,RawData!J124,
IF(AND(ISNUMBER(_xlpm.u),_xlpm.u&gt;0),_xlpm.u,
   IF(AND(ISNUMBER(_xlpm.q),_xlpm.q&gt;0,ISNUMBER(_xlpm.r),ISNUMBER(_xlpm.d),_xlpm.d&gt;=0,_xlpm.d&lt;1),
      _xlpm.r/(_xlpm.q*(1-_xlpm.d)),
      ""
   )
)
)</f>
        <v>470.05</v>
      </c>
      <c r="I124" s="5">
        <f>_xlfn.LET(
_xlpm.q,RawData!G124,
_xlpm.u,RawData!H124,
_xlpm.d,RawData!I124,
_xlpm.r,RawData!J124,
IF(AND(ISNUMBER(_xlpm.d),_xlpm.d&gt;=0,_xlpm.d&lt;1),_xlpm.d,
   IF(AND(ISNUMBER(_xlpm.q),_xlpm.q&gt;0,ISNUMBER(_xlpm.u),_xlpm.u&gt;0,ISNUMBER(_xlpm.r),_xlpm.r&gt;=0),
      1-(_xlpm.r/(_xlpm.q*_xlpm.u)),
      ""
   )
)
)</f>
        <v>0.2</v>
      </c>
      <c r="J124" s="4">
        <f>_xlfn.LET(
_xlpm.q,RawData!G124,
_xlpm.u,RawData!H124,
_xlpm.d,RawData!I124,
_xlpm.r,RawData!J124,
IF(AND(ISNUMBER(_xlpm.r),_xlpm.r&gt;=0),_xlpm.r,
   IF(AND(ISNUMBER(_xlpm.q),_xlpm.q&gt;0,ISNUMBER(_xlpm.u),_xlpm.u&gt;0,ISNUMBER(_xlpm.d),_xlpm.d&gt;=0,_xlpm.d&lt;1),
      _xlpm.q*_xlpm.u*(1-_xlpm.d),
      ""
   )
)
)</f>
        <v>1880.2</v>
      </c>
      <c r="K124" s="4">
        <f>_xlfn.LET(
_xlpm.c,RawData!K124,
_xlpm.r,RawData!J124,
_xlpm.p,RawData!L124,
IF(AND(ISNUMBER(_xlpm.c),_xlpm.c&gt;=0),_xlpm.c,
   IF(AND(ISNUMBER(_xlpm.r),ISNUMBER(_xlpm.p)),
      _xlpm.r-_xlpm.p,
      ""
   )
)
)</f>
        <v>1505.37</v>
      </c>
      <c r="L124" s="4">
        <f>_xlfn.LET(
_xlpm.p,RawData!L124,
_xlpm.r,RawData!J124,
_xlpm.c,RawData!K124,
IF(ISNUMBER(_xlpm.p),_xlpm.p,
IF(AND(ISNUMBER(_xlpm.r),ISNUMBER(_xlpm.c)),
_xlpm.r-_xlpm.c,
""
)
))</f>
        <v>374.83</v>
      </c>
    </row>
    <row r="125" spans="1:12" x14ac:dyDescent="0.35">
      <c r="A125" t="s">
        <v>160</v>
      </c>
      <c r="B125" s="7">
        <v>45719</v>
      </c>
      <c r="C125" t="str">
        <f>IF(RawData!C125="","Unknown",PROPER(TRIM(CLEAN(SUBSTITUTE(RawData!C125,CHAR(160)," ")))))</f>
        <v>North</v>
      </c>
      <c r="D125" t="str">
        <f>IF(RawData!D125="","Unknown",PROPER(TRIM(CLEAN(SUBSTITUTE(RawData!D125,CHAR(160)," ")))))</f>
        <v>Lucknow</v>
      </c>
      <c r="E125" t="str">
        <f>IF(RawData!E125="","Unknown",PROPER(TRIM(CLEAN(SUBSTITUTE(RawData!E125,CHAR(160)," ")))))</f>
        <v>Desk</v>
      </c>
      <c r="F125" t="str">
        <f>IF(RawData!F125="","Unknown",PROPER(TRIM(CLEAN(SUBSTITUTE(RawData!F125,CHAR(160)," ")))))</f>
        <v>Furniture</v>
      </c>
      <c r="G125">
        <f>_xlfn.LET(
_xlpm.q,RawData!G125,
_xlpm.u,RawData!H125,
_xlpm.d,RawData!I125,
_xlpm.r,RawData!J125,
IF(AND(ISNUMBER(_xlpm.q),_xlpm.q&gt;0),_xlpm.q,
   IF(AND(ISNUMBER(_xlpm.r),ISNUMBER(_xlpm.u),_xlpm.u&gt;0,ISNUMBER(_xlpm.d),_xlpm.d&gt;=0,_xlpm.d&lt;1),
      ROUND(_xlpm.r/(_xlpm.u*(1-_xlpm.d)),0),
      ""
   )
)
)</f>
        <v>9</v>
      </c>
      <c r="H125" s="4">
        <f>_xlfn.LET(
_xlpm.q,RawData!G125,
_xlpm.u,RawData!H125,
_xlpm.d,RawData!I125,
_xlpm.r,RawData!J125,
IF(AND(ISNUMBER(_xlpm.u),_xlpm.u&gt;0),_xlpm.u,
   IF(AND(ISNUMBER(_xlpm.q),_xlpm.q&gt;0,ISNUMBER(_xlpm.r),ISNUMBER(_xlpm.d),_xlpm.d&gt;=0,_xlpm.d&lt;1),
      _xlpm.r/(_xlpm.q*(1-_xlpm.d)),
      ""
   )
)
)</f>
        <v>244.61</v>
      </c>
      <c r="I125" s="5">
        <f>_xlfn.LET(
_xlpm.q,RawData!G125,
_xlpm.u,RawData!H125,
_xlpm.d,RawData!I125,
_xlpm.r,RawData!J125,
IF(AND(ISNUMBER(_xlpm.d),_xlpm.d&gt;=0,_xlpm.d&lt;1),_xlpm.d,
   IF(AND(ISNUMBER(_xlpm.q),_xlpm.q&gt;0,ISNUMBER(_xlpm.u),_xlpm.u&gt;0,ISNUMBER(_xlpm.r),_xlpm.r&gt;=0),
      1-(_xlpm.r/(_xlpm.q*_xlpm.u)),
      ""
   )
)
)</f>
        <v>0.1</v>
      </c>
      <c r="J125" s="4">
        <f>_xlfn.LET(
_xlpm.q,RawData!G125,
_xlpm.u,RawData!H125,
_xlpm.d,RawData!I125,
_xlpm.r,RawData!J125,
IF(AND(ISNUMBER(_xlpm.r),_xlpm.r&gt;=0),_xlpm.r,
   IF(AND(ISNUMBER(_xlpm.q),_xlpm.q&gt;0,ISNUMBER(_xlpm.u),_xlpm.u&gt;0,ISNUMBER(_xlpm.d),_xlpm.d&gt;=0,_xlpm.d&lt;1),
      _xlpm.q*_xlpm.u*(1-_xlpm.d),
      ""
   )
)
)</f>
        <v>1981.34</v>
      </c>
      <c r="K125" s="4">
        <f>_xlfn.LET(
_xlpm.c,RawData!K125,
_xlpm.r,RawData!J125,
_xlpm.p,RawData!L125,
IF(AND(ISNUMBER(_xlpm.c),_xlpm.c&gt;=0),_xlpm.c,
   IF(AND(ISNUMBER(_xlpm.r),ISNUMBER(_xlpm.p)),
      _xlpm.r-_xlpm.p,
      ""
   )
)
)</f>
        <v>1606.86</v>
      </c>
      <c r="L125" s="4">
        <f>_xlfn.LET(
_xlpm.p,RawData!L125,
_xlpm.r,RawData!J125,
_xlpm.c,RawData!K125,
IF(ISNUMBER(_xlpm.p),_xlpm.p,
IF(AND(ISNUMBER(_xlpm.r),ISNUMBER(_xlpm.c)),
_xlpm.r-_xlpm.c,
""
)
))</f>
        <v>374.48</v>
      </c>
    </row>
    <row r="126" spans="1:12" x14ac:dyDescent="0.35">
      <c r="A126" t="s">
        <v>161</v>
      </c>
      <c r="B126" s="7">
        <v>45847</v>
      </c>
      <c r="C126" t="str">
        <f>IF(RawData!C126="","Unknown",PROPER(TRIM(CLEAN(SUBSTITUTE(RawData!C126,CHAR(160)," ")))))</f>
        <v>North</v>
      </c>
      <c r="D126" t="str">
        <f>IF(RawData!D126="","Unknown",PROPER(TRIM(CLEAN(SUBSTITUTE(RawData!D126,CHAR(160)," ")))))</f>
        <v>Jaipur</v>
      </c>
      <c r="E126" t="str">
        <f>IF(RawData!E126="","Unknown",PROPER(TRIM(CLEAN(SUBSTITUTE(RawData!E126,CHAR(160)," ")))))</f>
        <v>Notebook</v>
      </c>
      <c r="F126" t="str">
        <f>IF(RawData!F126="","Unknown",PROPER(TRIM(CLEAN(SUBSTITUTE(RawData!F126,CHAR(160)," ")))))</f>
        <v>Office Supplies</v>
      </c>
      <c r="G126">
        <f>_xlfn.LET(
_xlpm.q,RawData!G126,
_xlpm.u,RawData!H126,
_xlpm.d,RawData!I126,
_xlpm.r,RawData!J126,
IF(AND(ISNUMBER(_xlpm.q),_xlpm.q&gt;0),_xlpm.q,
   IF(AND(ISNUMBER(_xlpm.r),ISNUMBER(_xlpm.u),_xlpm.u&gt;0,ISNUMBER(_xlpm.d),_xlpm.d&gt;=0,_xlpm.d&lt;1),
      ROUND(_xlpm.r/(_xlpm.u*(1-_xlpm.d)),0),
      ""
   )
)
)</f>
        <v>6</v>
      </c>
      <c r="H126" s="4">
        <f>_xlfn.LET(
_xlpm.q,RawData!G126,
_xlpm.u,RawData!H126,
_xlpm.d,RawData!I126,
_xlpm.r,RawData!J126,
IF(AND(ISNUMBER(_xlpm.u),_xlpm.u&gt;0),_xlpm.u,
   IF(AND(ISNUMBER(_xlpm.q),_xlpm.q&gt;0,ISNUMBER(_xlpm.r),ISNUMBER(_xlpm.d),_xlpm.d&gt;=0,_xlpm.d&lt;1),
      _xlpm.r/(_xlpm.q*(1-_xlpm.d)),
      ""
   )
)
)</f>
        <v>9.11</v>
      </c>
      <c r="I126" s="5">
        <f>_xlfn.LET(
_xlpm.q,RawData!G126,
_xlpm.u,RawData!H126,
_xlpm.d,RawData!I126,
_xlpm.r,RawData!J126,
IF(AND(ISNUMBER(_xlpm.d),_xlpm.d&gt;=0,_xlpm.d&lt;1),_xlpm.d,
   IF(AND(ISNUMBER(_xlpm.q),_xlpm.q&gt;0,ISNUMBER(_xlpm.u),_xlpm.u&gt;0,ISNUMBER(_xlpm.r),_xlpm.r&gt;=0),
      1-(_xlpm.r/(_xlpm.q*_xlpm.u)),
      ""
   )
)
)</f>
        <v>0</v>
      </c>
      <c r="J126" s="4">
        <f>_xlfn.LET(
_xlpm.q,RawData!G126,
_xlpm.u,RawData!H126,
_xlpm.d,RawData!I126,
_xlpm.r,RawData!J126,
IF(AND(ISNUMBER(_xlpm.r),_xlpm.r&gt;=0),_xlpm.r,
   IF(AND(ISNUMBER(_xlpm.q),_xlpm.q&gt;0,ISNUMBER(_xlpm.u),_xlpm.u&gt;0,ISNUMBER(_xlpm.d),_xlpm.d&gt;=0,_xlpm.d&lt;1),
      _xlpm.q*_xlpm.u*(1-_xlpm.d),
      ""
   )
)
)</f>
        <v>54.66</v>
      </c>
      <c r="K126" s="4">
        <f>_xlfn.LET(
_xlpm.c,RawData!K126,
_xlpm.r,RawData!J126,
_xlpm.p,RawData!L126,
IF(AND(ISNUMBER(_xlpm.c),_xlpm.c&gt;=0),_xlpm.c,
   IF(AND(ISNUMBER(_xlpm.r),ISNUMBER(_xlpm.p)),
      _xlpm.r-_xlpm.p,
      ""
   )
)
)</f>
        <v>42.65</v>
      </c>
      <c r="L126" s="4">
        <f>_xlfn.LET(
_xlpm.p,RawData!L126,
_xlpm.r,RawData!J126,
_xlpm.c,RawData!K126,
IF(ISNUMBER(_xlpm.p),_xlpm.p,
IF(AND(ISNUMBER(_xlpm.r),ISNUMBER(_xlpm.c)),
_xlpm.r-_xlpm.c,
""
)
))</f>
        <v>12.01</v>
      </c>
    </row>
    <row r="127" spans="1:12" x14ac:dyDescent="0.35">
      <c r="A127" t="s">
        <v>162</v>
      </c>
      <c r="B127" s="7">
        <v>45908</v>
      </c>
      <c r="C127" t="str">
        <f>IF(RawData!C127="","Unknown",PROPER(TRIM(CLEAN(SUBSTITUTE(RawData!C127,CHAR(160)," ")))))</f>
        <v>North</v>
      </c>
      <c r="D127" t="str">
        <f>IF(RawData!D127="","Unknown",PROPER(TRIM(CLEAN(SUBSTITUTE(RawData!D127,CHAR(160)," ")))))</f>
        <v>Jaipur</v>
      </c>
      <c r="E127" t="str">
        <f>IF(RawData!E127="","Unknown",PROPER(TRIM(CLEAN(SUBSTITUTE(RawData!E127,CHAR(160)," ")))))</f>
        <v>Bookshelf</v>
      </c>
      <c r="F127" t="str">
        <f>IF(RawData!F127="","Unknown",PROPER(TRIM(CLEAN(SUBSTITUTE(RawData!F127,CHAR(160)," ")))))</f>
        <v>Furniture</v>
      </c>
      <c r="G127">
        <f>_xlfn.LET(
_xlpm.q,RawData!G127,
_xlpm.u,RawData!H127,
_xlpm.d,RawData!I127,
_xlpm.r,RawData!J127,
IF(AND(ISNUMBER(_xlpm.q),_xlpm.q&gt;0),_xlpm.q,
   IF(AND(ISNUMBER(_xlpm.r),ISNUMBER(_xlpm.u),_xlpm.u&gt;0,ISNUMBER(_xlpm.d),_xlpm.d&gt;=0,_xlpm.d&lt;1),
      ROUND(_xlpm.r/(_xlpm.u*(1-_xlpm.d)),0),
      ""
   )
)
)</f>
        <v>6</v>
      </c>
      <c r="H127" s="4">
        <f>_xlfn.LET(
_xlpm.q,RawData!G127,
_xlpm.u,RawData!H127,
_xlpm.d,RawData!I127,
_xlpm.r,RawData!J127,
IF(AND(ISNUMBER(_xlpm.u),_xlpm.u&gt;0),_xlpm.u,
   IF(AND(ISNUMBER(_xlpm.q),_xlpm.q&gt;0,ISNUMBER(_xlpm.r),ISNUMBER(_xlpm.d),_xlpm.d&gt;=0,_xlpm.d&lt;1),
      _xlpm.r/(_xlpm.q*(1-_xlpm.d)),
      ""
   )
)
)</f>
        <v>131.37</v>
      </c>
      <c r="I127" s="5">
        <f>_xlfn.LET(
_xlpm.q,RawData!G127,
_xlpm.u,RawData!H127,
_xlpm.d,RawData!I127,
_xlpm.r,RawData!J127,
IF(AND(ISNUMBER(_xlpm.d),_xlpm.d&gt;=0,_xlpm.d&lt;1),_xlpm.d,
   IF(AND(ISNUMBER(_xlpm.q),_xlpm.q&gt;0,ISNUMBER(_xlpm.u),_xlpm.u&gt;0,ISNUMBER(_xlpm.r),_xlpm.r&gt;=0),
      1-(_xlpm.r/(_xlpm.q*_xlpm.u)),
      ""
   )
)
)</f>
        <v>0.2</v>
      </c>
      <c r="J127" s="4">
        <f>_xlfn.LET(
_xlpm.q,RawData!G127,
_xlpm.u,RawData!H127,
_xlpm.d,RawData!I127,
_xlpm.r,RawData!J127,
IF(AND(ISNUMBER(_xlpm.r),_xlpm.r&gt;=0),_xlpm.r,
   IF(AND(ISNUMBER(_xlpm.q),_xlpm.q&gt;0,ISNUMBER(_xlpm.u),_xlpm.u&gt;0,ISNUMBER(_xlpm.d),_xlpm.d&gt;=0,_xlpm.d&lt;1),
      _xlpm.q*_xlpm.u*(1-_xlpm.d),
      ""
   )
)
)</f>
        <v>630.58000000000004</v>
      </c>
      <c r="K127" s="4">
        <f>_xlfn.LET(
_xlpm.c,RawData!K127,
_xlpm.r,RawData!J127,
_xlpm.p,RawData!L127,
IF(AND(ISNUMBER(_xlpm.c),_xlpm.c&gt;=0),_xlpm.c,
   IF(AND(ISNUMBER(_xlpm.r),ISNUMBER(_xlpm.p)),
      _xlpm.r-_xlpm.p,
      ""
   )
)
)</f>
        <v>412.38</v>
      </c>
      <c r="L127" s="4">
        <f>_xlfn.LET(
_xlpm.p,RawData!L127,
_xlpm.r,RawData!J127,
_xlpm.c,RawData!K127,
IF(ISNUMBER(_xlpm.p),_xlpm.p,
IF(AND(ISNUMBER(_xlpm.r),ISNUMBER(_xlpm.c)),
_xlpm.r-_xlpm.c,
""
)
))</f>
        <v>218.2</v>
      </c>
    </row>
    <row r="128" spans="1:12" x14ac:dyDescent="0.35">
      <c r="A128" t="s">
        <v>163</v>
      </c>
      <c r="B128" s="7">
        <v>46020</v>
      </c>
      <c r="C128" t="str">
        <f>IF(RawData!C128="","Unknown",PROPER(TRIM(CLEAN(SUBSTITUTE(RawData!C128,CHAR(160)," ")))))</f>
        <v>South</v>
      </c>
      <c r="D128" t="str">
        <f>IF(RawData!D128="","Unknown",PROPER(TRIM(CLEAN(SUBSTITUTE(RawData!D128,CHAR(160)," ")))))</f>
        <v>Bengaluru</v>
      </c>
      <c r="E128" t="str">
        <f>IF(RawData!E128="","Unknown",PROPER(TRIM(CLEAN(SUBSTITUTE(RawData!E128,CHAR(160)," ")))))</f>
        <v>Bookshelf</v>
      </c>
      <c r="F128" t="str">
        <f>IF(RawData!F128="","Unknown",PROPER(TRIM(CLEAN(SUBSTITUTE(RawData!F128,CHAR(160)," ")))))</f>
        <v>Furniture</v>
      </c>
      <c r="G128">
        <f>_xlfn.LET(
_xlpm.q,RawData!G128,
_xlpm.u,RawData!H128,
_xlpm.d,RawData!I128,
_xlpm.r,RawData!J128,
IF(AND(ISNUMBER(_xlpm.q),_xlpm.q&gt;0),_xlpm.q,
   IF(AND(ISNUMBER(_xlpm.r),ISNUMBER(_xlpm.u),_xlpm.u&gt;0,ISNUMBER(_xlpm.d),_xlpm.d&gt;=0,_xlpm.d&lt;1),
      ROUND(_xlpm.r/(_xlpm.u*(1-_xlpm.d)),0),
      ""
   )
)
)</f>
        <v>3</v>
      </c>
      <c r="H128" s="4">
        <f>_xlfn.LET(
_xlpm.q,RawData!G128,
_xlpm.u,RawData!H128,
_xlpm.d,RawData!I128,
_xlpm.r,RawData!J128,
IF(AND(ISNUMBER(_xlpm.u),_xlpm.u&gt;0),_xlpm.u,
   IF(AND(ISNUMBER(_xlpm.q),_xlpm.q&gt;0,ISNUMBER(_xlpm.r),ISNUMBER(_xlpm.d),_xlpm.d&gt;=0,_xlpm.d&lt;1),
      _xlpm.r/(_xlpm.q*(1-_xlpm.d)),
      ""
   )
)
)</f>
        <v>154.75</v>
      </c>
      <c r="I128" s="5">
        <f>_xlfn.LET(
_xlpm.q,RawData!G128,
_xlpm.u,RawData!H128,
_xlpm.d,RawData!I128,
_xlpm.r,RawData!J128,
IF(AND(ISNUMBER(_xlpm.d),_xlpm.d&gt;=0,_xlpm.d&lt;1),_xlpm.d,
   IF(AND(ISNUMBER(_xlpm.q),_xlpm.q&gt;0,ISNUMBER(_xlpm.u),_xlpm.u&gt;0,ISNUMBER(_xlpm.r),_xlpm.r&gt;=0),
      1-(_xlpm.r/(_xlpm.q*_xlpm.u)),
      ""
   )
)
)</f>
        <v>0.2</v>
      </c>
      <c r="J128" s="4">
        <f>_xlfn.LET(
_xlpm.q,RawData!G128,
_xlpm.u,RawData!H128,
_xlpm.d,RawData!I128,
_xlpm.r,RawData!J128,
IF(AND(ISNUMBER(_xlpm.r),_xlpm.r&gt;=0),_xlpm.r,
   IF(AND(ISNUMBER(_xlpm.q),_xlpm.q&gt;0,ISNUMBER(_xlpm.u),_xlpm.u&gt;0,ISNUMBER(_xlpm.d),_xlpm.d&gt;=0,_xlpm.d&lt;1),
      _xlpm.q*_xlpm.u*(1-_xlpm.d),
      ""
   )
)
)</f>
        <v>371.4</v>
      </c>
      <c r="K128" s="4">
        <f>_xlfn.LET(
_xlpm.c,RawData!K128,
_xlpm.r,RawData!J128,
_xlpm.p,RawData!L128,
IF(AND(ISNUMBER(_xlpm.c),_xlpm.c&gt;=0),_xlpm.c,
   IF(AND(ISNUMBER(_xlpm.r),ISNUMBER(_xlpm.p)),
      _xlpm.r-_xlpm.p,
      ""
   )
)
)</f>
        <v>236.05</v>
      </c>
      <c r="L128" s="4">
        <f>_xlfn.LET(
_xlpm.p,RawData!L128,
_xlpm.r,RawData!J128,
_xlpm.c,RawData!K128,
IF(ISNUMBER(_xlpm.p),_xlpm.p,
IF(AND(ISNUMBER(_xlpm.r),ISNUMBER(_xlpm.c)),
_xlpm.r-_xlpm.c,
""
)
))</f>
        <v>135.35</v>
      </c>
    </row>
    <row r="129" spans="1:12" x14ac:dyDescent="0.35">
      <c r="A129" t="s">
        <v>164</v>
      </c>
      <c r="B129" s="7">
        <v>45991</v>
      </c>
      <c r="C129" t="str">
        <f>IF(RawData!C129="","Unknown",PROPER(TRIM(CLEAN(SUBSTITUTE(RawData!C129,CHAR(160)," ")))))</f>
        <v>East</v>
      </c>
      <c r="D129" t="str">
        <f>IF(RawData!D129="","Unknown",PROPER(TRIM(CLEAN(SUBSTITUTE(RawData!D129,CHAR(160)," ")))))</f>
        <v>Bhubaneswar</v>
      </c>
      <c r="E129" t="str">
        <f>IF(RawData!E129="","Unknown",PROPER(TRIM(CLEAN(SUBSTITUTE(RawData!E129,CHAR(160)," ")))))</f>
        <v>Pen Set</v>
      </c>
      <c r="F129" t="str">
        <f>IF(RawData!F129="","Unknown",PROPER(TRIM(CLEAN(SUBSTITUTE(RawData!F129,CHAR(160)," ")))))</f>
        <v>Office Supplies</v>
      </c>
      <c r="G129">
        <f>_xlfn.LET(
_xlpm.q,RawData!G129,
_xlpm.u,RawData!H129,
_xlpm.d,RawData!I129,
_xlpm.r,RawData!J129,
IF(AND(ISNUMBER(_xlpm.q),_xlpm.q&gt;0),_xlpm.q,
   IF(AND(ISNUMBER(_xlpm.r),ISNUMBER(_xlpm.u),_xlpm.u&gt;0,ISNUMBER(_xlpm.d),_xlpm.d&gt;=0,_xlpm.d&lt;1),
      ROUND(_xlpm.r/(_xlpm.u*(1-_xlpm.d)),0),
      ""
   )
)
)</f>
        <v>9</v>
      </c>
      <c r="H129" s="4">
        <f>_xlfn.LET(
_xlpm.q,RawData!G129,
_xlpm.u,RawData!H129,
_xlpm.d,RawData!I129,
_xlpm.r,RawData!J129,
IF(AND(ISNUMBER(_xlpm.u),_xlpm.u&gt;0),_xlpm.u,
   IF(AND(ISNUMBER(_xlpm.q),_xlpm.q&gt;0,ISNUMBER(_xlpm.r),ISNUMBER(_xlpm.d),_xlpm.d&gt;=0,_xlpm.d&lt;1),
      _xlpm.r/(_xlpm.q*(1-_xlpm.d)),
      ""
   )
)
)</f>
        <v>10.81</v>
      </c>
      <c r="I129" s="5">
        <f>_xlfn.LET(
_xlpm.q,RawData!G129,
_xlpm.u,RawData!H129,
_xlpm.d,RawData!I129,
_xlpm.r,RawData!J129,
IF(AND(ISNUMBER(_xlpm.d),_xlpm.d&gt;=0,_xlpm.d&lt;1),_xlpm.d,
   IF(AND(ISNUMBER(_xlpm.q),_xlpm.q&gt;0,ISNUMBER(_xlpm.u),_xlpm.u&gt;0,ISNUMBER(_xlpm.r),_xlpm.r&gt;=0),
      1-(_xlpm.r/(_xlpm.q*_xlpm.u)),
      ""
   )
)
)</f>
        <v>0.1</v>
      </c>
      <c r="J129" s="4">
        <f>_xlfn.LET(
_xlpm.q,RawData!G129,
_xlpm.u,RawData!H129,
_xlpm.d,RawData!I129,
_xlpm.r,RawData!J129,
IF(AND(ISNUMBER(_xlpm.r),_xlpm.r&gt;=0),_xlpm.r,
   IF(AND(ISNUMBER(_xlpm.q),_xlpm.q&gt;0,ISNUMBER(_xlpm.u),_xlpm.u&gt;0,ISNUMBER(_xlpm.d),_xlpm.d&gt;=0,_xlpm.d&lt;1),
      _xlpm.q*_xlpm.u*(1-_xlpm.d),
      ""
   )
)
)</f>
        <v>87.56</v>
      </c>
      <c r="K129" s="4">
        <f>_xlfn.LET(
_xlpm.c,RawData!K129,
_xlpm.r,RawData!J129,
_xlpm.p,RawData!L129,
IF(AND(ISNUMBER(_xlpm.c),_xlpm.c&gt;=0),_xlpm.c,
   IF(AND(ISNUMBER(_xlpm.r),ISNUMBER(_xlpm.p)),
      _xlpm.r-_xlpm.p,
      ""
   )
)
)</f>
        <v>61.32</v>
      </c>
      <c r="L129" s="4">
        <f>_xlfn.LET(
_xlpm.p,RawData!L129,
_xlpm.r,RawData!J129,
_xlpm.c,RawData!K129,
IF(ISNUMBER(_xlpm.p),_xlpm.p,
IF(AND(ISNUMBER(_xlpm.r),ISNUMBER(_xlpm.c)),
_xlpm.r-_xlpm.c,
""
)
))</f>
        <v>26.24</v>
      </c>
    </row>
    <row r="130" spans="1:12" x14ac:dyDescent="0.35">
      <c r="A130" t="s">
        <v>165</v>
      </c>
      <c r="B130" s="7">
        <v>45881</v>
      </c>
      <c r="C130" t="str">
        <f>IF(RawData!C130="","Unknown",PROPER(TRIM(CLEAN(SUBSTITUTE(RawData!C130,CHAR(160)," ")))))</f>
        <v>East</v>
      </c>
      <c r="D130" t="str">
        <f>IF(RawData!D130="","Unknown",PROPER(TRIM(CLEAN(SUBSTITUTE(RawData!D130,CHAR(160)," ")))))</f>
        <v>Bhubaneswar</v>
      </c>
      <c r="E130" t="str">
        <f>IF(RawData!E130="","Unknown",PROPER(TRIM(CLEAN(SUBSTITUTE(RawData!E130,CHAR(160)," ")))))</f>
        <v>Desk</v>
      </c>
      <c r="F130" t="str">
        <f>IF(RawData!F130="","Unknown",PROPER(TRIM(CLEAN(SUBSTITUTE(RawData!F130,CHAR(160)," ")))))</f>
        <v>Furniture</v>
      </c>
      <c r="G130">
        <f>_xlfn.LET(
_xlpm.q,RawData!G130,
_xlpm.u,RawData!H130,
_xlpm.d,RawData!I130,
_xlpm.r,RawData!J130,
IF(AND(ISNUMBER(_xlpm.q),_xlpm.q&gt;0),_xlpm.q,
   IF(AND(ISNUMBER(_xlpm.r),ISNUMBER(_xlpm.u),_xlpm.u&gt;0,ISNUMBER(_xlpm.d),_xlpm.d&gt;=0,_xlpm.d&lt;1),
      ROUND(_xlpm.r/(_xlpm.u*(1-_xlpm.d)),0),
      ""
   )
)
)</f>
        <v>4</v>
      </c>
      <c r="H130" s="4">
        <f>_xlfn.LET(
_xlpm.q,RawData!G130,
_xlpm.u,RawData!H130,
_xlpm.d,RawData!I130,
_xlpm.r,RawData!J130,
IF(AND(ISNUMBER(_xlpm.u),_xlpm.u&gt;0),_xlpm.u,
   IF(AND(ISNUMBER(_xlpm.q),_xlpm.q&gt;0,ISNUMBER(_xlpm.r),ISNUMBER(_xlpm.d),_xlpm.d&gt;=0,_xlpm.d&lt;1),
      _xlpm.r/(_xlpm.q*(1-_xlpm.d)),
      ""
   )
)
)</f>
        <v>282.70999999999998</v>
      </c>
      <c r="I130" s="5">
        <f>_xlfn.LET(
_xlpm.q,RawData!G130,
_xlpm.u,RawData!H130,
_xlpm.d,RawData!I130,
_xlpm.r,RawData!J130,
IF(AND(ISNUMBER(_xlpm.d),_xlpm.d&gt;=0,_xlpm.d&lt;1),_xlpm.d,
   IF(AND(ISNUMBER(_xlpm.q),_xlpm.q&gt;0,ISNUMBER(_xlpm.u),_xlpm.u&gt;0,ISNUMBER(_xlpm.r),_xlpm.r&gt;=0),
      1-(_xlpm.r/(_xlpm.q*_xlpm.u)),
      ""
   )
)
)</f>
        <v>0</v>
      </c>
      <c r="J130" s="4">
        <f>_xlfn.LET(
_xlpm.q,RawData!G130,
_xlpm.u,RawData!H130,
_xlpm.d,RawData!I130,
_xlpm.r,RawData!J130,
IF(AND(ISNUMBER(_xlpm.r),_xlpm.r&gt;=0),_xlpm.r,
   IF(AND(ISNUMBER(_xlpm.q),_xlpm.q&gt;0,ISNUMBER(_xlpm.u),_xlpm.u&gt;0,ISNUMBER(_xlpm.d),_xlpm.d&gt;=0,_xlpm.d&lt;1),
      _xlpm.q*_xlpm.u*(1-_xlpm.d),
      ""
   )
)
)</f>
        <v>1130.8399999999999</v>
      </c>
      <c r="K130" s="4">
        <f>_xlfn.LET(
_xlpm.c,RawData!K130,
_xlpm.r,RawData!J130,
_xlpm.p,RawData!L130,
IF(AND(ISNUMBER(_xlpm.c),_xlpm.c&gt;=0),_xlpm.c,
   IF(AND(ISNUMBER(_xlpm.r),ISNUMBER(_xlpm.p)),
      _xlpm.r-_xlpm.p,
      ""
   )
)
)</f>
        <v>834.48</v>
      </c>
      <c r="L130" s="4">
        <f>_xlfn.LET(
_xlpm.p,RawData!L130,
_xlpm.r,RawData!J130,
_xlpm.c,RawData!K130,
IF(ISNUMBER(_xlpm.p),_xlpm.p,
IF(AND(ISNUMBER(_xlpm.r),ISNUMBER(_xlpm.c)),
_xlpm.r-_xlpm.c,
""
)
))</f>
        <v>296.36</v>
      </c>
    </row>
    <row r="131" spans="1:12" x14ac:dyDescent="0.35">
      <c r="A131" t="s">
        <v>166</v>
      </c>
      <c r="B131" s="7">
        <v>45888</v>
      </c>
      <c r="C131" t="str">
        <f>IF(RawData!C131="","Unknown",PROPER(TRIM(CLEAN(SUBSTITUTE(RawData!C131,CHAR(160)," ")))))</f>
        <v>South</v>
      </c>
      <c r="D131" t="str">
        <f>IF(RawData!D131="","Unknown",PROPER(TRIM(CLEAN(SUBSTITUTE(RawData!D131,CHAR(160)," ")))))</f>
        <v>Bengaluru</v>
      </c>
      <c r="E131" t="str">
        <f>IF(RawData!E131="","Unknown",PROPER(TRIM(CLEAN(SUBSTITUTE(RawData!E131,CHAR(160)," ")))))</f>
        <v>Printer</v>
      </c>
      <c r="F131" t="str">
        <f>IF(RawData!F131="","Unknown",PROPER(TRIM(CLEAN(SUBSTITUTE(RawData!F131,CHAR(160)," ")))))</f>
        <v>Office Supplies</v>
      </c>
      <c r="G131">
        <f>_xlfn.LET(
_xlpm.q,RawData!G131,
_xlpm.u,RawData!H131,
_xlpm.d,RawData!I131,
_xlpm.r,RawData!J131,
IF(AND(ISNUMBER(_xlpm.q),_xlpm.q&gt;0),_xlpm.q,
   IF(AND(ISNUMBER(_xlpm.r),ISNUMBER(_xlpm.u),_xlpm.u&gt;0,ISNUMBER(_xlpm.d),_xlpm.d&gt;=0,_xlpm.d&lt;1),
      ROUND(_xlpm.r/(_xlpm.u*(1-_xlpm.d)),0),
      ""
   )
)
)</f>
        <v>10</v>
      </c>
      <c r="H131" s="4">
        <f>_xlfn.LET(
_xlpm.q,RawData!G131,
_xlpm.u,RawData!H131,
_xlpm.d,RawData!I131,
_xlpm.r,RawData!J131,
IF(AND(ISNUMBER(_xlpm.u),_xlpm.u&gt;0),_xlpm.u,
   IF(AND(ISNUMBER(_xlpm.q),_xlpm.q&gt;0,ISNUMBER(_xlpm.r),ISNUMBER(_xlpm.d),_xlpm.d&gt;=0,_xlpm.d&lt;1),
      _xlpm.r/(_xlpm.q*(1-_xlpm.d)),
      ""
   )
)
)</f>
        <v>163.36000000000001</v>
      </c>
      <c r="I131" s="5">
        <f>_xlfn.LET(
_xlpm.q,RawData!G131,
_xlpm.u,RawData!H131,
_xlpm.d,RawData!I131,
_xlpm.r,RawData!J131,
IF(AND(ISNUMBER(_xlpm.d),_xlpm.d&gt;=0,_xlpm.d&lt;1),_xlpm.d,
   IF(AND(ISNUMBER(_xlpm.q),_xlpm.q&gt;0,ISNUMBER(_xlpm.u),_xlpm.u&gt;0,ISNUMBER(_xlpm.r),_xlpm.r&gt;=0),
      1-(_xlpm.r/(_xlpm.q*_xlpm.u)),
      ""
   )
)
)</f>
        <v>0.15</v>
      </c>
      <c r="J131" s="4">
        <f>_xlfn.LET(
_xlpm.q,RawData!G131,
_xlpm.u,RawData!H131,
_xlpm.d,RawData!I131,
_xlpm.r,RawData!J131,
IF(AND(ISNUMBER(_xlpm.r),_xlpm.r&gt;=0),_xlpm.r,
   IF(AND(ISNUMBER(_xlpm.q),_xlpm.q&gt;0,ISNUMBER(_xlpm.u),_xlpm.u&gt;0,ISNUMBER(_xlpm.d),_xlpm.d&gt;=0,_xlpm.d&lt;1),
      _xlpm.q*_xlpm.u*(1-_xlpm.d),
      ""
   )
)
)</f>
        <v>1388.56</v>
      </c>
      <c r="K131" s="4">
        <f>_xlfn.LET(
_xlpm.c,RawData!K131,
_xlpm.r,RawData!J131,
_xlpm.p,RawData!L131,
IF(AND(ISNUMBER(_xlpm.c),_xlpm.c&gt;=0),_xlpm.c,
   IF(AND(ISNUMBER(_xlpm.r),ISNUMBER(_xlpm.p)),
      _xlpm.r-_xlpm.p,
      ""
   )
)
)</f>
        <v>800.14</v>
      </c>
      <c r="L131" s="4">
        <f>_xlfn.LET(
_xlpm.p,RawData!L131,
_xlpm.r,RawData!J131,
_xlpm.c,RawData!K131,
IF(ISNUMBER(_xlpm.p),_xlpm.p,
IF(AND(ISNUMBER(_xlpm.r),ISNUMBER(_xlpm.c)),
_xlpm.r-_xlpm.c,
""
)
))</f>
        <v>588.41999999999996</v>
      </c>
    </row>
    <row r="132" spans="1:12" x14ac:dyDescent="0.35">
      <c r="A132" t="s">
        <v>167</v>
      </c>
      <c r="B132" s="7">
        <v>45852</v>
      </c>
      <c r="C132" t="str">
        <f>IF(RawData!C132="","Unknown",PROPER(TRIM(CLEAN(SUBSTITUTE(RawData!C132,CHAR(160)," ")))))</f>
        <v>East</v>
      </c>
      <c r="D132" t="str">
        <f>IF(RawData!D132="","Unknown",PROPER(TRIM(CLEAN(SUBSTITUTE(RawData!D132,CHAR(160)," ")))))</f>
        <v>Kolkata</v>
      </c>
      <c r="E132" t="str">
        <f>IF(RawData!E132="","Unknown",PROPER(TRIM(CLEAN(SUBSTITUTE(RawData!E132,CHAR(160)," ")))))</f>
        <v>Laptop</v>
      </c>
      <c r="F132" t="str">
        <f>IF(RawData!F132="","Unknown",PROPER(TRIM(CLEAN(SUBSTITUTE(RawData!F132,CHAR(160)," ")))))</f>
        <v>Electronics</v>
      </c>
      <c r="G132">
        <f>_xlfn.LET(
_xlpm.q,RawData!G132,
_xlpm.u,RawData!H132,
_xlpm.d,RawData!I132,
_xlpm.r,RawData!J132,
IF(AND(ISNUMBER(_xlpm.q),_xlpm.q&gt;0),_xlpm.q,
   IF(AND(ISNUMBER(_xlpm.r),ISNUMBER(_xlpm.u),_xlpm.u&gt;0,ISNUMBER(_xlpm.d),_xlpm.d&gt;=0,_xlpm.d&lt;1),
      ROUND(_xlpm.r/(_xlpm.u*(1-_xlpm.d)),0),
      ""
   )
)
)</f>
        <v>8</v>
      </c>
      <c r="H132" s="4">
        <f>_xlfn.LET(
_xlpm.q,RawData!G132,
_xlpm.u,RawData!H132,
_xlpm.d,RawData!I132,
_xlpm.r,RawData!J132,
IF(AND(ISNUMBER(_xlpm.u),_xlpm.u&gt;0),_xlpm.u,
   IF(AND(ISNUMBER(_xlpm.q),_xlpm.q&gt;0,ISNUMBER(_xlpm.r),ISNUMBER(_xlpm.d),_xlpm.d&gt;=0,_xlpm.d&lt;1),
      _xlpm.r/(_xlpm.q*(1-_xlpm.d)),
      ""
   )
)
)</f>
        <v>879.33</v>
      </c>
      <c r="I132" s="5">
        <f>_xlfn.LET(
_xlpm.q,RawData!G132,
_xlpm.u,RawData!H132,
_xlpm.d,RawData!I132,
_xlpm.r,RawData!J132,
IF(AND(ISNUMBER(_xlpm.d),_xlpm.d&gt;=0,_xlpm.d&lt;1),_xlpm.d,
   IF(AND(ISNUMBER(_xlpm.q),_xlpm.q&gt;0,ISNUMBER(_xlpm.u),_xlpm.u&gt;0,ISNUMBER(_xlpm.r),_xlpm.r&gt;=0),
      1-(_xlpm.r/(_xlpm.q*_xlpm.u)),
      ""
   )
)
)</f>
        <v>0.05</v>
      </c>
      <c r="J132" s="4">
        <f>_xlfn.LET(
_xlpm.q,RawData!G132,
_xlpm.u,RawData!H132,
_xlpm.d,RawData!I132,
_xlpm.r,RawData!J132,
IF(AND(ISNUMBER(_xlpm.r),_xlpm.r&gt;=0),_xlpm.r,
   IF(AND(ISNUMBER(_xlpm.q),_xlpm.q&gt;0,ISNUMBER(_xlpm.u),_xlpm.u&gt;0,ISNUMBER(_xlpm.d),_xlpm.d&gt;=0,_xlpm.d&lt;1),
      _xlpm.q*_xlpm.u*(1-_xlpm.d),
      ""
   )
)
)</f>
        <v>6682.91</v>
      </c>
      <c r="K132" s="4">
        <f>_xlfn.LET(
_xlpm.c,RawData!K132,
_xlpm.r,RawData!J132,
_xlpm.p,RawData!L132,
IF(AND(ISNUMBER(_xlpm.c),_xlpm.c&gt;=0),_xlpm.c,
   IF(AND(ISNUMBER(_xlpm.r),ISNUMBER(_xlpm.p)),
      _xlpm.r-_xlpm.p,
      ""
   )
)
)</f>
        <v>5462.04</v>
      </c>
      <c r="L132" s="4">
        <f>_xlfn.LET(
_xlpm.p,RawData!L132,
_xlpm.r,RawData!J132,
_xlpm.c,RawData!K132,
IF(ISNUMBER(_xlpm.p),_xlpm.p,
IF(AND(ISNUMBER(_xlpm.r),ISNUMBER(_xlpm.c)),
_xlpm.r-_xlpm.c,
""
)
))</f>
        <v>1220.8699999999999</v>
      </c>
    </row>
    <row r="133" spans="1:12" x14ac:dyDescent="0.35">
      <c r="A133" t="s">
        <v>168</v>
      </c>
      <c r="B133" s="7">
        <v>45907</v>
      </c>
      <c r="C133" t="str">
        <f>IF(RawData!C133="","Unknown",PROPER(TRIM(CLEAN(SUBSTITUTE(RawData!C133,CHAR(160)," ")))))</f>
        <v>South</v>
      </c>
      <c r="D133" t="str">
        <f>IF(RawData!D133="","Unknown",PROPER(TRIM(CLEAN(SUBSTITUTE(RawData!D133,CHAR(160)," ")))))</f>
        <v>Chennai</v>
      </c>
      <c r="E133" t="str">
        <f>IF(RawData!E133="","Unknown",PROPER(TRIM(CLEAN(SUBSTITUTE(RawData!E133,CHAR(160)," ")))))</f>
        <v>Desk</v>
      </c>
      <c r="F133" t="str">
        <f>IF(RawData!F133="","Unknown",PROPER(TRIM(CLEAN(SUBSTITUTE(RawData!F133,CHAR(160)," ")))))</f>
        <v>Furniture</v>
      </c>
      <c r="G133">
        <f>_xlfn.LET(
_xlpm.q,RawData!G133,
_xlpm.u,RawData!H133,
_xlpm.d,RawData!I133,
_xlpm.r,RawData!J133,
IF(AND(ISNUMBER(_xlpm.q),_xlpm.q&gt;0),_xlpm.q,
   IF(AND(ISNUMBER(_xlpm.r),ISNUMBER(_xlpm.u),_xlpm.u&gt;0,ISNUMBER(_xlpm.d),_xlpm.d&gt;=0,_xlpm.d&lt;1),
      ROUND(_xlpm.r/(_xlpm.u*(1-_xlpm.d)),0),
      ""
   )
)
)</f>
        <v>5</v>
      </c>
      <c r="H133" s="4">
        <f>_xlfn.LET(
_xlpm.q,RawData!G133,
_xlpm.u,RawData!H133,
_xlpm.d,RawData!I133,
_xlpm.r,RawData!J133,
IF(AND(ISNUMBER(_xlpm.u),_xlpm.u&gt;0),_xlpm.u,
   IF(AND(ISNUMBER(_xlpm.q),_xlpm.q&gt;0,ISNUMBER(_xlpm.r),ISNUMBER(_xlpm.d),_xlpm.d&gt;=0,_xlpm.d&lt;1),
      _xlpm.r/(_xlpm.q*(1-_xlpm.d)),
      ""
   )
)
)</f>
        <v>223.01</v>
      </c>
      <c r="I133" s="5">
        <f>_xlfn.LET(
_xlpm.q,RawData!G133,
_xlpm.u,RawData!H133,
_xlpm.d,RawData!I133,
_xlpm.r,RawData!J133,
IF(AND(ISNUMBER(_xlpm.d),_xlpm.d&gt;=0,_xlpm.d&lt;1),_xlpm.d,
   IF(AND(ISNUMBER(_xlpm.q),_xlpm.q&gt;0,ISNUMBER(_xlpm.u),_xlpm.u&gt;0,ISNUMBER(_xlpm.r),_xlpm.r&gt;=0),
      1-(_xlpm.r/(_xlpm.q*_xlpm.u)),
      ""
   )
)
)</f>
        <v>0.05</v>
      </c>
      <c r="J133" s="4">
        <f>_xlfn.LET(
_xlpm.q,RawData!G133,
_xlpm.u,RawData!H133,
_xlpm.d,RawData!I133,
_xlpm.r,RawData!J133,
IF(AND(ISNUMBER(_xlpm.r),_xlpm.r&gt;=0),_xlpm.r,
   IF(AND(ISNUMBER(_xlpm.q),_xlpm.q&gt;0,ISNUMBER(_xlpm.u),_xlpm.u&gt;0,ISNUMBER(_xlpm.d),_xlpm.d&gt;=0,_xlpm.d&lt;1),
      _xlpm.q*_xlpm.u*(1-_xlpm.d),
      ""
   )
)
)</f>
        <v>1059.3</v>
      </c>
      <c r="K133" s="4">
        <f>_xlfn.LET(
_xlpm.c,RawData!K133,
_xlpm.r,RawData!J133,
_xlpm.p,RawData!L133,
IF(AND(ISNUMBER(_xlpm.c),_xlpm.c&gt;=0),_xlpm.c,
   IF(AND(ISNUMBER(_xlpm.r),ISNUMBER(_xlpm.p)),
      _xlpm.r-_xlpm.p,
      ""
   )
)
)</f>
        <v>730.86</v>
      </c>
      <c r="L133" s="4">
        <f>_xlfn.LET(
_xlpm.p,RawData!L133,
_xlpm.r,RawData!J133,
_xlpm.c,RawData!K133,
IF(ISNUMBER(_xlpm.p),_xlpm.p,
IF(AND(ISNUMBER(_xlpm.r),ISNUMBER(_xlpm.c)),
_xlpm.r-_xlpm.c,
""
)
))</f>
        <v>328.44</v>
      </c>
    </row>
    <row r="134" spans="1:12" x14ac:dyDescent="0.35">
      <c r="A134" t="s">
        <v>169</v>
      </c>
      <c r="B134" s="7">
        <v>45963</v>
      </c>
      <c r="C134" t="str">
        <f>IF(RawData!C134="","Unknown",PROPER(TRIM(CLEAN(SUBSTITUTE(RawData!C134,CHAR(160)," ")))))</f>
        <v>East</v>
      </c>
      <c r="D134" t="str">
        <f>IF(RawData!D134="","Unknown",PROPER(TRIM(CLEAN(SUBSTITUTE(RawData!D134,CHAR(160)," ")))))</f>
        <v>Kolkata</v>
      </c>
      <c r="E134" t="str">
        <f>IF(RawData!E134="","Unknown",PROPER(TRIM(CLEAN(SUBSTITUTE(RawData!E134,CHAR(160)," ")))))</f>
        <v>Notebook</v>
      </c>
      <c r="F134" t="str">
        <f>IF(RawData!F134="","Unknown",PROPER(TRIM(CLEAN(SUBSTITUTE(RawData!F134,CHAR(160)," ")))))</f>
        <v>Office Supplies</v>
      </c>
      <c r="G134">
        <f>_xlfn.LET(
_xlpm.q,RawData!G134,
_xlpm.u,RawData!H134,
_xlpm.d,RawData!I134,
_xlpm.r,RawData!J134,
IF(AND(ISNUMBER(_xlpm.q),_xlpm.q&gt;0),_xlpm.q,
   IF(AND(ISNUMBER(_xlpm.r),ISNUMBER(_xlpm.u),_xlpm.u&gt;0,ISNUMBER(_xlpm.d),_xlpm.d&gt;=0,_xlpm.d&lt;1),
      ROUND(_xlpm.r/(_xlpm.u*(1-_xlpm.d)),0),
      ""
   )
)
)</f>
        <v>1</v>
      </c>
      <c r="H134" s="4">
        <f>_xlfn.LET(
_xlpm.q,RawData!G134,
_xlpm.u,RawData!H134,
_xlpm.d,RawData!I134,
_xlpm.r,RawData!J134,
IF(AND(ISNUMBER(_xlpm.u),_xlpm.u&gt;0),_xlpm.u,
   IF(AND(ISNUMBER(_xlpm.q),_xlpm.q&gt;0,ISNUMBER(_xlpm.r),ISNUMBER(_xlpm.d),_xlpm.d&gt;=0,_xlpm.d&lt;1),
      _xlpm.r/(_xlpm.q*(1-_xlpm.d)),
      ""
   )
)
)</f>
        <v>8.91</v>
      </c>
      <c r="I134" s="5">
        <f>_xlfn.LET(
_xlpm.q,RawData!G134,
_xlpm.u,RawData!H134,
_xlpm.d,RawData!I134,
_xlpm.r,RawData!J134,
IF(AND(ISNUMBER(_xlpm.d),_xlpm.d&gt;=0,_xlpm.d&lt;1),_xlpm.d,
   IF(AND(ISNUMBER(_xlpm.q),_xlpm.q&gt;0,ISNUMBER(_xlpm.u),_xlpm.u&gt;0,ISNUMBER(_xlpm.r),_xlpm.r&gt;=0),
      1-(_xlpm.r/(_xlpm.q*_xlpm.u)),
      ""
   )
)
)</f>
        <v>0.15</v>
      </c>
      <c r="J134" s="4">
        <f>_xlfn.LET(
_xlpm.q,RawData!G134,
_xlpm.u,RawData!H134,
_xlpm.d,RawData!I134,
_xlpm.r,RawData!J134,
IF(AND(ISNUMBER(_xlpm.r),_xlpm.r&gt;=0),_xlpm.r,
   IF(AND(ISNUMBER(_xlpm.q),_xlpm.q&gt;0,ISNUMBER(_xlpm.u),_xlpm.u&gt;0,ISNUMBER(_xlpm.d),_xlpm.d&gt;=0,_xlpm.d&lt;1),
      _xlpm.q*_xlpm.u*(1-_xlpm.d),
      ""
   )
)
)</f>
        <v>7.57</v>
      </c>
      <c r="K134" s="4">
        <f>_xlfn.LET(
_xlpm.c,RawData!K134,
_xlpm.r,RawData!J134,
_xlpm.p,RawData!L134,
IF(AND(ISNUMBER(_xlpm.c),_xlpm.c&gt;=0),_xlpm.c,
   IF(AND(ISNUMBER(_xlpm.r),ISNUMBER(_xlpm.p)),
      _xlpm.r-_xlpm.p,
      ""
   )
)
)</f>
        <v>5.68</v>
      </c>
      <c r="L134" s="4">
        <f>_xlfn.LET(
_xlpm.p,RawData!L134,
_xlpm.r,RawData!J134,
_xlpm.c,RawData!K134,
IF(ISNUMBER(_xlpm.p),_xlpm.p,
IF(AND(ISNUMBER(_xlpm.r),ISNUMBER(_xlpm.c)),
_xlpm.r-_xlpm.c,
""
)
))</f>
        <v>1.89</v>
      </c>
    </row>
    <row r="135" spans="1:12" x14ac:dyDescent="0.35">
      <c r="A135" t="s">
        <v>170</v>
      </c>
      <c r="B135" s="7">
        <v>45701</v>
      </c>
      <c r="C135" t="str">
        <f>IF(RawData!C135="","Unknown",PROPER(TRIM(CLEAN(SUBSTITUTE(RawData!C135,CHAR(160)," ")))))</f>
        <v>South</v>
      </c>
      <c r="D135" t="str">
        <f>IF(RawData!D135="","Unknown",PROPER(TRIM(CLEAN(SUBSTITUTE(RawData!D135,CHAR(160)," ")))))</f>
        <v>Bengaluru</v>
      </c>
      <c r="E135" t="str">
        <f>IF(RawData!E135="","Unknown",PROPER(TRIM(CLEAN(SUBSTITUTE(RawData!E135,CHAR(160)," ")))))</f>
        <v>Keyboard</v>
      </c>
      <c r="F135" t="str">
        <f>IF(RawData!F135="","Unknown",PROPER(TRIM(CLEAN(SUBSTITUTE(RawData!F135,CHAR(160)," ")))))</f>
        <v>Accessories</v>
      </c>
      <c r="G135">
        <f>_xlfn.LET(
_xlpm.q,RawData!G135,
_xlpm.u,RawData!H135,
_xlpm.d,RawData!I135,
_xlpm.r,RawData!J135,
IF(AND(ISNUMBER(_xlpm.q),_xlpm.q&gt;0),_xlpm.q,
   IF(AND(ISNUMBER(_xlpm.r),ISNUMBER(_xlpm.u),_xlpm.u&gt;0,ISNUMBER(_xlpm.d),_xlpm.d&gt;=0,_xlpm.d&lt;1),
      ROUND(_xlpm.r/(_xlpm.u*(1-_xlpm.d)),0),
      ""
   )
)
)</f>
        <v>7</v>
      </c>
      <c r="H135" s="4">
        <f>_xlfn.LET(
_xlpm.q,RawData!G135,
_xlpm.u,RawData!H135,
_xlpm.d,RawData!I135,
_xlpm.r,RawData!J135,
IF(AND(ISNUMBER(_xlpm.u),_xlpm.u&gt;0),_xlpm.u,
   IF(AND(ISNUMBER(_xlpm.q),_xlpm.q&gt;0,ISNUMBER(_xlpm.r),ISNUMBER(_xlpm.d),_xlpm.d&gt;=0,_xlpm.d&lt;1),
      _xlpm.r/(_xlpm.q*(1-_xlpm.d)),
      ""
   )
)
)</f>
        <v>37.07</v>
      </c>
      <c r="I135" s="5">
        <f>_xlfn.LET(
_xlpm.q,RawData!G135,
_xlpm.u,RawData!H135,
_xlpm.d,RawData!I135,
_xlpm.r,RawData!J135,
IF(AND(ISNUMBER(_xlpm.d),_xlpm.d&gt;=0,_xlpm.d&lt;1),_xlpm.d,
   IF(AND(ISNUMBER(_xlpm.q),_xlpm.q&gt;0,ISNUMBER(_xlpm.u),_xlpm.u&gt;0,ISNUMBER(_xlpm.r),_xlpm.r&gt;=0),
      1-(_xlpm.r/(_xlpm.q*_xlpm.u)),
      ""
   )
)
)</f>
        <v>0.1</v>
      </c>
      <c r="J135" s="4">
        <f>_xlfn.LET(
_xlpm.q,RawData!G135,
_xlpm.u,RawData!H135,
_xlpm.d,RawData!I135,
_xlpm.r,RawData!J135,
IF(AND(ISNUMBER(_xlpm.r),_xlpm.r&gt;=0),_xlpm.r,
   IF(AND(ISNUMBER(_xlpm.q),_xlpm.q&gt;0,ISNUMBER(_xlpm.u),_xlpm.u&gt;0,ISNUMBER(_xlpm.d),_xlpm.d&gt;=0,_xlpm.d&lt;1),
      _xlpm.q*_xlpm.u*(1-_xlpm.d),
      ""
   )
)
)</f>
        <v>233.54</v>
      </c>
      <c r="K135" s="4">
        <f>_xlfn.LET(
_xlpm.c,RawData!K135,
_xlpm.r,RawData!J135,
_xlpm.p,RawData!L135,
IF(AND(ISNUMBER(_xlpm.c),_xlpm.c&gt;=0),_xlpm.c,
   IF(AND(ISNUMBER(_xlpm.r),ISNUMBER(_xlpm.p)),
      _xlpm.r-_xlpm.p,
      ""
   )
)
)</f>
        <v>172.74</v>
      </c>
      <c r="L135" s="4">
        <f>_xlfn.LET(
_xlpm.p,RawData!L135,
_xlpm.r,RawData!J135,
_xlpm.c,RawData!K135,
IF(ISNUMBER(_xlpm.p),_xlpm.p,
IF(AND(ISNUMBER(_xlpm.r),ISNUMBER(_xlpm.c)),
_xlpm.r-_xlpm.c,
""
)
))</f>
        <v>60.8</v>
      </c>
    </row>
    <row r="136" spans="1:12" x14ac:dyDescent="0.35">
      <c r="A136" t="s">
        <v>171</v>
      </c>
      <c r="B136" s="7">
        <v>45781</v>
      </c>
      <c r="C136" t="str">
        <f>IF(RawData!C136="","Unknown",PROPER(TRIM(CLEAN(SUBSTITUTE(RawData!C136,CHAR(160)," ")))))</f>
        <v>West</v>
      </c>
      <c r="D136" t="str">
        <f>IF(RawData!D136="","Unknown",PROPER(TRIM(CLEAN(SUBSTITUTE(RawData!D136,CHAR(160)," ")))))</f>
        <v>Mumbai</v>
      </c>
      <c r="E136" t="str">
        <f>IF(RawData!E136="","Unknown",PROPER(TRIM(CLEAN(SUBSTITUTE(RawData!E136,CHAR(160)," ")))))</f>
        <v>Backpack</v>
      </c>
      <c r="F136" t="str">
        <f>IF(RawData!F136="","Unknown",PROPER(TRIM(CLEAN(SUBSTITUTE(RawData!F136,CHAR(160)," ")))))</f>
        <v>Accessories</v>
      </c>
      <c r="G136">
        <f>_xlfn.LET(
_xlpm.q,RawData!G136,
_xlpm.u,RawData!H136,
_xlpm.d,RawData!I136,
_xlpm.r,RawData!J136,
IF(AND(ISNUMBER(_xlpm.q),_xlpm.q&gt;0),_xlpm.q,
   IF(AND(ISNUMBER(_xlpm.r),ISNUMBER(_xlpm.u),_xlpm.u&gt;0,ISNUMBER(_xlpm.d),_xlpm.d&gt;=0,_xlpm.d&lt;1),
      ROUND(_xlpm.r/(_xlpm.u*(1-_xlpm.d)),0),
      ""
   )
)
)</f>
        <v>8</v>
      </c>
      <c r="H136" s="4">
        <f>_xlfn.LET(
_xlpm.q,RawData!G136,
_xlpm.u,RawData!H136,
_xlpm.d,RawData!I136,
_xlpm.r,RawData!J136,
IF(AND(ISNUMBER(_xlpm.u),_xlpm.u&gt;0),_xlpm.u,
   IF(AND(ISNUMBER(_xlpm.q),_xlpm.q&gt;0,ISNUMBER(_xlpm.r),ISNUMBER(_xlpm.d),_xlpm.d&gt;=0,_xlpm.d&lt;1),
      _xlpm.r/(_xlpm.q*(1-_xlpm.d)),
      ""
   )
)
)</f>
        <v>43.1</v>
      </c>
      <c r="I136" s="5">
        <f>_xlfn.LET(
_xlpm.q,RawData!G136,
_xlpm.u,RawData!H136,
_xlpm.d,RawData!I136,
_xlpm.r,RawData!J136,
IF(AND(ISNUMBER(_xlpm.d),_xlpm.d&gt;=0,_xlpm.d&lt;1),_xlpm.d,
   IF(AND(ISNUMBER(_xlpm.q),_xlpm.q&gt;0,ISNUMBER(_xlpm.u),_xlpm.u&gt;0,ISNUMBER(_xlpm.r),_xlpm.r&gt;=0),
      1-(_xlpm.r/(_xlpm.q*_xlpm.u)),
      ""
   )
)
)</f>
        <v>0.1</v>
      </c>
      <c r="J136" s="4">
        <f>_xlfn.LET(
_xlpm.q,RawData!G136,
_xlpm.u,RawData!H136,
_xlpm.d,RawData!I136,
_xlpm.r,RawData!J136,
IF(AND(ISNUMBER(_xlpm.r),_xlpm.r&gt;=0),_xlpm.r,
   IF(AND(ISNUMBER(_xlpm.q),_xlpm.q&gt;0,ISNUMBER(_xlpm.u),_xlpm.u&gt;0,ISNUMBER(_xlpm.d),_xlpm.d&gt;=0,_xlpm.d&lt;1),
      _xlpm.q*_xlpm.u*(1-_xlpm.d),
      ""
   )
)
)</f>
        <v>310.32</v>
      </c>
      <c r="K136" s="4">
        <f>_xlfn.LET(
_xlpm.c,RawData!K136,
_xlpm.r,RawData!J136,
_xlpm.p,RawData!L136,
IF(AND(ISNUMBER(_xlpm.c),_xlpm.c&gt;=0),_xlpm.c,
   IF(AND(ISNUMBER(_xlpm.r),ISNUMBER(_xlpm.p)),
      _xlpm.r-_xlpm.p,
      ""
   )
)
)</f>
        <v>195.28</v>
      </c>
      <c r="L136" s="4">
        <f>_xlfn.LET(
_xlpm.p,RawData!L136,
_xlpm.r,RawData!J136,
_xlpm.c,RawData!K136,
IF(ISNUMBER(_xlpm.p),_xlpm.p,
IF(AND(ISNUMBER(_xlpm.r),ISNUMBER(_xlpm.c)),
_xlpm.r-_xlpm.c,
""
)
))</f>
        <v>115.04</v>
      </c>
    </row>
    <row r="137" spans="1:12" x14ac:dyDescent="0.35">
      <c r="A137" t="s">
        <v>172</v>
      </c>
      <c r="B137" s="7">
        <v>45705</v>
      </c>
      <c r="C137" t="str">
        <f>IF(RawData!C137="","Unknown",PROPER(TRIM(CLEAN(SUBSTITUTE(RawData!C137,CHAR(160)," ")))))</f>
        <v>East</v>
      </c>
      <c r="D137" t="str">
        <f>IF(RawData!D137="","Unknown",PROPER(TRIM(CLEAN(SUBSTITUTE(RawData!D137,CHAR(160)," ")))))</f>
        <v>Kolkata</v>
      </c>
      <c r="E137" t="str">
        <f>IF(RawData!E137="","Unknown",PROPER(TRIM(CLEAN(SUBSTITUTE(RawData!E137,CHAR(160)," ")))))</f>
        <v>Monitor</v>
      </c>
      <c r="F137" t="str">
        <f>IF(RawData!F137="","Unknown",PROPER(TRIM(CLEAN(SUBSTITUTE(RawData!F137,CHAR(160)," ")))))</f>
        <v>Electronics</v>
      </c>
      <c r="G137">
        <f>_xlfn.LET(
_xlpm.q,RawData!G137,
_xlpm.u,RawData!H137,
_xlpm.d,RawData!I137,
_xlpm.r,RawData!J137,
IF(AND(ISNUMBER(_xlpm.q),_xlpm.q&gt;0),_xlpm.q,
   IF(AND(ISNUMBER(_xlpm.r),ISNUMBER(_xlpm.u),_xlpm.u&gt;0,ISNUMBER(_xlpm.d),_xlpm.d&gt;=0,_xlpm.d&lt;1),
      ROUND(_xlpm.r/(_xlpm.u*(1-_xlpm.d)),0),
      ""
   )
)
)</f>
        <v>7</v>
      </c>
      <c r="H137" s="4">
        <f>_xlfn.LET(
_xlpm.q,RawData!G137,
_xlpm.u,RawData!H137,
_xlpm.d,RawData!I137,
_xlpm.r,RawData!J137,
IF(AND(ISNUMBER(_xlpm.u),_xlpm.u&gt;0),_xlpm.u,
   IF(AND(ISNUMBER(_xlpm.q),_xlpm.q&gt;0,ISNUMBER(_xlpm.r),ISNUMBER(_xlpm.d),_xlpm.d&gt;=0,_xlpm.d&lt;1),
      _xlpm.r/(_xlpm.q*(1-_xlpm.d)),
      ""
   )
)
)</f>
        <v>240.42</v>
      </c>
      <c r="I137" s="5">
        <f>_xlfn.LET(
_xlpm.q,RawData!G137,
_xlpm.u,RawData!H137,
_xlpm.d,RawData!I137,
_xlpm.r,RawData!J137,
IF(AND(ISNUMBER(_xlpm.d),_xlpm.d&gt;=0,_xlpm.d&lt;1),_xlpm.d,
   IF(AND(ISNUMBER(_xlpm.q),_xlpm.q&gt;0,ISNUMBER(_xlpm.u),_xlpm.u&gt;0,ISNUMBER(_xlpm.r),_xlpm.r&gt;=0),
      1-(_xlpm.r/(_xlpm.q*_xlpm.u)),
      ""
   )
)
)</f>
        <v>0.2</v>
      </c>
      <c r="J137" s="4">
        <f>_xlfn.LET(
_xlpm.q,RawData!G137,
_xlpm.u,RawData!H137,
_xlpm.d,RawData!I137,
_xlpm.r,RawData!J137,
IF(AND(ISNUMBER(_xlpm.r),_xlpm.r&gt;=0),_xlpm.r,
   IF(AND(ISNUMBER(_xlpm.q),_xlpm.q&gt;0,ISNUMBER(_xlpm.u),_xlpm.u&gt;0,ISNUMBER(_xlpm.d),_xlpm.d&gt;=0,_xlpm.d&lt;1),
      _xlpm.q*_xlpm.u*(1-_xlpm.d),
      ""
   )
)
)</f>
        <v>1346.35</v>
      </c>
      <c r="K137" s="4">
        <f>_xlfn.LET(
_xlpm.c,RawData!K137,
_xlpm.r,RawData!J137,
_xlpm.p,RawData!L137,
IF(AND(ISNUMBER(_xlpm.c),_xlpm.c&gt;=0),_xlpm.c,
   IF(AND(ISNUMBER(_xlpm.r),ISNUMBER(_xlpm.p)),
      _xlpm.r-_xlpm.p,
      ""
   )
)
)</f>
        <v>1034.98</v>
      </c>
      <c r="L137" s="4">
        <f>_xlfn.LET(
_xlpm.p,RawData!L137,
_xlpm.r,RawData!J137,
_xlpm.c,RawData!K137,
IF(ISNUMBER(_xlpm.p),_xlpm.p,
IF(AND(ISNUMBER(_xlpm.r),ISNUMBER(_xlpm.c)),
_xlpm.r-_xlpm.c,
""
)
))</f>
        <v>311.37</v>
      </c>
    </row>
    <row r="138" spans="1:12" x14ac:dyDescent="0.35">
      <c r="A138" t="s">
        <v>173</v>
      </c>
      <c r="B138" s="7">
        <v>45814</v>
      </c>
      <c r="C138" t="str">
        <f>IF(RawData!C138="","Unknown",PROPER(TRIM(CLEAN(SUBSTITUTE(RawData!C138,CHAR(160)," ")))))</f>
        <v>East</v>
      </c>
      <c r="D138" t="str">
        <f>IF(RawData!D138="","Unknown",PROPER(TRIM(CLEAN(SUBSTITUTE(RawData!D138,CHAR(160)," ")))))</f>
        <v>Bhubaneswar</v>
      </c>
      <c r="E138" t="str">
        <f>IF(RawData!E138="","Unknown",PROPER(TRIM(CLEAN(SUBSTITUTE(RawData!E138,CHAR(160)," ")))))</f>
        <v>Printer</v>
      </c>
      <c r="F138" t="str">
        <f>IF(RawData!F138="","Unknown",PROPER(TRIM(CLEAN(SUBSTITUTE(RawData!F138,CHAR(160)," ")))))</f>
        <v>Office Supplies</v>
      </c>
      <c r="G138">
        <f>_xlfn.LET(
_xlpm.q,RawData!G138,
_xlpm.u,RawData!H138,
_xlpm.d,RawData!I138,
_xlpm.r,RawData!J138,
IF(AND(ISNUMBER(_xlpm.q),_xlpm.q&gt;0),_xlpm.q,
   IF(AND(ISNUMBER(_xlpm.r),ISNUMBER(_xlpm.u),_xlpm.u&gt;0,ISNUMBER(_xlpm.d),_xlpm.d&gt;=0,_xlpm.d&lt;1),
      ROUND(_xlpm.r/(_xlpm.u*(1-_xlpm.d)),0),
      ""
   )
)
)</f>
        <v>9</v>
      </c>
      <c r="H138" s="4">
        <f>_xlfn.LET(
_xlpm.q,RawData!G138,
_xlpm.u,RawData!H138,
_xlpm.d,RawData!I138,
_xlpm.r,RawData!J138,
IF(AND(ISNUMBER(_xlpm.u),_xlpm.u&gt;0),_xlpm.u,
   IF(AND(ISNUMBER(_xlpm.q),_xlpm.q&gt;0,ISNUMBER(_xlpm.r),ISNUMBER(_xlpm.d),_xlpm.d&gt;=0,_xlpm.d&lt;1),
      _xlpm.r/(_xlpm.q*(1-_xlpm.d)),
      ""
   )
)
)</f>
        <v>177.62</v>
      </c>
      <c r="I138" s="5">
        <f>_xlfn.LET(
_xlpm.q,RawData!G138,
_xlpm.u,RawData!H138,
_xlpm.d,RawData!I138,
_xlpm.r,RawData!J138,
IF(AND(ISNUMBER(_xlpm.d),_xlpm.d&gt;=0,_xlpm.d&lt;1),_xlpm.d,
   IF(AND(ISNUMBER(_xlpm.q),_xlpm.q&gt;0,ISNUMBER(_xlpm.u),_xlpm.u&gt;0,ISNUMBER(_xlpm.r),_xlpm.r&gt;=0),
      1-(_xlpm.r/(_xlpm.q*_xlpm.u)),
      ""
   )
)
)</f>
        <v>0.15</v>
      </c>
      <c r="J138" s="4">
        <f>_xlfn.LET(
_xlpm.q,RawData!G138,
_xlpm.u,RawData!H138,
_xlpm.d,RawData!I138,
_xlpm.r,RawData!J138,
IF(AND(ISNUMBER(_xlpm.r),_xlpm.r&gt;=0),_xlpm.r,
   IF(AND(ISNUMBER(_xlpm.q),_xlpm.q&gt;0,ISNUMBER(_xlpm.u),_xlpm.u&gt;0,ISNUMBER(_xlpm.d),_xlpm.d&gt;=0,_xlpm.d&lt;1),
      _xlpm.q*_xlpm.u*(1-_xlpm.d),
      ""
   )
)
)</f>
        <v>1358.79</v>
      </c>
      <c r="K138" s="4">
        <f>_xlfn.LET(
_xlpm.c,RawData!K138,
_xlpm.r,RawData!J138,
_xlpm.p,RawData!L138,
IF(AND(ISNUMBER(_xlpm.c),_xlpm.c&gt;=0),_xlpm.c,
   IF(AND(ISNUMBER(_xlpm.r),ISNUMBER(_xlpm.p)),
      _xlpm.r-_xlpm.p,
      ""
   )
)
)</f>
        <v>1082.3800000000001</v>
      </c>
      <c r="L138" s="4">
        <f>_xlfn.LET(
_xlpm.p,RawData!L138,
_xlpm.r,RawData!J138,
_xlpm.c,RawData!K138,
IF(ISNUMBER(_xlpm.p),_xlpm.p,
IF(AND(ISNUMBER(_xlpm.r),ISNUMBER(_xlpm.c)),
_xlpm.r-_xlpm.c,
""
)
))</f>
        <v>276.41000000000003</v>
      </c>
    </row>
    <row r="139" spans="1:12" x14ac:dyDescent="0.35">
      <c r="A139" t="s">
        <v>174</v>
      </c>
      <c r="B139" s="7">
        <v>45875</v>
      </c>
      <c r="C139" t="str">
        <f>IF(RawData!C139="","Unknown",PROPER(TRIM(CLEAN(SUBSTITUTE(RawData!C139,CHAR(160)," ")))))</f>
        <v>East</v>
      </c>
      <c r="D139" t="str">
        <f>IF(RawData!D139="","Unknown",PROPER(TRIM(CLEAN(SUBSTITUTE(RawData!D139,CHAR(160)," ")))))</f>
        <v>Bhubaneswar</v>
      </c>
      <c r="E139" t="str">
        <f>IF(RawData!E139="","Unknown",PROPER(TRIM(CLEAN(SUBSTITUTE(RawData!E139,CHAR(160)," ")))))</f>
        <v>Desk</v>
      </c>
      <c r="F139" t="str">
        <f>IF(RawData!F139="","Unknown",PROPER(TRIM(CLEAN(SUBSTITUTE(RawData!F139,CHAR(160)," ")))))</f>
        <v>Furniture</v>
      </c>
      <c r="G139">
        <f>_xlfn.LET(
_xlpm.q,RawData!G139,
_xlpm.u,RawData!H139,
_xlpm.d,RawData!I139,
_xlpm.r,RawData!J139,
IF(AND(ISNUMBER(_xlpm.q),_xlpm.q&gt;0),_xlpm.q,
   IF(AND(ISNUMBER(_xlpm.r),ISNUMBER(_xlpm.u),_xlpm.u&gt;0,ISNUMBER(_xlpm.d),_xlpm.d&gt;=0,_xlpm.d&lt;1),
      ROUND(_xlpm.r/(_xlpm.u*(1-_xlpm.d)),0),
      ""
   )
)
)</f>
        <v>8</v>
      </c>
      <c r="H139" s="4">
        <f>_xlfn.LET(
_xlpm.q,RawData!G139,
_xlpm.u,RawData!H139,
_xlpm.d,RawData!I139,
_xlpm.r,RawData!J139,
IF(AND(ISNUMBER(_xlpm.u),_xlpm.u&gt;0),_xlpm.u,
   IF(AND(ISNUMBER(_xlpm.q),_xlpm.q&gt;0,ISNUMBER(_xlpm.r),ISNUMBER(_xlpm.d),_xlpm.d&gt;=0,_xlpm.d&lt;1),
      _xlpm.r/(_xlpm.q*(1-_xlpm.d)),
      ""
   )
)
)</f>
        <v>250.85</v>
      </c>
      <c r="I139" s="5">
        <f>_xlfn.LET(
_xlpm.q,RawData!G139,
_xlpm.u,RawData!H139,
_xlpm.d,RawData!I139,
_xlpm.r,RawData!J139,
IF(AND(ISNUMBER(_xlpm.d),_xlpm.d&gt;=0,_xlpm.d&lt;1),_xlpm.d,
   IF(AND(ISNUMBER(_xlpm.q),_xlpm.q&gt;0,ISNUMBER(_xlpm.u),_xlpm.u&gt;0,ISNUMBER(_xlpm.r),_xlpm.r&gt;=0),
      1-(_xlpm.r/(_xlpm.q*_xlpm.u)),
      ""
   )
)
)</f>
        <v>0.05</v>
      </c>
      <c r="J139" s="4">
        <f>_xlfn.LET(
_xlpm.q,RawData!G139,
_xlpm.u,RawData!H139,
_xlpm.d,RawData!I139,
_xlpm.r,RawData!J139,
IF(AND(ISNUMBER(_xlpm.r),_xlpm.r&gt;=0),_xlpm.r,
   IF(AND(ISNUMBER(_xlpm.q),_xlpm.q&gt;0,ISNUMBER(_xlpm.u),_xlpm.u&gt;0,ISNUMBER(_xlpm.d),_xlpm.d&gt;=0,_xlpm.d&lt;1),
      _xlpm.q*_xlpm.u*(1-_xlpm.d),
      ""
   )
)
)</f>
        <v>1906.46</v>
      </c>
      <c r="K139" s="4">
        <f>_xlfn.LET(
_xlpm.c,RawData!K139,
_xlpm.r,RawData!J139,
_xlpm.p,RawData!L139,
IF(AND(ISNUMBER(_xlpm.c),_xlpm.c&gt;=0),_xlpm.c,
   IF(AND(ISNUMBER(_xlpm.r),ISNUMBER(_xlpm.p)),
      _xlpm.r-_xlpm.p,
      ""
   )
)
)</f>
        <v>1306.71</v>
      </c>
      <c r="L139" s="4">
        <f>_xlfn.LET(
_xlpm.p,RawData!L139,
_xlpm.r,RawData!J139,
_xlpm.c,RawData!K139,
IF(ISNUMBER(_xlpm.p),_xlpm.p,
IF(AND(ISNUMBER(_xlpm.r),ISNUMBER(_xlpm.c)),
_xlpm.r-_xlpm.c,
""
)
))</f>
        <v>599.75</v>
      </c>
    </row>
    <row r="140" spans="1:12" x14ac:dyDescent="0.35">
      <c r="A140" t="s">
        <v>175</v>
      </c>
      <c r="B140" s="7">
        <v>45786</v>
      </c>
      <c r="C140" t="str">
        <f>IF(RawData!C140="","Unknown",PROPER(TRIM(CLEAN(SUBSTITUTE(RawData!C140,CHAR(160)," ")))))</f>
        <v>South</v>
      </c>
      <c r="D140" t="str">
        <f>IF(RawData!D140="","Unknown",PROPER(TRIM(CLEAN(SUBSTITUTE(RawData!D140,CHAR(160)," ")))))</f>
        <v>Hyderabad</v>
      </c>
      <c r="E140" t="str">
        <f>IF(RawData!E140="","Unknown",PROPER(TRIM(CLEAN(SUBSTITUTE(RawData!E140,CHAR(160)," ")))))</f>
        <v>Smartphone</v>
      </c>
      <c r="F140" t="str">
        <f>IF(RawData!F140="","Unknown",PROPER(TRIM(CLEAN(SUBSTITUTE(RawData!F140,CHAR(160)," ")))))</f>
        <v>Electronics</v>
      </c>
      <c r="G140">
        <f>_xlfn.LET(
_xlpm.q,RawData!G140,
_xlpm.u,RawData!H140,
_xlpm.d,RawData!I140,
_xlpm.r,RawData!J140,
IF(AND(ISNUMBER(_xlpm.q),_xlpm.q&gt;0),_xlpm.q,
   IF(AND(ISNUMBER(_xlpm.r),ISNUMBER(_xlpm.u),_xlpm.u&gt;0,ISNUMBER(_xlpm.d),_xlpm.d&gt;=0,_xlpm.d&lt;1),
      ROUND(_xlpm.r/(_xlpm.u*(1-_xlpm.d)),0),
      ""
   )
)
)</f>
        <v>4</v>
      </c>
      <c r="H140" s="4">
        <f>_xlfn.LET(
_xlpm.q,RawData!G140,
_xlpm.u,RawData!H140,
_xlpm.d,RawData!I140,
_xlpm.r,RawData!J140,
IF(AND(ISNUMBER(_xlpm.u),_xlpm.u&gt;0),_xlpm.u,
   IF(AND(ISNUMBER(_xlpm.q),_xlpm.q&gt;0,ISNUMBER(_xlpm.r),ISNUMBER(_xlpm.d),_xlpm.d&gt;=0,_xlpm.d&lt;1),
      _xlpm.r/(_xlpm.q*(1-_xlpm.d)),
      ""
   )
)
)</f>
        <v>599.22</v>
      </c>
      <c r="I140" s="5">
        <f>_xlfn.LET(
_xlpm.q,RawData!G140,
_xlpm.u,RawData!H140,
_xlpm.d,RawData!I140,
_xlpm.r,RawData!J140,
IF(AND(ISNUMBER(_xlpm.d),_xlpm.d&gt;=0,_xlpm.d&lt;1),_xlpm.d,
   IF(AND(ISNUMBER(_xlpm.q),_xlpm.q&gt;0,ISNUMBER(_xlpm.u),_xlpm.u&gt;0,ISNUMBER(_xlpm.r),_xlpm.r&gt;=0),
      1-(_xlpm.r/(_xlpm.q*_xlpm.u)),
      ""
   )
)
)</f>
        <v>0.05</v>
      </c>
      <c r="J140" s="4">
        <f>_xlfn.LET(
_xlpm.q,RawData!G140,
_xlpm.u,RawData!H140,
_xlpm.d,RawData!I140,
_xlpm.r,RawData!J140,
IF(AND(ISNUMBER(_xlpm.r),_xlpm.r&gt;=0),_xlpm.r,
   IF(AND(ISNUMBER(_xlpm.q),_xlpm.q&gt;0,ISNUMBER(_xlpm.u),_xlpm.u&gt;0,ISNUMBER(_xlpm.d),_xlpm.d&gt;=0,_xlpm.d&lt;1),
      _xlpm.q*_xlpm.u*(1-_xlpm.d),
      ""
   )
)
)</f>
        <v>2277.04</v>
      </c>
      <c r="K140" s="4">
        <f>_xlfn.LET(
_xlpm.c,RawData!K140,
_xlpm.r,RawData!J140,
_xlpm.p,RawData!L140,
IF(AND(ISNUMBER(_xlpm.c),_xlpm.c&gt;=0),_xlpm.c,
   IF(AND(ISNUMBER(_xlpm.r),ISNUMBER(_xlpm.p)),
      _xlpm.r-_xlpm.p,
      ""
   )
)
)</f>
        <v>1651.97</v>
      </c>
      <c r="L140" s="4">
        <f>_xlfn.LET(
_xlpm.p,RawData!L140,
_xlpm.r,RawData!J140,
_xlpm.c,RawData!K140,
IF(ISNUMBER(_xlpm.p),_xlpm.p,
IF(AND(ISNUMBER(_xlpm.r),ISNUMBER(_xlpm.c)),
_xlpm.r-_xlpm.c,
""
)
))</f>
        <v>625.07000000000005</v>
      </c>
    </row>
    <row r="141" spans="1:12" x14ac:dyDescent="0.35">
      <c r="A141" t="s">
        <v>176</v>
      </c>
      <c r="B141" s="7">
        <v>45932</v>
      </c>
      <c r="C141" t="str">
        <f>IF(RawData!C141="","Unknown",PROPER(TRIM(CLEAN(SUBSTITUTE(RawData!C141,CHAR(160)," ")))))</f>
        <v>South</v>
      </c>
      <c r="D141" t="str">
        <f>IF(RawData!D141="","Unknown",PROPER(TRIM(CLEAN(SUBSTITUTE(RawData!D141,CHAR(160)," ")))))</f>
        <v>Chennai</v>
      </c>
      <c r="E141" t="str">
        <f>IF(RawData!E141="","Unknown",PROPER(TRIM(CLEAN(SUBSTITUTE(RawData!E141,CHAR(160)," ")))))</f>
        <v>Monitor</v>
      </c>
      <c r="F141" t="str">
        <f>IF(RawData!F141="","Unknown",PROPER(TRIM(CLEAN(SUBSTITUTE(RawData!F141,CHAR(160)," ")))))</f>
        <v>Electronics</v>
      </c>
      <c r="G141">
        <f>_xlfn.LET(
_xlpm.q,RawData!G141,
_xlpm.u,RawData!H141,
_xlpm.d,RawData!I141,
_xlpm.r,RawData!J141,
IF(AND(ISNUMBER(_xlpm.q),_xlpm.q&gt;0),_xlpm.q,
   IF(AND(ISNUMBER(_xlpm.r),ISNUMBER(_xlpm.u),_xlpm.u&gt;0,ISNUMBER(_xlpm.d),_xlpm.d&gt;=0,_xlpm.d&lt;1),
      ROUND(_xlpm.r/(_xlpm.u*(1-_xlpm.d)),0),
      ""
   )
)
)</f>
        <v>4</v>
      </c>
      <c r="H141" s="4">
        <f>_xlfn.LET(
_xlpm.q,RawData!G141,
_xlpm.u,RawData!H141,
_xlpm.d,RawData!I141,
_xlpm.r,RawData!J141,
IF(AND(ISNUMBER(_xlpm.u),_xlpm.u&gt;0),_xlpm.u,
   IF(AND(ISNUMBER(_xlpm.q),_xlpm.q&gt;0,ISNUMBER(_xlpm.r),ISNUMBER(_xlpm.d),_xlpm.d&gt;=0,_xlpm.d&lt;1),
      _xlpm.r/(_xlpm.q*(1-_xlpm.d)),
      ""
   )
)
)</f>
        <v>233.33</v>
      </c>
      <c r="I141" s="5">
        <f>_xlfn.LET(
_xlpm.q,RawData!G141,
_xlpm.u,RawData!H141,
_xlpm.d,RawData!I141,
_xlpm.r,RawData!J141,
IF(AND(ISNUMBER(_xlpm.d),_xlpm.d&gt;=0,_xlpm.d&lt;1),_xlpm.d,
   IF(AND(ISNUMBER(_xlpm.q),_xlpm.q&gt;0,ISNUMBER(_xlpm.u),_xlpm.u&gt;0,ISNUMBER(_xlpm.r),_xlpm.r&gt;=0),
      1-(_xlpm.r/(_xlpm.q*_xlpm.u)),
      ""
   )
)
)</f>
        <v>0.2</v>
      </c>
      <c r="J141" s="4">
        <f>_xlfn.LET(
_xlpm.q,RawData!G141,
_xlpm.u,RawData!H141,
_xlpm.d,RawData!I141,
_xlpm.r,RawData!J141,
IF(AND(ISNUMBER(_xlpm.r),_xlpm.r&gt;=0),_xlpm.r,
   IF(AND(ISNUMBER(_xlpm.q),_xlpm.q&gt;0,ISNUMBER(_xlpm.u),_xlpm.u&gt;0,ISNUMBER(_xlpm.d),_xlpm.d&gt;=0,_xlpm.d&lt;1),
      _xlpm.q*_xlpm.u*(1-_xlpm.d),
      ""
   )
)
)</f>
        <v>746.66</v>
      </c>
      <c r="K141" s="4">
        <f>_xlfn.LET(
_xlpm.c,RawData!K141,
_xlpm.r,RawData!J141,
_xlpm.p,RawData!L141,
IF(AND(ISNUMBER(_xlpm.c),_xlpm.c&gt;=0),_xlpm.c,
   IF(AND(ISNUMBER(_xlpm.r),ISNUMBER(_xlpm.p)),
      _xlpm.r-_xlpm.p,
      ""
   )
)
)</f>
        <v>571.09</v>
      </c>
      <c r="L141" s="4">
        <f>_xlfn.LET(
_xlpm.p,RawData!L141,
_xlpm.r,RawData!J141,
_xlpm.c,RawData!K141,
IF(ISNUMBER(_xlpm.p),_xlpm.p,
IF(AND(ISNUMBER(_xlpm.r),ISNUMBER(_xlpm.c)),
_xlpm.r-_xlpm.c,
""
)
))</f>
        <v>175.57</v>
      </c>
    </row>
    <row r="142" spans="1:12" x14ac:dyDescent="0.35">
      <c r="A142" t="s">
        <v>177</v>
      </c>
      <c r="B142" s="7">
        <v>45799</v>
      </c>
      <c r="C142" t="str">
        <f>IF(RawData!C142="","Unknown",PROPER(TRIM(CLEAN(SUBSTITUTE(RawData!C142,CHAR(160)," ")))))</f>
        <v>East</v>
      </c>
      <c r="D142" t="str">
        <f>IF(RawData!D142="","Unknown",PROPER(TRIM(CLEAN(SUBSTITUTE(RawData!D142,CHAR(160)," ")))))</f>
        <v>Kolkata</v>
      </c>
      <c r="E142" t="str">
        <f>IF(RawData!E142="","Unknown",PROPER(TRIM(CLEAN(SUBSTITUTE(RawData!E142,CHAR(160)," ")))))</f>
        <v>Smartphone</v>
      </c>
      <c r="F142" t="str">
        <f>IF(RawData!F142="","Unknown",PROPER(TRIM(CLEAN(SUBSTITUTE(RawData!F142,CHAR(160)," ")))))</f>
        <v>Electronics</v>
      </c>
      <c r="G142">
        <f>_xlfn.LET(
_xlpm.q,RawData!G142,
_xlpm.u,RawData!H142,
_xlpm.d,RawData!I142,
_xlpm.r,RawData!J142,
IF(AND(ISNUMBER(_xlpm.q),_xlpm.q&gt;0),_xlpm.q,
   IF(AND(ISNUMBER(_xlpm.r),ISNUMBER(_xlpm.u),_xlpm.u&gt;0,ISNUMBER(_xlpm.d),_xlpm.d&gt;=0,_xlpm.d&lt;1),
      ROUND(_xlpm.r/(_xlpm.u*(1-_xlpm.d)),0),
      ""
   )
)
)</f>
        <v>4</v>
      </c>
      <c r="H142" s="4">
        <f>_xlfn.LET(
_xlpm.q,RawData!G142,
_xlpm.u,RawData!H142,
_xlpm.d,RawData!I142,
_xlpm.r,RawData!J142,
IF(AND(ISNUMBER(_xlpm.u),_xlpm.u&gt;0),_xlpm.u,
   IF(AND(ISNUMBER(_xlpm.q),_xlpm.q&gt;0,ISNUMBER(_xlpm.r),ISNUMBER(_xlpm.d),_xlpm.d&gt;=0,_xlpm.d&lt;1),
      _xlpm.r/(_xlpm.q*(1-_xlpm.d)),
      ""
   )
)
)</f>
        <v>614.35</v>
      </c>
      <c r="I142" s="5">
        <f>_xlfn.LET(
_xlpm.q,RawData!G142,
_xlpm.u,RawData!H142,
_xlpm.d,RawData!I142,
_xlpm.r,RawData!J142,
IF(AND(ISNUMBER(_xlpm.d),_xlpm.d&gt;=0,_xlpm.d&lt;1),_xlpm.d,
   IF(AND(ISNUMBER(_xlpm.q),_xlpm.q&gt;0,ISNUMBER(_xlpm.u),_xlpm.u&gt;0,ISNUMBER(_xlpm.r),_xlpm.r&gt;=0),
      1-(_xlpm.r/(_xlpm.q*_xlpm.u)),
      ""
   )
)
)</f>
        <v>0.05</v>
      </c>
      <c r="J142" s="4">
        <f>_xlfn.LET(
_xlpm.q,RawData!G142,
_xlpm.u,RawData!H142,
_xlpm.d,RawData!I142,
_xlpm.r,RawData!J142,
IF(AND(ISNUMBER(_xlpm.r),_xlpm.r&gt;=0),_xlpm.r,
   IF(AND(ISNUMBER(_xlpm.q),_xlpm.q&gt;0,ISNUMBER(_xlpm.u),_xlpm.u&gt;0,ISNUMBER(_xlpm.d),_xlpm.d&gt;=0,_xlpm.d&lt;1),
      _xlpm.q*_xlpm.u*(1-_xlpm.d),
      ""
   )
)
)</f>
        <v>2334.5300000000002</v>
      </c>
      <c r="K142" s="4">
        <f>_xlfn.LET(
_xlpm.c,RawData!K142,
_xlpm.r,RawData!J142,
_xlpm.p,RawData!L142,
IF(AND(ISNUMBER(_xlpm.c),_xlpm.c&gt;=0),_xlpm.c,
   IF(AND(ISNUMBER(_xlpm.r),ISNUMBER(_xlpm.p)),
      _xlpm.r-_xlpm.p,
      ""
   )
)
)</f>
        <v>1497.04</v>
      </c>
      <c r="L142" s="4">
        <f>_xlfn.LET(
_xlpm.p,RawData!L142,
_xlpm.r,RawData!J142,
_xlpm.c,RawData!K142,
IF(ISNUMBER(_xlpm.p),_xlpm.p,
IF(AND(ISNUMBER(_xlpm.r),ISNUMBER(_xlpm.c)),
_xlpm.r-_xlpm.c,
""
)
))</f>
        <v>837.49</v>
      </c>
    </row>
    <row r="143" spans="1:12" x14ac:dyDescent="0.35">
      <c r="A143" t="s">
        <v>178</v>
      </c>
      <c r="B143" s="7">
        <v>45842</v>
      </c>
      <c r="C143" t="str">
        <f>IF(RawData!C143="","Unknown",PROPER(TRIM(CLEAN(SUBSTITUTE(RawData!C143,CHAR(160)," ")))))</f>
        <v>South</v>
      </c>
      <c r="D143" t="str">
        <f>IF(RawData!D143="","Unknown",PROPER(TRIM(CLEAN(SUBSTITUTE(RawData!D143,CHAR(160)," ")))))</f>
        <v>Bengaluru</v>
      </c>
      <c r="E143" t="str">
        <f>IF(RawData!E143="","Unknown",PROPER(TRIM(CLEAN(SUBSTITUTE(RawData!E143,CHAR(160)," ")))))</f>
        <v>Office Chair</v>
      </c>
      <c r="F143" t="str">
        <f>IF(RawData!F143="","Unknown",PROPER(TRIM(CLEAN(SUBSTITUTE(RawData!F143,CHAR(160)," ")))))</f>
        <v>Furniture</v>
      </c>
      <c r="G143">
        <f>_xlfn.LET(
_xlpm.q,RawData!G143,
_xlpm.u,RawData!H143,
_xlpm.d,RawData!I143,
_xlpm.r,RawData!J143,
IF(AND(ISNUMBER(_xlpm.q),_xlpm.q&gt;0),_xlpm.q,
   IF(AND(ISNUMBER(_xlpm.r),ISNUMBER(_xlpm.u),_xlpm.u&gt;0,ISNUMBER(_xlpm.d),_xlpm.d&gt;=0,_xlpm.d&lt;1),
      ROUND(_xlpm.r/(_xlpm.u*(1-_xlpm.d)),0),
      ""
   )
)
)</f>
        <v>1</v>
      </c>
      <c r="H143" s="4">
        <f>_xlfn.LET(
_xlpm.q,RawData!G143,
_xlpm.u,RawData!H143,
_xlpm.d,RawData!I143,
_xlpm.r,RawData!J143,
IF(AND(ISNUMBER(_xlpm.u),_xlpm.u&gt;0),_xlpm.u,
   IF(AND(ISNUMBER(_xlpm.q),_xlpm.q&gt;0,ISNUMBER(_xlpm.r),ISNUMBER(_xlpm.d),_xlpm.d&gt;=0,_xlpm.d&lt;1),
      _xlpm.r/(_xlpm.q*(1-_xlpm.d)),
      ""
   )
)
)</f>
        <v>173.28</v>
      </c>
      <c r="I143" s="5">
        <f>_xlfn.LET(
_xlpm.q,RawData!G143,
_xlpm.u,RawData!H143,
_xlpm.d,RawData!I143,
_xlpm.r,RawData!J143,
IF(AND(ISNUMBER(_xlpm.d),_xlpm.d&gt;=0,_xlpm.d&lt;1),_xlpm.d,
   IF(AND(ISNUMBER(_xlpm.q),_xlpm.q&gt;0,ISNUMBER(_xlpm.u),_xlpm.u&gt;0,ISNUMBER(_xlpm.r),_xlpm.r&gt;=0),
      1-(_xlpm.r/(_xlpm.q*_xlpm.u)),
      ""
   )
)
)</f>
        <v>0.2</v>
      </c>
      <c r="J143" s="4">
        <f>_xlfn.LET(
_xlpm.q,RawData!G143,
_xlpm.u,RawData!H143,
_xlpm.d,RawData!I143,
_xlpm.r,RawData!J143,
IF(AND(ISNUMBER(_xlpm.r),_xlpm.r&gt;=0),_xlpm.r,
   IF(AND(ISNUMBER(_xlpm.q),_xlpm.q&gt;0,ISNUMBER(_xlpm.u),_xlpm.u&gt;0,ISNUMBER(_xlpm.d),_xlpm.d&gt;=0,_xlpm.d&lt;1),
      _xlpm.q*_xlpm.u*(1-_xlpm.d),
      ""
   )
)
)</f>
        <v>138.62</v>
      </c>
      <c r="K143" s="4">
        <f>_xlfn.LET(
_xlpm.c,RawData!K143,
_xlpm.r,RawData!J143,
_xlpm.p,RawData!L143,
IF(AND(ISNUMBER(_xlpm.c),_xlpm.c&gt;=0),_xlpm.c,
   IF(AND(ISNUMBER(_xlpm.r),ISNUMBER(_xlpm.p)),
      _xlpm.r-_xlpm.p,
      ""
   )
)
)</f>
        <v>79.760000000000005</v>
      </c>
      <c r="L143" s="4">
        <f>_xlfn.LET(
_xlpm.p,RawData!L143,
_xlpm.r,RawData!J143,
_xlpm.c,RawData!K143,
IF(ISNUMBER(_xlpm.p),_xlpm.p,
IF(AND(ISNUMBER(_xlpm.r),ISNUMBER(_xlpm.c)),
_xlpm.r-_xlpm.c,
""
)
))</f>
        <v>58.86</v>
      </c>
    </row>
    <row r="144" spans="1:12" x14ac:dyDescent="0.35">
      <c r="A144" t="s">
        <v>179</v>
      </c>
      <c r="B144" s="7">
        <v>45722</v>
      </c>
      <c r="C144" t="str">
        <f>IF(RawData!C144="","Unknown",PROPER(TRIM(CLEAN(SUBSTITUTE(RawData!C144,CHAR(160)," ")))))</f>
        <v>East</v>
      </c>
      <c r="D144" t="str">
        <f>IF(RawData!D144="","Unknown",PROPER(TRIM(CLEAN(SUBSTITUTE(RawData!D144,CHAR(160)," ")))))</f>
        <v>Bhubaneswar</v>
      </c>
      <c r="E144" t="str">
        <f>IF(RawData!E144="","Unknown",PROPER(TRIM(CLEAN(SUBSTITUTE(RawData!E144,CHAR(160)," ")))))</f>
        <v>Laptop</v>
      </c>
      <c r="F144" t="str">
        <f>IF(RawData!F144="","Unknown",PROPER(TRIM(CLEAN(SUBSTITUTE(RawData!F144,CHAR(160)," ")))))</f>
        <v>Electronics</v>
      </c>
      <c r="G144">
        <f>_xlfn.LET(
_xlpm.q,RawData!G144,
_xlpm.u,RawData!H144,
_xlpm.d,RawData!I144,
_xlpm.r,RawData!J144,
IF(AND(ISNUMBER(_xlpm.q),_xlpm.q&gt;0),_xlpm.q,
   IF(AND(ISNUMBER(_xlpm.r),ISNUMBER(_xlpm.u),_xlpm.u&gt;0,ISNUMBER(_xlpm.d),_xlpm.d&gt;=0,_xlpm.d&lt;1),
      ROUND(_xlpm.r/(_xlpm.u*(1-_xlpm.d)),0),
      ""
   )
)
)</f>
        <v>1</v>
      </c>
      <c r="H144" s="4">
        <f>_xlfn.LET(
_xlpm.q,RawData!G144,
_xlpm.u,RawData!H144,
_xlpm.d,RawData!I144,
_xlpm.r,RawData!J144,
IF(AND(ISNUMBER(_xlpm.u),_xlpm.u&gt;0),_xlpm.u,
   IF(AND(ISNUMBER(_xlpm.q),_xlpm.q&gt;0,ISNUMBER(_xlpm.r),ISNUMBER(_xlpm.d),_xlpm.d&gt;=0,_xlpm.d&lt;1),
      _xlpm.r/(_xlpm.q*(1-_xlpm.d)),
      ""
   )
)
)</f>
        <v>869.96</v>
      </c>
      <c r="I144" s="5">
        <f>_xlfn.LET(
_xlpm.q,RawData!G144,
_xlpm.u,RawData!H144,
_xlpm.d,RawData!I144,
_xlpm.r,RawData!J144,
IF(AND(ISNUMBER(_xlpm.d),_xlpm.d&gt;=0,_xlpm.d&lt;1),_xlpm.d,
   IF(AND(ISNUMBER(_xlpm.q),_xlpm.q&gt;0,ISNUMBER(_xlpm.u),_xlpm.u&gt;0,ISNUMBER(_xlpm.r),_xlpm.r&gt;=0),
      1-(_xlpm.r/(_xlpm.q*_xlpm.u)),
      ""
   )
)
)</f>
        <v>0.15</v>
      </c>
      <c r="J144" s="4">
        <f>_xlfn.LET(
_xlpm.q,RawData!G144,
_xlpm.u,RawData!H144,
_xlpm.d,RawData!I144,
_xlpm.r,RawData!J144,
IF(AND(ISNUMBER(_xlpm.r),_xlpm.r&gt;=0),_xlpm.r,
   IF(AND(ISNUMBER(_xlpm.q),_xlpm.q&gt;0,ISNUMBER(_xlpm.u),_xlpm.u&gt;0,ISNUMBER(_xlpm.d),_xlpm.d&gt;=0,_xlpm.d&lt;1),
      _xlpm.q*_xlpm.u*(1-_xlpm.d),
      ""
   )
)
)</f>
        <v>739.47</v>
      </c>
      <c r="K144" s="4">
        <f>_xlfn.LET(
_xlpm.c,RawData!K144,
_xlpm.r,RawData!J144,
_xlpm.p,RawData!L144,
IF(AND(ISNUMBER(_xlpm.c),_xlpm.c&gt;=0),_xlpm.c,
   IF(AND(ISNUMBER(_xlpm.r),ISNUMBER(_xlpm.p)),
      _xlpm.r-_xlpm.p,
      ""
   )
)
)</f>
        <v>413.88</v>
      </c>
      <c r="L144" s="4">
        <f>_xlfn.LET(
_xlpm.p,RawData!L144,
_xlpm.r,RawData!J144,
_xlpm.c,RawData!K144,
IF(ISNUMBER(_xlpm.p),_xlpm.p,
IF(AND(ISNUMBER(_xlpm.r),ISNUMBER(_xlpm.c)),
_xlpm.r-_xlpm.c,
""
)
))</f>
        <v>325.58999999999997</v>
      </c>
    </row>
    <row r="145" spans="1:12" x14ac:dyDescent="0.35">
      <c r="A145" t="s">
        <v>180</v>
      </c>
      <c r="B145" s="7">
        <v>46015</v>
      </c>
      <c r="C145" t="str">
        <f>IF(RawData!C145="","Unknown",PROPER(TRIM(CLEAN(SUBSTITUTE(RawData!C145,CHAR(160)," ")))))</f>
        <v>South</v>
      </c>
      <c r="D145" t="str">
        <f>IF(RawData!D145="","Unknown",PROPER(TRIM(CLEAN(SUBSTITUTE(RawData!D145,CHAR(160)," ")))))</f>
        <v>Hyderabad</v>
      </c>
      <c r="E145" t="str">
        <f>IF(RawData!E145="","Unknown",PROPER(TRIM(CLEAN(SUBSTITUTE(RawData!E145,CHAR(160)," ")))))</f>
        <v>Laptop</v>
      </c>
      <c r="F145" t="str">
        <f>IF(RawData!F145="","Unknown",PROPER(TRIM(CLEAN(SUBSTITUTE(RawData!F145,CHAR(160)," ")))))</f>
        <v>Accessories</v>
      </c>
      <c r="G145">
        <f>_xlfn.LET(
_xlpm.q,RawData!G145,
_xlpm.u,RawData!H145,
_xlpm.d,RawData!I145,
_xlpm.r,RawData!J145,
IF(AND(ISNUMBER(_xlpm.q),_xlpm.q&gt;0),_xlpm.q,
   IF(AND(ISNUMBER(_xlpm.r),ISNUMBER(_xlpm.u),_xlpm.u&gt;0,ISNUMBER(_xlpm.d),_xlpm.d&gt;=0,_xlpm.d&lt;1),
      ROUND(_xlpm.r/(_xlpm.u*(1-_xlpm.d)),0),
      ""
   )
)
)</f>
        <v>8</v>
      </c>
      <c r="H145" s="4">
        <f>_xlfn.LET(
_xlpm.q,RawData!G145,
_xlpm.u,RawData!H145,
_xlpm.d,RawData!I145,
_xlpm.r,RawData!J145,
IF(AND(ISNUMBER(_xlpm.u),_xlpm.u&gt;0),_xlpm.u,
   IF(AND(ISNUMBER(_xlpm.q),_xlpm.q&gt;0,ISNUMBER(_xlpm.r),ISNUMBER(_xlpm.d),_xlpm.d&gt;=0,_xlpm.d&lt;1),
      _xlpm.r/(_xlpm.q*(1-_xlpm.d)),
      ""
   )
)
)</f>
        <v>44.54</v>
      </c>
      <c r="I145" s="5">
        <f>_xlfn.LET(
_xlpm.q,RawData!G145,
_xlpm.u,RawData!H145,
_xlpm.d,RawData!I145,
_xlpm.r,RawData!J145,
IF(AND(ISNUMBER(_xlpm.d),_xlpm.d&gt;=0,_xlpm.d&lt;1),_xlpm.d,
   IF(AND(ISNUMBER(_xlpm.q),_xlpm.q&gt;0,ISNUMBER(_xlpm.u),_xlpm.u&gt;0,ISNUMBER(_xlpm.r),_xlpm.r&gt;=0),
      1-(_xlpm.r/(_xlpm.q*_xlpm.u)),
      ""
   )
)
)</f>
        <v>0</v>
      </c>
      <c r="J145" s="4">
        <f>_xlfn.LET(
_xlpm.q,RawData!G145,
_xlpm.u,RawData!H145,
_xlpm.d,RawData!I145,
_xlpm.r,RawData!J145,
IF(AND(ISNUMBER(_xlpm.r),_xlpm.r&gt;=0),_xlpm.r,
   IF(AND(ISNUMBER(_xlpm.q),_xlpm.q&gt;0,ISNUMBER(_xlpm.u),_xlpm.u&gt;0,ISNUMBER(_xlpm.d),_xlpm.d&gt;=0,_xlpm.d&lt;1),
      _xlpm.q*_xlpm.u*(1-_xlpm.d),
      ""
   )
)
)</f>
        <v>356.32</v>
      </c>
      <c r="K145" s="4">
        <f>_xlfn.LET(
_xlpm.c,RawData!K145,
_xlpm.r,RawData!J145,
_xlpm.p,RawData!L145,
IF(AND(ISNUMBER(_xlpm.c),_xlpm.c&gt;=0),_xlpm.c,
   IF(AND(ISNUMBER(_xlpm.r),ISNUMBER(_xlpm.p)),
      _xlpm.r-_xlpm.p,
      ""
   )
)
)</f>
        <v>248.18</v>
      </c>
      <c r="L145" s="4">
        <f>_xlfn.LET(
_xlpm.p,RawData!L145,
_xlpm.r,RawData!J145,
_xlpm.c,RawData!K145,
IF(ISNUMBER(_xlpm.p),_xlpm.p,
IF(AND(ISNUMBER(_xlpm.r),ISNUMBER(_xlpm.c)),
_xlpm.r-_xlpm.c,
""
)
))</f>
        <v>108.14</v>
      </c>
    </row>
    <row r="146" spans="1:12" x14ac:dyDescent="0.35">
      <c r="A146" t="s">
        <v>182</v>
      </c>
      <c r="B146" s="7">
        <v>45951</v>
      </c>
      <c r="C146" t="str">
        <f>IF(RawData!C146="","Unknown",PROPER(TRIM(CLEAN(SUBSTITUTE(RawData!C146,CHAR(160)," ")))))</f>
        <v>East</v>
      </c>
      <c r="D146" t="str">
        <f>IF(RawData!D146="","Unknown",PROPER(TRIM(CLEAN(SUBSTITUTE(RawData!D146,CHAR(160)," ")))))</f>
        <v>Bhubaneswar</v>
      </c>
      <c r="E146" t="str">
        <f>IF(RawData!E146="","Unknown",PROPER(TRIM(CLEAN(SUBSTITUTE(RawData!E146,CHAR(160)," ")))))</f>
        <v>Printer</v>
      </c>
      <c r="F146" t="str">
        <f>IF(RawData!F146="","Unknown",PROPER(TRIM(CLEAN(SUBSTITUTE(RawData!F146,CHAR(160)," ")))))</f>
        <v>Office Supplies</v>
      </c>
      <c r="G146">
        <f>_xlfn.LET(
_xlpm.q,RawData!G146,
_xlpm.u,RawData!H146,
_xlpm.d,RawData!I146,
_xlpm.r,RawData!J146,
IF(AND(ISNUMBER(_xlpm.q),_xlpm.q&gt;0),_xlpm.q,
   IF(AND(ISNUMBER(_xlpm.r),ISNUMBER(_xlpm.u),_xlpm.u&gt;0,ISNUMBER(_xlpm.d),_xlpm.d&gt;=0,_xlpm.d&lt;1),
      ROUND(_xlpm.r/(_xlpm.u*(1-_xlpm.d)),0),
      ""
   )
)
)</f>
        <v>8</v>
      </c>
      <c r="H146" s="4">
        <f>_xlfn.LET(
_xlpm.q,RawData!G146,
_xlpm.u,RawData!H146,
_xlpm.d,RawData!I146,
_xlpm.r,RawData!J146,
IF(AND(ISNUMBER(_xlpm.u),_xlpm.u&gt;0),_xlpm.u,
   IF(AND(ISNUMBER(_xlpm.q),_xlpm.q&gt;0,ISNUMBER(_xlpm.r),ISNUMBER(_xlpm.d),_xlpm.d&gt;=0,_xlpm.d&lt;1),
      _xlpm.r/(_xlpm.q*(1-_xlpm.d)),
      ""
   )
)
)</f>
        <v>149.75</v>
      </c>
      <c r="I146" s="5">
        <f>_xlfn.LET(
_xlpm.q,RawData!G146,
_xlpm.u,RawData!H146,
_xlpm.d,RawData!I146,
_xlpm.r,RawData!J146,
IF(AND(ISNUMBER(_xlpm.d),_xlpm.d&gt;=0,_xlpm.d&lt;1),_xlpm.d,
   IF(AND(ISNUMBER(_xlpm.q),_xlpm.q&gt;0,ISNUMBER(_xlpm.u),_xlpm.u&gt;0,ISNUMBER(_xlpm.r),_xlpm.r&gt;=0),
      1-(_xlpm.r/(_xlpm.q*_xlpm.u)),
      ""
   )
)
)</f>
        <v>0.1</v>
      </c>
      <c r="J146" s="4">
        <f>_xlfn.LET(
_xlpm.q,RawData!G146,
_xlpm.u,RawData!H146,
_xlpm.d,RawData!I146,
_xlpm.r,RawData!J146,
IF(AND(ISNUMBER(_xlpm.r),_xlpm.r&gt;=0),_xlpm.r,
   IF(AND(ISNUMBER(_xlpm.q),_xlpm.q&gt;0,ISNUMBER(_xlpm.u),_xlpm.u&gt;0,ISNUMBER(_xlpm.d),_xlpm.d&gt;=0,_xlpm.d&lt;1),
      _xlpm.q*_xlpm.u*(1-_xlpm.d),
      ""
   )
)
)</f>
        <v>1078.2</v>
      </c>
      <c r="K146" s="4">
        <f>_xlfn.LET(
_xlpm.c,RawData!K146,
_xlpm.r,RawData!J146,
_xlpm.p,RawData!L146,
IF(AND(ISNUMBER(_xlpm.c),_xlpm.c&gt;=0),_xlpm.c,
   IF(AND(ISNUMBER(_xlpm.r),ISNUMBER(_xlpm.p)),
      _xlpm.r-_xlpm.p,
      ""
   )
)
)</f>
        <v>765.01</v>
      </c>
      <c r="L146" s="4">
        <f>_xlfn.LET(
_xlpm.p,RawData!L146,
_xlpm.r,RawData!J146,
_xlpm.c,RawData!K146,
IF(ISNUMBER(_xlpm.p),_xlpm.p,
IF(AND(ISNUMBER(_xlpm.r),ISNUMBER(_xlpm.c)),
_xlpm.r-_xlpm.c,
""
)
))</f>
        <v>313.19</v>
      </c>
    </row>
    <row r="147" spans="1:12" x14ac:dyDescent="0.35">
      <c r="A147" t="s">
        <v>183</v>
      </c>
      <c r="B147" s="7">
        <v>45752</v>
      </c>
      <c r="C147" t="str">
        <f>IF(RawData!C147="","Unknown",PROPER(TRIM(CLEAN(SUBSTITUTE(RawData!C147,CHAR(160)," ")))))</f>
        <v>North</v>
      </c>
      <c r="D147" t="str">
        <f>IF(RawData!D147="","Unknown",PROPER(TRIM(CLEAN(SUBSTITUTE(RawData!D147,CHAR(160)," ")))))</f>
        <v>Delhi</v>
      </c>
      <c r="E147" t="str">
        <f>IF(RawData!E147="","Unknown",PROPER(TRIM(CLEAN(SUBSTITUTE(RawData!E147,CHAR(160)," ")))))</f>
        <v>Office Chair</v>
      </c>
      <c r="F147" t="str">
        <f>IF(RawData!F147="","Unknown",PROPER(TRIM(CLEAN(SUBSTITUTE(RawData!F147,CHAR(160)," ")))))</f>
        <v>Furniture</v>
      </c>
      <c r="G147">
        <f>_xlfn.LET(
_xlpm.q,RawData!G147,
_xlpm.u,RawData!H147,
_xlpm.d,RawData!I147,
_xlpm.r,RawData!J147,
IF(AND(ISNUMBER(_xlpm.q),_xlpm.q&gt;0),_xlpm.q,
   IF(AND(ISNUMBER(_xlpm.r),ISNUMBER(_xlpm.u),_xlpm.u&gt;0,ISNUMBER(_xlpm.d),_xlpm.d&gt;=0,_xlpm.d&lt;1),
      ROUND(_xlpm.r/(_xlpm.u*(1-_xlpm.d)),0),
      ""
   )
)
)</f>
        <v>8</v>
      </c>
      <c r="H147" s="4">
        <f>_xlfn.LET(
_xlpm.q,RawData!G147,
_xlpm.u,RawData!H147,
_xlpm.d,RawData!I147,
_xlpm.r,RawData!J147,
IF(AND(ISNUMBER(_xlpm.u),_xlpm.u&gt;0),_xlpm.u,
   IF(AND(ISNUMBER(_xlpm.q),_xlpm.q&gt;0,ISNUMBER(_xlpm.r),ISNUMBER(_xlpm.d),_xlpm.d&gt;=0,_xlpm.d&lt;1),
      _xlpm.r/(_xlpm.q*(1-_xlpm.d)),
      ""
   )
)
)</f>
        <v>154.65</v>
      </c>
      <c r="I147" s="5">
        <f>_xlfn.LET(
_xlpm.q,RawData!G147,
_xlpm.u,RawData!H147,
_xlpm.d,RawData!I147,
_xlpm.r,RawData!J147,
IF(AND(ISNUMBER(_xlpm.d),_xlpm.d&gt;=0,_xlpm.d&lt;1),_xlpm.d,
   IF(AND(ISNUMBER(_xlpm.q),_xlpm.q&gt;0,ISNUMBER(_xlpm.u),_xlpm.u&gt;0,ISNUMBER(_xlpm.r),_xlpm.r&gt;=0),
      1-(_xlpm.r/(_xlpm.q*_xlpm.u)),
      ""
   )
)
)</f>
        <v>0</v>
      </c>
      <c r="J147" s="4">
        <f>_xlfn.LET(
_xlpm.q,RawData!G147,
_xlpm.u,RawData!H147,
_xlpm.d,RawData!I147,
_xlpm.r,RawData!J147,
IF(AND(ISNUMBER(_xlpm.r),_xlpm.r&gt;=0),_xlpm.r,
   IF(AND(ISNUMBER(_xlpm.q),_xlpm.q&gt;0,ISNUMBER(_xlpm.u),_xlpm.u&gt;0,ISNUMBER(_xlpm.d),_xlpm.d&gt;=0,_xlpm.d&lt;1),
      _xlpm.q*_xlpm.u*(1-_xlpm.d),
      ""
   )
)
)</f>
        <v>1237.2</v>
      </c>
      <c r="K147" s="4">
        <f>_xlfn.LET(
_xlpm.c,RawData!K147,
_xlpm.r,RawData!J147,
_xlpm.p,RawData!L147,
IF(AND(ISNUMBER(_xlpm.c),_xlpm.c&gt;=0),_xlpm.c,
   IF(AND(ISNUMBER(_xlpm.r),ISNUMBER(_xlpm.p)),
      _xlpm.r-_xlpm.p,
      ""
   )
)
)</f>
        <v>692.94</v>
      </c>
      <c r="L147" s="4">
        <f>_xlfn.LET(
_xlpm.p,RawData!L147,
_xlpm.r,RawData!J147,
_xlpm.c,RawData!K147,
IF(ISNUMBER(_xlpm.p),_xlpm.p,
IF(AND(ISNUMBER(_xlpm.r),ISNUMBER(_xlpm.c)),
_xlpm.r-_xlpm.c,
""
)
))</f>
        <v>544.26</v>
      </c>
    </row>
    <row r="148" spans="1:12" x14ac:dyDescent="0.35">
      <c r="A148" t="s">
        <v>184</v>
      </c>
      <c r="B148" s="7">
        <v>45863</v>
      </c>
      <c r="C148" t="str">
        <f>IF(RawData!C148="","Unknown",PROPER(TRIM(CLEAN(SUBSTITUTE(RawData!C148,CHAR(160)," ")))))</f>
        <v>West</v>
      </c>
      <c r="D148" t="str">
        <f>IF(RawData!D148="","Unknown",PROPER(TRIM(CLEAN(SUBSTITUTE(RawData!D148,CHAR(160)," ")))))</f>
        <v>Ahmedabad</v>
      </c>
      <c r="E148" t="str">
        <f>IF(RawData!E148="","Unknown",PROPER(TRIM(CLEAN(SUBSTITUTE(RawData!E148,CHAR(160)," ")))))</f>
        <v>Smartphone</v>
      </c>
      <c r="F148" t="str">
        <f>IF(RawData!F148="","Unknown",PROPER(TRIM(CLEAN(SUBSTITUTE(RawData!F148,CHAR(160)," ")))))</f>
        <v>Electronics</v>
      </c>
      <c r="G148">
        <f>_xlfn.LET(
_xlpm.q,RawData!G148,
_xlpm.u,RawData!H148,
_xlpm.d,RawData!I148,
_xlpm.r,RawData!J148,
IF(AND(ISNUMBER(_xlpm.q),_xlpm.q&gt;0),_xlpm.q,
   IF(AND(ISNUMBER(_xlpm.r),ISNUMBER(_xlpm.u),_xlpm.u&gt;0,ISNUMBER(_xlpm.d),_xlpm.d&gt;=0,_xlpm.d&lt;1),
      ROUND(_xlpm.r/(_xlpm.u*(1-_xlpm.d)),0),
      ""
   )
)
)</f>
        <v>10</v>
      </c>
      <c r="H148" s="4">
        <f>_xlfn.LET(
_xlpm.q,RawData!G148,
_xlpm.u,RawData!H148,
_xlpm.d,RawData!I148,
_xlpm.r,RawData!J148,
IF(AND(ISNUMBER(_xlpm.u),_xlpm.u&gt;0),_xlpm.u,
   IF(AND(ISNUMBER(_xlpm.q),_xlpm.q&gt;0,ISNUMBER(_xlpm.r),ISNUMBER(_xlpm.d),_xlpm.d&gt;=0,_xlpm.d&lt;1),
      _xlpm.r/(_xlpm.q*(1-_xlpm.d)),
      ""
   )
)
)</f>
        <v>603.23</v>
      </c>
      <c r="I148" s="5">
        <f>_xlfn.LET(
_xlpm.q,RawData!G148,
_xlpm.u,RawData!H148,
_xlpm.d,RawData!I148,
_xlpm.r,RawData!J148,
IF(AND(ISNUMBER(_xlpm.d),_xlpm.d&gt;=0,_xlpm.d&lt;1),_xlpm.d,
   IF(AND(ISNUMBER(_xlpm.q),_xlpm.q&gt;0,ISNUMBER(_xlpm.u),_xlpm.u&gt;0,ISNUMBER(_xlpm.r),_xlpm.r&gt;=0),
      1-(_xlpm.r/(_xlpm.q*_xlpm.u)),
      ""
   )
)
)</f>
        <v>0.2</v>
      </c>
      <c r="J148" s="4">
        <f>_xlfn.LET(
_xlpm.q,RawData!G148,
_xlpm.u,RawData!H148,
_xlpm.d,RawData!I148,
_xlpm.r,RawData!J148,
IF(AND(ISNUMBER(_xlpm.r),_xlpm.r&gt;=0),_xlpm.r,
   IF(AND(ISNUMBER(_xlpm.q),_xlpm.q&gt;0,ISNUMBER(_xlpm.u),_xlpm.u&gt;0,ISNUMBER(_xlpm.d),_xlpm.d&gt;=0,_xlpm.d&lt;1),
      _xlpm.q*_xlpm.u*(1-_xlpm.d),
      ""
   )
)
)</f>
        <v>4825.84</v>
      </c>
      <c r="K148" s="4">
        <f>_xlfn.LET(
_xlpm.c,RawData!K148,
_xlpm.r,RawData!J148,
_xlpm.p,RawData!L148,
IF(AND(ISNUMBER(_xlpm.c),_xlpm.c&gt;=0),_xlpm.c,
   IF(AND(ISNUMBER(_xlpm.r),ISNUMBER(_xlpm.p)),
      _xlpm.r-_xlpm.p,
      ""
   )
)
)</f>
        <v>3123.53</v>
      </c>
      <c r="L148" s="4">
        <f>_xlfn.LET(
_xlpm.p,RawData!L148,
_xlpm.r,RawData!J148,
_xlpm.c,RawData!K148,
IF(ISNUMBER(_xlpm.p),_xlpm.p,
IF(AND(ISNUMBER(_xlpm.r),ISNUMBER(_xlpm.c)),
_xlpm.r-_xlpm.c,
""
)
))</f>
        <v>1702.31</v>
      </c>
    </row>
    <row r="149" spans="1:12" x14ac:dyDescent="0.35">
      <c r="A149" t="s">
        <v>185</v>
      </c>
      <c r="B149" s="7">
        <v>45685</v>
      </c>
      <c r="C149" t="str">
        <f>IF(RawData!C149="","Unknown",PROPER(TRIM(CLEAN(SUBSTITUTE(RawData!C149,CHAR(160)," ")))))</f>
        <v>South</v>
      </c>
      <c r="D149" t="str">
        <f>IF(RawData!D149="","Unknown",PROPER(TRIM(CLEAN(SUBSTITUTE(RawData!D149,CHAR(160)," ")))))</f>
        <v>Hyderabad</v>
      </c>
      <c r="E149" t="str">
        <f>IF(RawData!E149="","Unknown",PROPER(TRIM(CLEAN(SUBSTITUTE(RawData!E149,CHAR(160)," ")))))</f>
        <v>Headphones</v>
      </c>
      <c r="F149" t="str">
        <f>IF(RawData!F149="","Unknown",PROPER(TRIM(CLEAN(SUBSTITUTE(RawData!F149,CHAR(160)," ")))))</f>
        <v>Electronics</v>
      </c>
      <c r="G149">
        <f>_xlfn.LET(
_xlpm.q,RawData!G149,
_xlpm.u,RawData!H149,
_xlpm.d,RawData!I149,
_xlpm.r,RawData!J149,
IF(AND(ISNUMBER(_xlpm.q),_xlpm.q&gt;0),_xlpm.q,
   IF(AND(ISNUMBER(_xlpm.r),ISNUMBER(_xlpm.u),_xlpm.u&gt;0,ISNUMBER(_xlpm.d),_xlpm.d&gt;=0,_xlpm.d&lt;1),
      ROUND(_xlpm.r/(_xlpm.u*(1-_xlpm.d)),0),
      ""
   )
)
)</f>
        <v>10</v>
      </c>
      <c r="H149" s="4">
        <f>_xlfn.LET(
_xlpm.q,RawData!G149,
_xlpm.u,RawData!H149,
_xlpm.d,RawData!I149,
_xlpm.r,RawData!J149,
IF(AND(ISNUMBER(_xlpm.u),_xlpm.u&gt;0),_xlpm.u,
   IF(AND(ISNUMBER(_xlpm.q),_xlpm.q&gt;0,ISNUMBER(_xlpm.r),ISNUMBER(_xlpm.d),_xlpm.d&gt;=0,_xlpm.d&lt;1),
      _xlpm.r/(_xlpm.q*(1-_xlpm.d)),
      ""
   )
)
)</f>
        <v>71.05</v>
      </c>
      <c r="I149" s="5">
        <f>_xlfn.LET(
_xlpm.q,RawData!G149,
_xlpm.u,RawData!H149,
_xlpm.d,RawData!I149,
_xlpm.r,RawData!J149,
IF(AND(ISNUMBER(_xlpm.d),_xlpm.d&gt;=0,_xlpm.d&lt;1),_xlpm.d,
   IF(AND(ISNUMBER(_xlpm.q),_xlpm.q&gt;0,ISNUMBER(_xlpm.u),_xlpm.u&gt;0,ISNUMBER(_xlpm.r),_xlpm.r&gt;=0),
      1-(_xlpm.r/(_xlpm.q*_xlpm.u)),
      ""
   )
)
)</f>
        <v>0.05</v>
      </c>
      <c r="J149" s="4">
        <f>_xlfn.LET(
_xlpm.q,RawData!G149,
_xlpm.u,RawData!H149,
_xlpm.d,RawData!I149,
_xlpm.r,RawData!J149,
IF(AND(ISNUMBER(_xlpm.r),_xlpm.r&gt;=0),_xlpm.r,
   IF(AND(ISNUMBER(_xlpm.q),_xlpm.q&gt;0,ISNUMBER(_xlpm.u),_xlpm.u&gt;0,ISNUMBER(_xlpm.d),_xlpm.d&gt;=0,_xlpm.d&lt;1),
      _xlpm.q*_xlpm.u*(1-_xlpm.d),
      ""
   )
)
)</f>
        <v>674.98</v>
      </c>
      <c r="K149" s="4">
        <f>_xlfn.LET(
_xlpm.c,RawData!K149,
_xlpm.r,RawData!J149,
_xlpm.p,RawData!L149,
IF(AND(ISNUMBER(_xlpm.c),_xlpm.c&gt;=0),_xlpm.c,
   IF(AND(ISNUMBER(_xlpm.r),ISNUMBER(_xlpm.p)),
      _xlpm.r-_xlpm.p,
      ""
   )
)
)</f>
        <v>466.42</v>
      </c>
      <c r="L149" s="4">
        <f>_xlfn.LET(
_xlpm.p,RawData!L149,
_xlpm.r,RawData!J149,
_xlpm.c,RawData!K149,
IF(ISNUMBER(_xlpm.p),_xlpm.p,
IF(AND(ISNUMBER(_xlpm.r),ISNUMBER(_xlpm.c)),
_xlpm.r-_xlpm.c,
""
)
))</f>
        <v>208.56</v>
      </c>
    </row>
    <row r="150" spans="1:12" x14ac:dyDescent="0.35">
      <c r="A150" t="s">
        <v>186</v>
      </c>
      <c r="B150" s="7">
        <v>45785</v>
      </c>
      <c r="C150" t="str">
        <f>IF(RawData!C150="","Unknown",PROPER(TRIM(CLEAN(SUBSTITUTE(RawData!C150,CHAR(160)," ")))))</f>
        <v>North</v>
      </c>
      <c r="D150" t="str">
        <f>IF(RawData!D150="","Unknown",PROPER(TRIM(CLEAN(SUBSTITUTE(RawData!D150,CHAR(160)," ")))))</f>
        <v>Lucknow</v>
      </c>
      <c r="E150" t="str">
        <f>IF(RawData!E150="","Unknown",PROPER(TRIM(CLEAN(SUBSTITUTE(RawData!E150,CHAR(160)," ")))))</f>
        <v>Notebook</v>
      </c>
      <c r="F150" t="str">
        <f>IF(RawData!F150="","Unknown",PROPER(TRIM(CLEAN(SUBSTITUTE(RawData!F150,CHAR(160)," ")))))</f>
        <v>Office Supplies</v>
      </c>
      <c r="G150">
        <f>_xlfn.LET(
_xlpm.q,RawData!G150,
_xlpm.u,RawData!H150,
_xlpm.d,RawData!I150,
_xlpm.r,RawData!J150,
IF(AND(ISNUMBER(_xlpm.q),_xlpm.q&gt;0),_xlpm.q,
   IF(AND(ISNUMBER(_xlpm.r),ISNUMBER(_xlpm.u),_xlpm.u&gt;0,ISNUMBER(_xlpm.d),_xlpm.d&gt;=0,_xlpm.d&lt;1),
      ROUND(_xlpm.r/(_xlpm.u*(1-_xlpm.d)),0),
      ""
   )
)
)</f>
        <v>7</v>
      </c>
      <c r="H150" s="4">
        <f>_xlfn.LET(
_xlpm.q,RawData!G150,
_xlpm.u,RawData!H150,
_xlpm.d,RawData!I150,
_xlpm.r,RawData!J150,
IF(AND(ISNUMBER(_xlpm.u),_xlpm.u&gt;0),_xlpm.u,
   IF(AND(ISNUMBER(_xlpm.q),_xlpm.q&gt;0,ISNUMBER(_xlpm.r),ISNUMBER(_xlpm.d),_xlpm.d&gt;=0,_xlpm.d&lt;1),
      _xlpm.r/(_xlpm.q*(1-_xlpm.d)),
      ""
   )
)
)</f>
        <v>8.65</v>
      </c>
      <c r="I150" s="5">
        <f>_xlfn.LET(
_xlpm.q,RawData!G150,
_xlpm.u,RawData!H150,
_xlpm.d,RawData!I150,
_xlpm.r,RawData!J150,
IF(AND(ISNUMBER(_xlpm.d),_xlpm.d&gt;=0,_xlpm.d&lt;1),_xlpm.d,
   IF(AND(ISNUMBER(_xlpm.q),_xlpm.q&gt;0,ISNUMBER(_xlpm.u),_xlpm.u&gt;0,ISNUMBER(_xlpm.r),_xlpm.r&gt;=0),
      1-(_xlpm.r/(_xlpm.q*_xlpm.u)),
      ""
   )
)
)</f>
        <v>0.15</v>
      </c>
      <c r="J150" s="4">
        <f>_xlfn.LET(
_xlpm.q,RawData!G150,
_xlpm.u,RawData!H150,
_xlpm.d,RawData!I150,
_xlpm.r,RawData!J150,
IF(AND(ISNUMBER(_xlpm.r),_xlpm.r&gt;=0),_xlpm.r,
   IF(AND(ISNUMBER(_xlpm.q),_xlpm.q&gt;0,ISNUMBER(_xlpm.u),_xlpm.u&gt;0,ISNUMBER(_xlpm.d),_xlpm.d&gt;=0,_xlpm.d&lt;1),
      _xlpm.q*_xlpm.u*(1-_xlpm.d),
      ""
   )
)
)</f>
        <v>51.47</v>
      </c>
      <c r="K150" s="4">
        <f>_xlfn.LET(
_xlpm.c,RawData!K150,
_xlpm.r,RawData!J150,
_xlpm.p,RawData!L150,
IF(AND(ISNUMBER(_xlpm.c),_xlpm.c&gt;=0),_xlpm.c,
   IF(AND(ISNUMBER(_xlpm.r),ISNUMBER(_xlpm.p)),
      _xlpm.r-_xlpm.p,
      ""
   )
)
)</f>
        <v>31.31</v>
      </c>
      <c r="L150" s="4">
        <f>_xlfn.LET(
_xlpm.p,RawData!L150,
_xlpm.r,RawData!J150,
_xlpm.c,RawData!K150,
IF(ISNUMBER(_xlpm.p),_xlpm.p,
IF(AND(ISNUMBER(_xlpm.r),ISNUMBER(_xlpm.c)),
_xlpm.r-_xlpm.c,
""
)
))</f>
        <v>20.16</v>
      </c>
    </row>
    <row r="151" spans="1:12" x14ac:dyDescent="0.35">
      <c r="A151" t="s">
        <v>187</v>
      </c>
      <c r="B151" s="7">
        <v>45974</v>
      </c>
      <c r="C151" t="str">
        <f>IF(RawData!C151="","Unknown",PROPER(TRIM(CLEAN(SUBSTITUTE(RawData!C151,CHAR(160)," ")))))</f>
        <v>South</v>
      </c>
      <c r="D151" t="str">
        <f>IF(RawData!D151="","Unknown",PROPER(TRIM(CLEAN(SUBSTITUTE(RawData!D151,CHAR(160)," ")))))</f>
        <v>Chennai</v>
      </c>
      <c r="E151" t="str">
        <f>IF(RawData!E151="","Unknown",PROPER(TRIM(CLEAN(SUBSTITUTE(RawData!E151,CHAR(160)," ")))))</f>
        <v>Notebook</v>
      </c>
      <c r="F151" t="str">
        <f>IF(RawData!F151="","Unknown",PROPER(TRIM(CLEAN(SUBSTITUTE(RawData!F151,CHAR(160)," ")))))</f>
        <v>Office Supplies</v>
      </c>
      <c r="G151">
        <f>_xlfn.LET(
_xlpm.q,RawData!G151,
_xlpm.u,RawData!H151,
_xlpm.d,RawData!I151,
_xlpm.r,RawData!J151,
IF(AND(ISNUMBER(_xlpm.q),_xlpm.q&gt;0),_xlpm.q,
   IF(AND(ISNUMBER(_xlpm.r),ISNUMBER(_xlpm.u),_xlpm.u&gt;0,ISNUMBER(_xlpm.d),_xlpm.d&gt;=0,_xlpm.d&lt;1),
      ROUND(_xlpm.r/(_xlpm.u*(1-_xlpm.d)),0),
      ""
   )
)
)</f>
        <v>7</v>
      </c>
      <c r="H151" s="4">
        <f>_xlfn.LET(
_xlpm.q,RawData!G151,
_xlpm.u,RawData!H151,
_xlpm.d,RawData!I151,
_xlpm.r,RawData!J151,
IF(AND(ISNUMBER(_xlpm.u),_xlpm.u&gt;0),_xlpm.u,
   IF(AND(ISNUMBER(_xlpm.q),_xlpm.q&gt;0,ISNUMBER(_xlpm.r),ISNUMBER(_xlpm.d),_xlpm.d&gt;=0,_xlpm.d&lt;1),
      _xlpm.r/(_xlpm.q*(1-_xlpm.d)),
      ""
   )
)
)</f>
        <v>8.2899999999999991</v>
      </c>
      <c r="I151" s="5">
        <f>_xlfn.LET(
_xlpm.q,RawData!G151,
_xlpm.u,RawData!H151,
_xlpm.d,RawData!I151,
_xlpm.r,RawData!J151,
IF(AND(ISNUMBER(_xlpm.d),_xlpm.d&gt;=0,_xlpm.d&lt;1),_xlpm.d,
   IF(AND(ISNUMBER(_xlpm.q),_xlpm.q&gt;0,ISNUMBER(_xlpm.u),_xlpm.u&gt;0,ISNUMBER(_xlpm.r),_xlpm.r&gt;=0),
      1-(_xlpm.r/(_xlpm.q*_xlpm.u)),
      ""
   )
)
)</f>
        <v>0.1</v>
      </c>
      <c r="J151" s="4">
        <f>_xlfn.LET(
_xlpm.q,RawData!G151,
_xlpm.u,RawData!H151,
_xlpm.d,RawData!I151,
_xlpm.r,RawData!J151,
IF(AND(ISNUMBER(_xlpm.r),_xlpm.r&gt;=0),_xlpm.r,
   IF(AND(ISNUMBER(_xlpm.q),_xlpm.q&gt;0,ISNUMBER(_xlpm.u),_xlpm.u&gt;0,ISNUMBER(_xlpm.d),_xlpm.d&gt;=0,_xlpm.d&lt;1),
      _xlpm.q*_xlpm.u*(1-_xlpm.d),
      ""
   )
)
)</f>
        <v>52.23</v>
      </c>
      <c r="K151" s="4">
        <f>_xlfn.LET(
_xlpm.c,RawData!K151,
_xlpm.r,RawData!J151,
_xlpm.p,RawData!L151,
IF(AND(ISNUMBER(_xlpm.c),_xlpm.c&gt;=0),_xlpm.c,
   IF(AND(ISNUMBER(_xlpm.r),ISNUMBER(_xlpm.p)),
      _xlpm.r-_xlpm.p,
      ""
   )
)
)</f>
        <v>29.93</v>
      </c>
      <c r="L151" s="4">
        <f>_xlfn.LET(
_xlpm.p,RawData!L151,
_xlpm.r,RawData!J151,
_xlpm.c,RawData!K151,
IF(ISNUMBER(_xlpm.p),_xlpm.p,
IF(AND(ISNUMBER(_xlpm.r),ISNUMBER(_xlpm.c)),
_xlpm.r-_xlpm.c,
""
)
))</f>
        <v>22.3</v>
      </c>
    </row>
    <row r="152" spans="1:12" x14ac:dyDescent="0.35">
      <c r="A152" t="s">
        <v>188</v>
      </c>
      <c r="B152" s="7">
        <v>45810</v>
      </c>
      <c r="C152" t="str">
        <f>IF(RawData!C152="","Unknown",PROPER(TRIM(CLEAN(SUBSTITUTE(RawData!C152,CHAR(160)," ")))))</f>
        <v>West</v>
      </c>
      <c r="D152" t="str">
        <f>IF(RawData!D152="","Unknown",PROPER(TRIM(CLEAN(SUBSTITUTE(RawData!D152,CHAR(160)," ")))))</f>
        <v>Mumbai</v>
      </c>
      <c r="E152" t="str">
        <f>IF(RawData!E152="","Unknown",PROPER(TRIM(CLEAN(SUBSTITUTE(RawData!E152,CHAR(160)," ")))))</f>
        <v>Office Chair</v>
      </c>
      <c r="F152" t="str">
        <f>IF(RawData!F152="","Unknown",PROPER(TRIM(CLEAN(SUBSTITUTE(RawData!F152,CHAR(160)," ")))))</f>
        <v>Furniture</v>
      </c>
      <c r="G152">
        <f>_xlfn.LET(
_xlpm.q,RawData!G152,
_xlpm.u,RawData!H152,
_xlpm.d,RawData!I152,
_xlpm.r,RawData!J152,
IF(AND(ISNUMBER(_xlpm.q),_xlpm.q&gt;0),_xlpm.q,
   IF(AND(ISNUMBER(_xlpm.r),ISNUMBER(_xlpm.u),_xlpm.u&gt;0,ISNUMBER(_xlpm.d),_xlpm.d&gt;=0,_xlpm.d&lt;1),
      ROUND(_xlpm.r/(_xlpm.u*(1-_xlpm.d)),0),
      ""
   )
)
)</f>
        <v>10</v>
      </c>
      <c r="H152" s="4">
        <f>_xlfn.LET(
_xlpm.q,RawData!G152,
_xlpm.u,RawData!H152,
_xlpm.d,RawData!I152,
_xlpm.r,RawData!J152,
IF(AND(ISNUMBER(_xlpm.u),_xlpm.u&gt;0),_xlpm.u,
   IF(AND(ISNUMBER(_xlpm.q),_xlpm.q&gt;0,ISNUMBER(_xlpm.r),ISNUMBER(_xlpm.d),_xlpm.d&gt;=0,_xlpm.d&lt;1),
      _xlpm.r/(_xlpm.q*(1-_xlpm.d)),
      ""
   )
)
)</f>
        <v>155.79</v>
      </c>
      <c r="I152" s="5">
        <f>_xlfn.LET(
_xlpm.q,RawData!G152,
_xlpm.u,RawData!H152,
_xlpm.d,RawData!I152,
_xlpm.r,RawData!J152,
IF(AND(ISNUMBER(_xlpm.d),_xlpm.d&gt;=0,_xlpm.d&lt;1),_xlpm.d,
   IF(AND(ISNUMBER(_xlpm.q),_xlpm.q&gt;0,ISNUMBER(_xlpm.u),_xlpm.u&gt;0,ISNUMBER(_xlpm.r),_xlpm.r&gt;=0),
      1-(_xlpm.r/(_xlpm.q*_xlpm.u)),
      ""
   )
)
)</f>
        <v>0.15</v>
      </c>
      <c r="J152" s="4">
        <f>_xlfn.LET(
_xlpm.q,RawData!G152,
_xlpm.u,RawData!H152,
_xlpm.d,RawData!I152,
_xlpm.r,RawData!J152,
IF(AND(ISNUMBER(_xlpm.r),_xlpm.r&gt;=0),_xlpm.r,
   IF(AND(ISNUMBER(_xlpm.q),_xlpm.q&gt;0,ISNUMBER(_xlpm.u),_xlpm.u&gt;0,ISNUMBER(_xlpm.d),_xlpm.d&gt;=0,_xlpm.d&lt;1),
      _xlpm.q*_xlpm.u*(1-_xlpm.d),
      ""
   )
)
)</f>
        <v>1324.21</v>
      </c>
      <c r="K152" s="4">
        <f>_xlfn.LET(
_xlpm.c,RawData!K152,
_xlpm.r,RawData!J152,
_xlpm.p,RawData!L152,
IF(AND(ISNUMBER(_xlpm.c),_xlpm.c&gt;=0),_xlpm.c,
   IF(AND(ISNUMBER(_xlpm.r),ISNUMBER(_xlpm.p)),
      _xlpm.r-_xlpm.p,
      ""
   )
)
)</f>
        <v>918.29</v>
      </c>
      <c r="L152" s="4">
        <f>_xlfn.LET(
_xlpm.p,RawData!L152,
_xlpm.r,RawData!J152,
_xlpm.c,RawData!K152,
IF(ISNUMBER(_xlpm.p),_xlpm.p,
IF(AND(ISNUMBER(_xlpm.r),ISNUMBER(_xlpm.c)),
_xlpm.r-_xlpm.c,
""
)
))</f>
        <v>405.92</v>
      </c>
    </row>
    <row r="153" spans="1:12" x14ac:dyDescent="0.35">
      <c r="A153" t="s">
        <v>189</v>
      </c>
      <c r="B153" s="7">
        <v>45970</v>
      </c>
      <c r="C153" t="str">
        <f>IF(RawData!C153="","Unknown",PROPER(TRIM(CLEAN(SUBSTITUTE(RawData!C153,CHAR(160)," ")))))</f>
        <v>North</v>
      </c>
      <c r="D153" t="str">
        <f>IF(RawData!D153="","Unknown",PROPER(TRIM(CLEAN(SUBSTITUTE(RawData!D153,CHAR(160)," ")))))</f>
        <v>Lucknow</v>
      </c>
      <c r="E153" t="str">
        <f>IF(RawData!E153="","Unknown",PROPER(TRIM(CLEAN(SUBSTITUTE(RawData!E153,CHAR(160)," ")))))</f>
        <v>Monitor</v>
      </c>
      <c r="F153" t="str">
        <f>IF(RawData!F153="","Unknown",PROPER(TRIM(CLEAN(SUBSTITUTE(RawData!F153,CHAR(160)," ")))))</f>
        <v>Electronics</v>
      </c>
      <c r="G153">
        <f>_xlfn.LET(
_xlpm.q,RawData!G153,
_xlpm.u,RawData!H153,
_xlpm.d,RawData!I153,
_xlpm.r,RawData!J153,
IF(AND(ISNUMBER(_xlpm.q),_xlpm.q&gt;0),_xlpm.q,
   IF(AND(ISNUMBER(_xlpm.r),ISNUMBER(_xlpm.u),_xlpm.u&gt;0,ISNUMBER(_xlpm.d),_xlpm.d&gt;=0,_xlpm.d&lt;1),
      ROUND(_xlpm.r/(_xlpm.u*(1-_xlpm.d)),0),
      ""
   )
)
)</f>
        <v>4</v>
      </c>
      <c r="H153" s="4">
        <f>_xlfn.LET(
_xlpm.q,RawData!G153,
_xlpm.u,RawData!H153,
_xlpm.d,RawData!I153,
_xlpm.r,RawData!J153,
IF(AND(ISNUMBER(_xlpm.u),_xlpm.u&gt;0),_xlpm.u,
   IF(AND(ISNUMBER(_xlpm.q),_xlpm.q&gt;0,ISNUMBER(_xlpm.r),ISNUMBER(_xlpm.d),_xlpm.d&gt;=0,_xlpm.d&lt;1),
      _xlpm.r/(_xlpm.q*(1-_xlpm.d)),
      ""
   )
)
)</f>
        <v>222.68</v>
      </c>
      <c r="I153" s="5">
        <f>_xlfn.LET(
_xlpm.q,RawData!G153,
_xlpm.u,RawData!H153,
_xlpm.d,RawData!I153,
_xlpm.r,RawData!J153,
IF(AND(ISNUMBER(_xlpm.d),_xlpm.d&gt;=0,_xlpm.d&lt;1),_xlpm.d,
   IF(AND(ISNUMBER(_xlpm.q),_xlpm.q&gt;0,ISNUMBER(_xlpm.u),_xlpm.u&gt;0,ISNUMBER(_xlpm.r),_xlpm.r&gt;=0),
      1-(_xlpm.r/(_xlpm.q*_xlpm.u)),
      ""
   )
)
)</f>
        <v>0.05</v>
      </c>
      <c r="J153" s="4">
        <f>_xlfn.LET(
_xlpm.q,RawData!G153,
_xlpm.u,RawData!H153,
_xlpm.d,RawData!I153,
_xlpm.r,RawData!J153,
IF(AND(ISNUMBER(_xlpm.r),_xlpm.r&gt;=0),_xlpm.r,
   IF(AND(ISNUMBER(_xlpm.q),_xlpm.q&gt;0,ISNUMBER(_xlpm.u),_xlpm.u&gt;0,ISNUMBER(_xlpm.d),_xlpm.d&gt;=0,_xlpm.d&lt;1),
      _xlpm.q*_xlpm.u*(1-_xlpm.d),
      ""
   )
)
)</f>
        <v>846.18</v>
      </c>
      <c r="K153" s="4">
        <f>_xlfn.LET(
_xlpm.c,RawData!K153,
_xlpm.r,RawData!J153,
_xlpm.p,RawData!L153,
IF(AND(ISNUMBER(_xlpm.c),_xlpm.c&gt;=0),_xlpm.c,
   IF(AND(ISNUMBER(_xlpm.r),ISNUMBER(_xlpm.p)),
      _xlpm.r-_xlpm.p,
      ""
   )
)
)</f>
        <v>611.03</v>
      </c>
      <c r="L153" s="4">
        <f>_xlfn.LET(
_xlpm.p,RawData!L153,
_xlpm.r,RawData!J153,
_xlpm.c,RawData!K153,
IF(ISNUMBER(_xlpm.p),_xlpm.p,
IF(AND(ISNUMBER(_xlpm.r),ISNUMBER(_xlpm.c)),
_xlpm.r-_xlpm.c,
""
)
))</f>
        <v>235.15</v>
      </c>
    </row>
    <row r="154" spans="1:12" x14ac:dyDescent="0.35">
      <c r="A154" t="s">
        <v>190</v>
      </c>
      <c r="B154" s="7">
        <v>45699</v>
      </c>
      <c r="C154" t="str">
        <f>IF(RawData!C154="","Unknown",PROPER(TRIM(CLEAN(SUBSTITUTE(RawData!C154,CHAR(160)," ")))))</f>
        <v>South</v>
      </c>
      <c r="D154" t="str">
        <f>IF(RawData!D154="","Unknown",PROPER(TRIM(CLEAN(SUBSTITUTE(RawData!D154,CHAR(160)," ")))))</f>
        <v>Hyderabad</v>
      </c>
      <c r="E154" t="str">
        <f>IF(RawData!E154="","Unknown",PROPER(TRIM(CLEAN(SUBSTITUTE(RawData!E154,CHAR(160)," ")))))</f>
        <v>Monitor</v>
      </c>
      <c r="F154" t="str">
        <f>IF(RawData!F154="","Unknown",PROPER(TRIM(CLEAN(SUBSTITUTE(RawData!F154,CHAR(160)," ")))))</f>
        <v>Electronics</v>
      </c>
      <c r="G154">
        <f>_xlfn.LET(
_xlpm.q,RawData!G154,
_xlpm.u,RawData!H154,
_xlpm.d,RawData!I154,
_xlpm.r,RawData!J154,
IF(AND(ISNUMBER(_xlpm.q),_xlpm.q&gt;0),_xlpm.q,
   IF(AND(ISNUMBER(_xlpm.r),ISNUMBER(_xlpm.u),_xlpm.u&gt;0,ISNUMBER(_xlpm.d),_xlpm.d&gt;=0,_xlpm.d&lt;1),
      ROUND(_xlpm.r/(_xlpm.u*(1-_xlpm.d)),0),
      ""
   )
)
)</f>
        <v>3</v>
      </c>
      <c r="H154" s="4">
        <f>_xlfn.LET(
_xlpm.q,RawData!G154,
_xlpm.u,RawData!H154,
_xlpm.d,RawData!I154,
_xlpm.r,RawData!J154,
IF(AND(ISNUMBER(_xlpm.u),_xlpm.u&gt;0),_xlpm.u,
   IF(AND(ISNUMBER(_xlpm.q),_xlpm.q&gt;0,ISNUMBER(_xlpm.r),ISNUMBER(_xlpm.d),_xlpm.d&gt;=0,_xlpm.d&lt;1),
      _xlpm.r/(_xlpm.q*(1-_xlpm.d)),
      ""
   )
)
)</f>
        <v>234.92</v>
      </c>
      <c r="I154" s="5">
        <f>_xlfn.LET(
_xlpm.q,RawData!G154,
_xlpm.u,RawData!H154,
_xlpm.d,RawData!I154,
_xlpm.r,RawData!J154,
IF(AND(ISNUMBER(_xlpm.d),_xlpm.d&gt;=0,_xlpm.d&lt;1),_xlpm.d,
   IF(AND(ISNUMBER(_xlpm.q),_xlpm.q&gt;0,ISNUMBER(_xlpm.u),_xlpm.u&gt;0,ISNUMBER(_xlpm.r),_xlpm.r&gt;=0),
      1-(_xlpm.r/(_xlpm.q*_xlpm.u)),
      ""
   )
)
)</f>
        <v>0.15</v>
      </c>
      <c r="J154" s="4">
        <f>_xlfn.LET(
_xlpm.q,RawData!G154,
_xlpm.u,RawData!H154,
_xlpm.d,RawData!I154,
_xlpm.r,RawData!J154,
IF(AND(ISNUMBER(_xlpm.r),_xlpm.r&gt;=0),_xlpm.r,
   IF(AND(ISNUMBER(_xlpm.q),_xlpm.q&gt;0,ISNUMBER(_xlpm.u),_xlpm.u&gt;0,ISNUMBER(_xlpm.d),_xlpm.d&gt;=0,_xlpm.d&lt;1),
      _xlpm.q*_xlpm.u*(1-_xlpm.d),
      ""
   )
)
)</f>
        <v>599.04999999999995</v>
      </c>
      <c r="K154" s="4">
        <f>_xlfn.LET(
_xlpm.c,RawData!K154,
_xlpm.r,RawData!J154,
_xlpm.p,RawData!L154,
IF(AND(ISNUMBER(_xlpm.c),_xlpm.c&gt;=0),_xlpm.c,
   IF(AND(ISNUMBER(_xlpm.r),ISNUMBER(_xlpm.p)),
      _xlpm.r-_xlpm.p,
      ""
   )
)
)</f>
        <v>487.32</v>
      </c>
      <c r="L154" s="4">
        <f>_xlfn.LET(
_xlpm.p,RawData!L154,
_xlpm.r,RawData!J154,
_xlpm.c,RawData!K154,
IF(ISNUMBER(_xlpm.p),_xlpm.p,
IF(AND(ISNUMBER(_xlpm.r),ISNUMBER(_xlpm.c)),
_xlpm.r-_xlpm.c,
""
)
))</f>
        <v>111.73</v>
      </c>
    </row>
    <row r="155" spans="1:12" x14ac:dyDescent="0.35">
      <c r="A155" t="s">
        <v>191</v>
      </c>
      <c r="B155" s="7">
        <v>45738</v>
      </c>
      <c r="C155" t="str">
        <f>IF(RawData!C155="","Unknown",PROPER(TRIM(CLEAN(SUBSTITUTE(RawData!C155,CHAR(160)," ")))))</f>
        <v>North</v>
      </c>
      <c r="D155" t="str">
        <f>IF(RawData!D155="","Unknown",PROPER(TRIM(CLEAN(SUBSTITUTE(RawData!D155,CHAR(160)," ")))))</f>
        <v>Lucknow</v>
      </c>
      <c r="E155" t="str">
        <f>IF(RawData!E155="","Unknown",PROPER(TRIM(CLEAN(SUBSTITUTE(RawData!E155,CHAR(160)," ")))))</f>
        <v>Bookshelf</v>
      </c>
      <c r="F155" t="str">
        <f>IF(RawData!F155="","Unknown",PROPER(TRIM(CLEAN(SUBSTITUTE(RawData!F155,CHAR(160)," ")))))</f>
        <v>Furniture</v>
      </c>
      <c r="G155">
        <f>_xlfn.LET(
_xlpm.q,RawData!G155,
_xlpm.u,RawData!H155,
_xlpm.d,RawData!I155,
_xlpm.r,RawData!J155,
IF(AND(ISNUMBER(_xlpm.q),_xlpm.q&gt;0),_xlpm.q,
   IF(AND(ISNUMBER(_xlpm.r),ISNUMBER(_xlpm.u),_xlpm.u&gt;0,ISNUMBER(_xlpm.d),_xlpm.d&gt;=0,_xlpm.d&lt;1),
      ROUND(_xlpm.r/(_xlpm.u*(1-_xlpm.d)),0),
      ""
   )
)
)</f>
        <v>8</v>
      </c>
      <c r="H155" s="4">
        <f>_xlfn.LET(
_xlpm.q,RawData!G155,
_xlpm.u,RawData!H155,
_xlpm.d,RawData!I155,
_xlpm.r,RawData!J155,
IF(AND(ISNUMBER(_xlpm.u),_xlpm.u&gt;0),_xlpm.u,
   IF(AND(ISNUMBER(_xlpm.q),_xlpm.q&gt;0,ISNUMBER(_xlpm.r),ISNUMBER(_xlpm.d),_xlpm.d&gt;=0,_xlpm.d&lt;1),
      _xlpm.r/(_xlpm.q*(1-_xlpm.d)),
      ""
   )
)
)</f>
        <v>140.68</v>
      </c>
      <c r="I155" s="5">
        <f>_xlfn.LET(
_xlpm.q,RawData!G155,
_xlpm.u,RawData!H155,
_xlpm.d,RawData!I155,
_xlpm.r,RawData!J155,
IF(AND(ISNUMBER(_xlpm.d),_xlpm.d&gt;=0,_xlpm.d&lt;1),_xlpm.d,
   IF(AND(ISNUMBER(_xlpm.q),_xlpm.q&gt;0,ISNUMBER(_xlpm.u),_xlpm.u&gt;0,ISNUMBER(_xlpm.r),_xlpm.r&gt;=0),
      1-(_xlpm.r/(_xlpm.q*_xlpm.u)),
      ""
   )
)
)</f>
        <v>0.2</v>
      </c>
      <c r="J155" s="4">
        <f>_xlfn.LET(
_xlpm.q,RawData!G155,
_xlpm.u,RawData!H155,
_xlpm.d,RawData!I155,
_xlpm.r,RawData!J155,
IF(AND(ISNUMBER(_xlpm.r),_xlpm.r&gt;=0),_xlpm.r,
   IF(AND(ISNUMBER(_xlpm.q),_xlpm.q&gt;0,ISNUMBER(_xlpm.u),_xlpm.u&gt;0,ISNUMBER(_xlpm.d),_xlpm.d&gt;=0,_xlpm.d&lt;1),
      _xlpm.q*_xlpm.u*(1-_xlpm.d),
      ""
   )
)
)</f>
        <v>900.35</v>
      </c>
      <c r="K155" s="4">
        <f>_xlfn.LET(
_xlpm.c,RawData!K155,
_xlpm.r,RawData!J155,
_xlpm.p,RawData!L155,
IF(AND(ISNUMBER(_xlpm.c),_xlpm.c&gt;=0),_xlpm.c,
   IF(AND(ISNUMBER(_xlpm.r),ISNUMBER(_xlpm.p)),
      _xlpm.r-_xlpm.p,
      ""
   )
)
)</f>
        <v>573.70000000000005</v>
      </c>
      <c r="L155" s="4">
        <f>_xlfn.LET(
_xlpm.p,RawData!L155,
_xlpm.r,RawData!J155,
_xlpm.c,RawData!K155,
IF(ISNUMBER(_xlpm.p),_xlpm.p,
IF(AND(ISNUMBER(_xlpm.r),ISNUMBER(_xlpm.c)),
_xlpm.r-_xlpm.c,
""
)
))</f>
        <v>326.64999999999998</v>
      </c>
    </row>
    <row r="156" spans="1:12" x14ac:dyDescent="0.35">
      <c r="A156" t="s">
        <v>192</v>
      </c>
      <c r="B156" s="7">
        <v>45898</v>
      </c>
      <c r="C156" t="str">
        <f>IF(RawData!C156="","Unknown",PROPER(TRIM(CLEAN(SUBSTITUTE(RawData!C156,CHAR(160)," ")))))</f>
        <v>East</v>
      </c>
      <c r="D156" t="str">
        <f>IF(RawData!D156="","Unknown",PROPER(TRIM(CLEAN(SUBSTITUTE(RawData!D156,CHAR(160)," ")))))</f>
        <v>Patna</v>
      </c>
      <c r="E156" t="str">
        <f>IF(RawData!E156="","Unknown",PROPER(TRIM(CLEAN(SUBSTITUTE(RawData!E156,CHAR(160)," ")))))</f>
        <v>Laptop</v>
      </c>
      <c r="F156" t="str">
        <f>IF(RawData!F156="","Unknown",PROPER(TRIM(CLEAN(SUBSTITUTE(RawData!F156,CHAR(160)," ")))))</f>
        <v>Electronics</v>
      </c>
      <c r="G156">
        <f>_xlfn.LET(
_xlpm.q,RawData!G156,
_xlpm.u,RawData!H156,
_xlpm.d,RawData!I156,
_xlpm.r,RawData!J156,
IF(AND(ISNUMBER(_xlpm.q),_xlpm.q&gt;0),_xlpm.q,
   IF(AND(ISNUMBER(_xlpm.r),ISNUMBER(_xlpm.u),_xlpm.u&gt;0,ISNUMBER(_xlpm.d),_xlpm.d&gt;=0,_xlpm.d&lt;1),
      ROUND(_xlpm.r/(_xlpm.u*(1-_xlpm.d)),0),
      ""
   )
)
)</f>
        <v>4</v>
      </c>
      <c r="H156" s="4">
        <f>_xlfn.LET(
_xlpm.q,RawData!G156,
_xlpm.u,RawData!H156,
_xlpm.d,RawData!I156,
_xlpm.r,RawData!J156,
IF(AND(ISNUMBER(_xlpm.u),_xlpm.u&gt;0),_xlpm.u,
   IF(AND(ISNUMBER(_xlpm.q),_xlpm.q&gt;0,ISNUMBER(_xlpm.r),ISNUMBER(_xlpm.d),_xlpm.d&gt;=0,_xlpm.d&lt;1),
      _xlpm.r/(_xlpm.q*(1-_xlpm.d)),
      ""
   )
)
)</f>
        <v>925.27</v>
      </c>
      <c r="I156" s="5">
        <f>_xlfn.LET(
_xlpm.q,RawData!G156,
_xlpm.u,RawData!H156,
_xlpm.d,RawData!I156,
_xlpm.r,RawData!J156,
IF(AND(ISNUMBER(_xlpm.d),_xlpm.d&gt;=0,_xlpm.d&lt;1),_xlpm.d,
   IF(AND(ISNUMBER(_xlpm.q),_xlpm.q&gt;0,ISNUMBER(_xlpm.u),_xlpm.u&gt;0,ISNUMBER(_xlpm.r),_xlpm.r&gt;=0),
      1-(_xlpm.r/(_xlpm.q*_xlpm.u)),
      ""
   )
)
)</f>
        <v>0.05</v>
      </c>
      <c r="J156" s="4">
        <f>_xlfn.LET(
_xlpm.q,RawData!G156,
_xlpm.u,RawData!H156,
_xlpm.d,RawData!I156,
_xlpm.r,RawData!J156,
IF(AND(ISNUMBER(_xlpm.r),_xlpm.r&gt;=0),_xlpm.r,
   IF(AND(ISNUMBER(_xlpm.q),_xlpm.q&gt;0,ISNUMBER(_xlpm.u),_xlpm.u&gt;0,ISNUMBER(_xlpm.d),_xlpm.d&gt;=0,_xlpm.d&lt;1),
      _xlpm.q*_xlpm.u*(1-_xlpm.d),
      ""
   )
)
)</f>
        <v>3516.03</v>
      </c>
      <c r="K156" s="4">
        <f>_xlfn.LET(
_xlpm.c,RawData!K156,
_xlpm.r,RawData!J156,
_xlpm.p,RawData!L156,
IF(AND(ISNUMBER(_xlpm.c),_xlpm.c&gt;=0),_xlpm.c,
   IF(AND(ISNUMBER(_xlpm.r),ISNUMBER(_xlpm.p)),
      _xlpm.r-_xlpm.p,
      ""
   )
)
)</f>
        <v>2190.9299999999998</v>
      </c>
      <c r="L156" s="4">
        <f>_xlfn.LET(
_xlpm.p,RawData!L156,
_xlpm.r,RawData!J156,
_xlpm.c,RawData!K156,
IF(ISNUMBER(_xlpm.p),_xlpm.p,
IF(AND(ISNUMBER(_xlpm.r),ISNUMBER(_xlpm.c)),
_xlpm.r-_xlpm.c,
""
)
))</f>
        <v>1325.1</v>
      </c>
    </row>
    <row r="157" spans="1:12" x14ac:dyDescent="0.35">
      <c r="A157" t="s">
        <v>193</v>
      </c>
      <c r="B157" s="7">
        <v>45802</v>
      </c>
      <c r="C157" t="str">
        <f>IF(RawData!C157="","Unknown",PROPER(TRIM(CLEAN(SUBSTITUTE(RawData!C157,CHAR(160)," ")))))</f>
        <v>West</v>
      </c>
      <c r="D157" t="str">
        <f>IF(RawData!D157="","Unknown",PROPER(TRIM(CLEAN(SUBSTITUTE(RawData!D157,CHAR(160)," ")))))</f>
        <v>Ahmedabad</v>
      </c>
      <c r="E157" t="str">
        <f>IF(RawData!E157="","Unknown",PROPER(TRIM(CLEAN(SUBSTITUTE(RawData!E157,CHAR(160)," ")))))</f>
        <v>Smartphone</v>
      </c>
      <c r="F157" t="str">
        <f>IF(RawData!F157="","Unknown",PROPER(TRIM(CLEAN(SUBSTITUTE(RawData!F157,CHAR(160)," ")))))</f>
        <v>Electronics</v>
      </c>
      <c r="G157">
        <f>_xlfn.LET(
_xlpm.q,RawData!G157,
_xlpm.u,RawData!H157,
_xlpm.d,RawData!I157,
_xlpm.r,RawData!J157,
IF(AND(ISNUMBER(_xlpm.q),_xlpm.q&gt;0),_xlpm.q,
   IF(AND(ISNUMBER(_xlpm.r),ISNUMBER(_xlpm.u),_xlpm.u&gt;0,ISNUMBER(_xlpm.d),_xlpm.d&gt;=0,_xlpm.d&lt;1),
      ROUND(_xlpm.r/(_xlpm.u*(1-_xlpm.d)),0),
      ""
   )
)
)</f>
        <v>4</v>
      </c>
      <c r="H157" s="4">
        <f>_xlfn.LET(
_xlpm.q,RawData!G157,
_xlpm.u,RawData!H157,
_xlpm.d,RawData!I157,
_xlpm.r,RawData!J157,
IF(AND(ISNUMBER(_xlpm.u),_xlpm.u&gt;0),_xlpm.u,
   IF(AND(ISNUMBER(_xlpm.q),_xlpm.q&gt;0,ISNUMBER(_xlpm.r),ISNUMBER(_xlpm.d),_xlpm.d&gt;=0,_xlpm.d&lt;1),
      _xlpm.r/(_xlpm.q*(1-_xlpm.d)),
      ""
   )
)
)</f>
        <v>539.92999999999995</v>
      </c>
      <c r="I157" s="5">
        <f>_xlfn.LET(
_xlpm.q,RawData!G157,
_xlpm.u,RawData!H157,
_xlpm.d,RawData!I157,
_xlpm.r,RawData!J157,
IF(AND(ISNUMBER(_xlpm.d),_xlpm.d&gt;=0,_xlpm.d&lt;1),_xlpm.d,
   IF(AND(ISNUMBER(_xlpm.q),_xlpm.q&gt;0,ISNUMBER(_xlpm.u),_xlpm.u&gt;0,ISNUMBER(_xlpm.r),_xlpm.r&gt;=0),
      1-(_xlpm.r/(_xlpm.q*_xlpm.u)),
      ""
   )
)
)</f>
        <v>0.05</v>
      </c>
      <c r="J157" s="4">
        <f>_xlfn.LET(
_xlpm.q,RawData!G157,
_xlpm.u,RawData!H157,
_xlpm.d,RawData!I157,
_xlpm.r,RawData!J157,
IF(AND(ISNUMBER(_xlpm.r),_xlpm.r&gt;=0),_xlpm.r,
   IF(AND(ISNUMBER(_xlpm.q),_xlpm.q&gt;0,ISNUMBER(_xlpm.u),_xlpm.u&gt;0,ISNUMBER(_xlpm.d),_xlpm.d&gt;=0,_xlpm.d&lt;1),
      _xlpm.q*_xlpm.u*(1-_xlpm.d),
      ""
   )
)
)</f>
        <v>2051.73</v>
      </c>
      <c r="K157" s="4">
        <f>_xlfn.LET(
_xlpm.c,RawData!K157,
_xlpm.r,RawData!J157,
_xlpm.p,RawData!L157,
IF(AND(ISNUMBER(_xlpm.c),_xlpm.c&gt;=0),_xlpm.c,
   IF(AND(ISNUMBER(_xlpm.r),ISNUMBER(_xlpm.p)),
      _xlpm.r-_xlpm.p,
      ""
   )
)
)</f>
        <v>1171.9100000000001</v>
      </c>
      <c r="L157" s="4">
        <f>_xlfn.LET(
_xlpm.p,RawData!L157,
_xlpm.r,RawData!J157,
_xlpm.c,RawData!K157,
IF(ISNUMBER(_xlpm.p),_xlpm.p,
IF(AND(ISNUMBER(_xlpm.r),ISNUMBER(_xlpm.c)),
_xlpm.r-_xlpm.c,
""
)
))</f>
        <v>879.82</v>
      </c>
    </row>
    <row r="158" spans="1:12" x14ac:dyDescent="0.35">
      <c r="A158" t="s">
        <v>194</v>
      </c>
      <c r="B158" s="7">
        <v>45959</v>
      </c>
      <c r="C158" t="str">
        <f>IF(RawData!C158="","Unknown",PROPER(TRIM(CLEAN(SUBSTITUTE(RawData!C158,CHAR(160)," ")))))</f>
        <v>South</v>
      </c>
      <c r="D158" t="str">
        <f>IF(RawData!D158="","Unknown",PROPER(TRIM(CLEAN(SUBSTITUTE(RawData!D158,CHAR(160)," ")))))</f>
        <v>Hyderabad</v>
      </c>
      <c r="E158" t="str">
        <f>IF(RawData!E158="","Unknown",PROPER(TRIM(CLEAN(SUBSTITUTE(RawData!E158,CHAR(160)," ")))))</f>
        <v>Bookshelf</v>
      </c>
      <c r="F158" t="str">
        <f>IF(RawData!F158="","Unknown",PROPER(TRIM(CLEAN(SUBSTITUTE(RawData!F158,CHAR(160)," ")))))</f>
        <v>Furniture</v>
      </c>
      <c r="G158">
        <f>_xlfn.LET(
_xlpm.q,RawData!G158,
_xlpm.u,RawData!H158,
_xlpm.d,RawData!I158,
_xlpm.r,RawData!J158,
IF(AND(ISNUMBER(_xlpm.q),_xlpm.q&gt;0),_xlpm.q,
   IF(AND(ISNUMBER(_xlpm.r),ISNUMBER(_xlpm.u),_xlpm.u&gt;0,ISNUMBER(_xlpm.d),_xlpm.d&gt;=0,_xlpm.d&lt;1),
      ROUND(_xlpm.r/(_xlpm.u*(1-_xlpm.d)),0),
      ""
   )
)
)</f>
        <v>2</v>
      </c>
      <c r="H158" s="4">
        <f>_xlfn.LET(
_xlpm.q,RawData!G158,
_xlpm.u,RawData!H158,
_xlpm.d,RawData!I158,
_xlpm.r,RawData!J158,
IF(AND(ISNUMBER(_xlpm.u),_xlpm.u&gt;0),_xlpm.u,
   IF(AND(ISNUMBER(_xlpm.q),_xlpm.q&gt;0,ISNUMBER(_xlpm.r),ISNUMBER(_xlpm.d),_xlpm.d&gt;=0,_xlpm.d&lt;1),
      _xlpm.r/(_xlpm.q*(1-_xlpm.d)),
      ""
   )
)
)</f>
        <v>120.06</v>
      </c>
      <c r="I158" s="5">
        <f>_xlfn.LET(
_xlpm.q,RawData!G158,
_xlpm.u,RawData!H158,
_xlpm.d,RawData!I158,
_xlpm.r,RawData!J158,
IF(AND(ISNUMBER(_xlpm.d),_xlpm.d&gt;=0,_xlpm.d&lt;1),_xlpm.d,
   IF(AND(ISNUMBER(_xlpm.q),_xlpm.q&gt;0,ISNUMBER(_xlpm.u),_xlpm.u&gt;0,ISNUMBER(_xlpm.r),_xlpm.r&gt;=0),
      1-(_xlpm.r/(_xlpm.q*_xlpm.u)),
      ""
   )
)
)</f>
        <v>0.15</v>
      </c>
      <c r="J158" s="4">
        <f>_xlfn.LET(
_xlpm.q,RawData!G158,
_xlpm.u,RawData!H158,
_xlpm.d,RawData!I158,
_xlpm.r,RawData!J158,
IF(AND(ISNUMBER(_xlpm.r),_xlpm.r&gt;=0),_xlpm.r,
   IF(AND(ISNUMBER(_xlpm.q),_xlpm.q&gt;0,ISNUMBER(_xlpm.u),_xlpm.u&gt;0,ISNUMBER(_xlpm.d),_xlpm.d&gt;=0,_xlpm.d&lt;1),
      _xlpm.q*_xlpm.u*(1-_xlpm.d),
      ""
   )
)
)</f>
        <v>204.1</v>
      </c>
      <c r="K158" s="4">
        <f>_xlfn.LET(
_xlpm.c,RawData!K158,
_xlpm.r,RawData!J158,
_xlpm.p,RawData!L158,
IF(AND(ISNUMBER(_xlpm.c),_xlpm.c&gt;=0),_xlpm.c,
   IF(AND(ISNUMBER(_xlpm.r),ISNUMBER(_xlpm.p)),
      _xlpm.r-_xlpm.p,
      ""
   )
)
)</f>
        <v>165.3</v>
      </c>
      <c r="L158" s="4">
        <f>_xlfn.LET(
_xlpm.p,RawData!L158,
_xlpm.r,RawData!J158,
_xlpm.c,RawData!K158,
IF(ISNUMBER(_xlpm.p),_xlpm.p,
IF(AND(ISNUMBER(_xlpm.r),ISNUMBER(_xlpm.c)),
_xlpm.r-_xlpm.c,
""
)
))</f>
        <v>38.799999999999997</v>
      </c>
    </row>
    <row r="159" spans="1:12" x14ac:dyDescent="0.35">
      <c r="A159" t="s">
        <v>195</v>
      </c>
      <c r="B159" s="7">
        <v>45989</v>
      </c>
      <c r="C159" t="str">
        <f>IF(RawData!C159="","Unknown",PROPER(TRIM(CLEAN(SUBSTITUTE(RawData!C159,CHAR(160)," ")))))</f>
        <v>South</v>
      </c>
      <c r="D159" t="str">
        <f>IF(RawData!D159="","Unknown",PROPER(TRIM(CLEAN(SUBSTITUTE(RawData!D159,CHAR(160)," ")))))</f>
        <v>Hyderabad</v>
      </c>
      <c r="E159" t="str">
        <f>IF(RawData!E159="","Unknown",PROPER(TRIM(CLEAN(SUBSTITUTE(RawData!E159,CHAR(160)," ")))))</f>
        <v>Office Chair</v>
      </c>
      <c r="F159" t="str">
        <f>IF(RawData!F159="","Unknown",PROPER(TRIM(CLEAN(SUBSTITUTE(RawData!F159,CHAR(160)," ")))))</f>
        <v>Furniture</v>
      </c>
      <c r="G159">
        <f>_xlfn.LET(
_xlpm.q,RawData!G159,
_xlpm.u,RawData!H159,
_xlpm.d,RawData!I159,
_xlpm.r,RawData!J159,
IF(AND(ISNUMBER(_xlpm.q),_xlpm.q&gt;0),_xlpm.q,
   IF(AND(ISNUMBER(_xlpm.r),ISNUMBER(_xlpm.u),_xlpm.u&gt;0,ISNUMBER(_xlpm.d),_xlpm.d&gt;=0,_xlpm.d&lt;1),
      ROUND(_xlpm.r/(_xlpm.u*(1-_xlpm.d)),0),
      ""
   )
)
)</f>
        <v>3</v>
      </c>
      <c r="H159" s="4">
        <f>_xlfn.LET(
_xlpm.q,RawData!G159,
_xlpm.u,RawData!H159,
_xlpm.d,RawData!I159,
_xlpm.r,RawData!J159,
IF(AND(ISNUMBER(_xlpm.u),_xlpm.u&gt;0),_xlpm.u,
   IF(AND(ISNUMBER(_xlpm.q),_xlpm.q&gt;0,ISNUMBER(_xlpm.r),ISNUMBER(_xlpm.d),_xlpm.d&gt;=0,_xlpm.d&lt;1),
      _xlpm.r/(_xlpm.q*(1-_xlpm.d)),
      ""
   )
)
)</f>
        <v>198.14</v>
      </c>
      <c r="I159" s="5">
        <f>_xlfn.LET(
_xlpm.q,RawData!G159,
_xlpm.u,RawData!H159,
_xlpm.d,RawData!I159,
_xlpm.r,RawData!J159,
IF(AND(ISNUMBER(_xlpm.d),_xlpm.d&gt;=0,_xlpm.d&lt;1),_xlpm.d,
   IF(AND(ISNUMBER(_xlpm.q),_xlpm.q&gt;0,ISNUMBER(_xlpm.u),_xlpm.u&gt;0,ISNUMBER(_xlpm.r),_xlpm.r&gt;=0),
      1-(_xlpm.r/(_xlpm.q*_xlpm.u)),
      ""
   )
)
)</f>
        <v>0</v>
      </c>
      <c r="J159" s="4">
        <f>_xlfn.LET(
_xlpm.q,RawData!G159,
_xlpm.u,RawData!H159,
_xlpm.d,RawData!I159,
_xlpm.r,RawData!J159,
IF(AND(ISNUMBER(_xlpm.r),_xlpm.r&gt;=0),_xlpm.r,
   IF(AND(ISNUMBER(_xlpm.q),_xlpm.q&gt;0,ISNUMBER(_xlpm.u),_xlpm.u&gt;0,ISNUMBER(_xlpm.d),_xlpm.d&gt;=0,_xlpm.d&lt;1),
      _xlpm.q*_xlpm.u*(1-_xlpm.d),
      ""
   )
)
)</f>
        <v>594.41999999999996</v>
      </c>
      <c r="K159" s="4">
        <f>_xlfn.LET(
_xlpm.c,RawData!K159,
_xlpm.r,RawData!J159,
_xlpm.p,RawData!L159,
IF(AND(ISNUMBER(_xlpm.c),_xlpm.c&gt;=0),_xlpm.c,
   IF(AND(ISNUMBER(_xlpm.r),ISNUMBER(_xlpm.p)),
      _xlpm.r-_xlpm.p,
      ""
   )
)
)</f>
        <v>438.63</v>
      </c>
      <c r="L159" s="4">
        <f>_xlfn.LET(
_xlpm.p,RawData!L159,
_xlpm.r,RawData!J159,
_xlpm.c,RawData!K159,
IF(ISNUMBER(_xlpm.p),_xlpm.p,
IF(AND(ISNUMBER(_xlpm.r),ISNUMBER(_xlpm.c)),
_xlpm.r-_xlpm.c,
""
)
))</f>
        <v>155.79</v>
      </c>
    </row>
    <row r="160" spans="1:12" x14ac:dyDescent="0.35">
      <c r="A160" t="s">
        <v>196</v>
      </c>
      <c r="B160" s="7">
        <v>45742</v>
      </c>
      <c r="C160" t="str">
        <f>IF(RawData!C160="","Unknown",PROPER(TRIM(CLEAN(SUBSTITUTE(RawData!C160,CHAR(160)," ")))))</f>
        <v>East</v>
      </c>
      <c r="D160" t="str">
        <f>IF(RawData!D160="","Unknown",PROPER(TRIM(CLEAN(SUBSTITUTE(RawData!D160,CHAR(160)," ")))))</f>
        <v>Bhubaneswar</v>
      </c>
      <c r="E160" t="str">
        <f>IF(RawData!E160="","Unknown",PROPER(TRIM(CLEAN(SUBSTITUTE(RawData!E160,CHAR(160)," ")))))</f>
        <v>Pen Set</v>
      </c>
      <c r="F160" t="str">
        <f>IF(RawData!F160="","Unknown",PROPER(TRIM(CLEAN(SUBSTITUTE(RawData!F160,CHAR(160)," ")))))</f>
        <v>Office Supplies</v>
      </c>
      <c r="G160">
        <f>_xlfn.LET(
_xlpm.q,RawData!G160,
_xlpm.u,RawData!H160,
_xlpm.d,RawData!I160,
_xlpm.r,RawData!J160,
IF(AND(ISNUMBER(_xlpm.q),_xlpm.q&gt;0),_xlpm.q,
   IF(AND(ISNUMBER(_xlpm.r),ISNUMBER(_xlpm.u),_xlpm.u&gt;0,ISNUMBER(_xlpm.d),_xlpm.d&gt;=0,_xlpm.d&lt;1),
      ROUND(_xlpm.r/(_xlpm.u*(1-_xlpm.d)),0),
      ""
   )
)
)</f>
        <v>10</v>
      </c>
      <c r="H160" s="4">
        <f>_xlfn.LET(
_xlpm.q,RawData!G160,
_xlpm.u,RawData!H160,
_xlpm.d,RawData!I160,
_xlpm.r,RawData!J160,
IF(AND(ISNUMBER(_xlpm.u),_xlpm.u&gt;0),_xlpm.u,
   IF(AND(ISNUMBER(_xlpm.q),_xlpm.q&gt;0,ISNUMBER(_xlpm.r),ISNUMBER(_xlpm.d),_xlpm.d&gt;=0,_xlpm.d&lt;1),
      _xlpm.r/(_xlpm.q*(1-_xlpm.d)),
      ""
   )
)
)</f>
        <v>11.67</v>
      </c>
      <c r="I160" s="5">
        <f>_xlfn.LET(
_xlpm.q,RawData!G160,
_xlpm.u,RawData!H160,
_xlpm.d,RawData!I160,
_xlpm.r,RawData!J160,
IF(AND(ISNUMBER(_xlpm.d),_xlpm.d&gt;=0,_xlpm.d&lt;1),_xlpm.d,
   IF(AND(ISNUMBER(_xlpm.q),_xlpm.q&gt;0,ISNUMBER(_xlpm.u),_xlpm.u&gt;0,ISNUMBER(_xlpm.r),_xlpm.r&gt;=0),
      1-(_xlpm.r/(_xlpm.q*_xlpm.u)),
      ""
   )
)
)</f>
        <v>0.05</v>
      </c>
      <c r="J160" s="4">
        <f>_xlfn.LET(
_xlpm.q,RawData!G160,
_xlpm.u,RawData!H160,
_xlpm.d,RawData!I160,
_xlpm.r,RawData!J160,
IF(AND(ISNUMBER(_xlpm.r),_xlpm.r&gt;=0),_xlpm.r,
   IF(AND(ISNUMBER(_xlpm.q),_xlpm.q&gt;0,ISNUMBER(_xlpm.u),_xlpm.u&gt;0,ISNUMBER(_xlpm.d),_xlpm.d&gt;=0,_xlpm.d&lt;1),
      _xlpm.q*_xlpm.u*(1-_xlpm.d),
      ""
   )
)
)</f>
        <v>110.86</v>
      </c>
      <c r="K160" s="4">
        <f>_xlfn.LET(
_xlpm.c,RawData!K160,
_xlpm.r,RawData!J160,
_xlpm.p,RawData!L160,
IF(AND(ISNUMBER(_xlpm.c),_xlpm.c&gt;=0),_xlpm.c,
   IF(AND(ISNUMBER(_xlpm.r),ISNUMBER(_xlpm.p)),
      _xlpm.r-_xlpm.p,
      ""
   )
)
)</f>
        <v>66.16</v>
      </c>
      <c r="L160" s="4">
        <f>_xlfn.LET(
_xlpm.p,RawData!L160,
_xlpm.r,RawData!J160,
_xlpm.c,RawData!K160,
IF(ISNUMBER(_xlpm.p),_xlpm.p,
IF(AND(ISNUMBER(_xlpm.r),ISNUMBER(_xlpm.c)),
_xlpm.r-_xlpm.c,
""
)
))</f>
        <v>44.7</v>
      </c>
    </row>
    <row r="161" spans="1:12" x14ac:dyDescent="0.35">
      <c r="A161" t="s">
        <v>197</v>
      </c>
      <c r="B161" s="7">
        <v>45721</v>
      </c>
      <c r="C161" t="str">
        <f>IF(RawData!C161="","Unknown",PROPER(TRIM(CLEAN(SUBSTITUTE(RawData!C161,CHAR(160)," ")))))</f>
        <v>West</v>
      </c>
      <c r="D161" t="str">
        <f>IF(RawData!D161="","Unknown",PROPER(TRIM(CLEAN(SUBSTITUTE(RawData!D161,CHAR(160)," ")))))</f>
        <v>Pune</v>
      </c>
      <c r="E161" t="str">
        <f>IF(RawData!E161="","Unknown",PROPER(TRIM(CLEAN(SUBSTITUTE(RawData!E161,CHAR(160)," ")))))</f>
        <v>Keyboard</v>
      </c>
      <c r="F161" t="str">
        <f>IF(RawData!F161="","Unknown",PROPER(TRIM(CLEAN(SUBSTITUTE(RawData!F161,CHAR(160)," ")))))</f>
        <v>Accessories</v>
      </c>
      <c r="G161">
        <f>_xlfn.LET(
_xlpm.q,RawData!G161,
_xlpm.u,RawData!H161,
_xlpm.d,RawData!I161,
_xlpm.r,RawData!J161,
IF(AND(ISNUMBER(_xlpm.q),_xlpm.q&gt;0),_xlpm.q,
   IF(AND(ISNUMBER(_xlpm.r),ISNUMBER(_xlpm.u),_xlpm.u&gt;0,ISNUMBER(_xlpm.d),_xlpm.d&gt;=0,_xlpm.d&lt;1),
      ROUND(_xlpm.r/(_xlpm.u*(1-_xlpm.d)),0),
      ""
   )
)
)</f>
        <v>5</v>
      </c>
      <c r="H161" s="4">
        <f>_xlfn.LET(
_xlpm.q,RawData!G161,
_xlpm.u,RawData!H161,
_xlpm.d,RawData!I161,
_xlpm.r,RawData!J161,
IF(AND(ISNUMBER(_xlpm.u),_xlpm.u&gt;0),_xlpm.u,
   IF(AND(ISNUMBER(_xlpm.q),_xlpm.q&gt;0,ISNUMBER(_xlpm.r),ISNUMBER(_xlpm.d),_xlpm.d&gt;=0,_xlpm.d&lt;1),
      _xlpm.r/(_xlpm.q*(1-_xlpm.d)),
      ""
   )
)
)</f>
        <v>31.39</v>
      </c>
      <c r="I161" s="5">
        <f>_xlfn.LET(
_xlpm.q,RawData!G161,
_xlpm.u,RawData!H161,
_xlpm.d,RawData!I161,
_xlpm.r,RawData!J161,
IF(AND(ISNUMBER(_xlpm.d),_xlpm.d&gt;=0,_xlpm.d&lt;1),_xlpm.d,
   IF(AND(ISNUMBER(_xlpm.q),_xlpm.q&gt;0,ISNUMBER(_xlpm.u),_xlpm.u&gt;0,ISNUMBER(_xlpm.r),_xlpm.r&gt;=0),
      1-(_xlpm.r/(_xlpm.q*_xlpm.u)),
      ""
   )
)
)</f>
        <v>0.2</v>
      </c>
      <c r="J161" s="4">
        <f>_xlfn.LET(
_xlpm.q,RawData!G161,
_xlpm.u,RawData!H161,
_xlpm.d,RawData!I161,
_xlpm.r,RawData!J161,
IF(AND(ISNUMBER(_xlpm.r),_xlpm.r&gt;=0),_xlpm.r,
   IF(AND(ISNUMBER(_xlpm.q),_xlpm.q&gt;0,ISNUMBER(_xlpm.u),_xlpm.u&gt;0,ISNUMBER(_xlpm.d),_xlpm.d&gt;=0,_xlpm.d&lt;1),
      _xlpm.q*_xlpm.u*(1-_xlpm.d),
      ""
   )
)
)</f>
        <v>125.56</v>
      </c>
      <c r="K161" s="4">
        <f>_xlfn.LET(
_xlpm.c,RawData!K161,
_xlpm.r,RawData!J161,
_xlpm.p,RawData!L161,
IF(AND(ISNUMBER(_xlpm.c),_xlpm.c&gt;=0),_xlpm.c,
   IF(AND(ISNUMBER(_xlpm.r),ISNUMBER(_xlpm.p)),
      _xlpm.r-_xlpm.p,
      ""
   )
)
)</f>
        <v>77.540000000000006</v>
      </c>
      <c r="L161" s="4">
        <f>_xlfn.LET(
_xlpm.p,RawData!L161,
_xlpm.r,RawData!J161,
_xlpm.c,RawData!K161,
IF(ISNUMBER(_xlpm.p),_xlpm.p,
IF(AND(ISNUMBER(_xlpm.r),ISNUMBER(_xlpm.c)),
_xlpm.r-_xlpm.c,
""
)
))</f>
        <v>48.02</v>
      </c>
    </row>
    <row r="162" spans="1:12" x14ac:dyDescent="0.35">
      <c r="A162" t="s">
        <v>198</v>
      </c>
      <c r="B162" s="7">
        <v>45797</v>
      </c>
      <c r="C162" t="str">
        <f>IF(RawData!C162="","Unknown",PROPER(TRIM(CLEAN(SUBSTITUTE(RawData!C162,CHAR(160)," ")))))</f>
        <v>West</v>
      </c>
      <c r="D162" t="str">
        <f>IF(RawData!D162="","Unknown",PROPER(TRIM(CLEAN(SUBSTITUTE(RawData!D162,CHAR(160)," ")))))</f>
        <v>Mumbai</v>
      </c>
      <c r="E162" t="str">
        <f>IF(RawData!E162="","Unknown",PROPER(TRIM(CLEAN(SUBSTITUTE(RawData!E162,CHAR(160)," ")))))</f>
        <v>Printer</v>
      </c>
      <c r="F162" t="str">
        <f>IF(RawData!F162="","Unknown",PROPER(TRIM(CLEAN(SUBSTITUTE(RawData!F162,CHAR(160)," ")))))</f>
        <v>Office Supplies</v>
      </c>
      <c r="G162">
        <f>_xlfn.LET(
_xlpm.q,RawData!G162,
_xlpm.u,RawData!H162,
_xlpm.d,RawData!I162,
_xlpm.r,RawData!J162,
IF(AND(ISNUMBER(_xlpm.q),_xlpm.q&gt;0),_xlpm.q,
   IF(AND(ISNUMBER(_xlpm.r),ISNUMBER(_xlpm.u),_xlpm.u&gt;0,ISNUMBER(_xlpm.d),_xlpm.d&gt;=0,_xlpm.d&lt;1),
      ROUND(_xlpm.r/(_xlpm.u*(1-_xlpm.d)),0),
      ""
   )
)
)</f>
        <v>2</v>
      </c>
      <c r="H162" s="4">
        <f>_xlfn.LET(
_xlpm.q,RawData!G162,
_xlpm.u,RawData!H162,
_xlpm.d,RawData!I162,
_xlpm.r,RawData!J162,
IF(AND(ISNUMBER(_xlpm.u),_xlpm.u&gt;0),_xlpm.u,
   IF(AND(ISNUMBER(_xlpm.q),_xlpm.q&gt;0,ISNUMBER(_xlpm.r),ISNUMBER(_xlpm.d),_xlpm.d&gt;=0,_xlpm.d&lt;1),
      _xlpm.r/(_xlpm.q*(1-_xlpm.d)),
      ""
   )
)
)</f>
        <v>162.36000000000001</v>
      </c>
      <c r="I162" s="5">
        <f>_xlfn.LET(
_xlpm.q,RawData!G162,
_xlpm.u,RawData!H162,
_xlpm.d,RawData!I162,
_xlpm.r,RawData!J162,
IF(AND(ISNUMBER(_xlpm.d),_xlpm.d&gt;=0,_xlpm.d&lt;1),_xlpm.d,
   IF(AND(ISNUMBER(_xlpm.q),_xlpm.q&gt;0,ISNUMBER(_xlpm.u),_xlpm.u&gt;0,ISNUMBER(_xlpm.r),_xlpm.r&gt;=0),
      1-(_xlpm.r/(_xlpm.q*_xlpm.u)),
      ""
   )
)
)</f>
        <v>0.15</v>
      </c>
      <c r="J162" s="4">
        <f>_xlfn.LET(
_xlpm.q,RawData!G162,
_xlpm.u,RawData!H162,
_xlpm.d,RawData!I162,
_xlpm.r,RawData!J162,
IF(AND(ISNUMBER(_xlpm.r),_xlpm.r&gt;=0),_xlpm.r,
   IF(AND(ISNUMBER(_xlpm.q),_xlpm.q&gt;0,ISNUMBER(_xlpm.u),_xlpm.u&gt;0,ISNUMBER(_xlpm.d),_xlpm.d&gt;=0,_xlpm.d&lt;1),
      _xlpm.q*_xlpm.u*(1-_xlpm.d),
      ""
   )
)
)</f>
        <v>276.01</v>
      </c>
      <c r="K162" s="4">
        <f>_xlfn.LET(
_xlpm.c,RawData!K162,
_xlpm.r,RawData!J162,
_xlpm.p,RawData!L162,
IF(AND(ISNUMBER(_xlpm.c),_xlpm.c&gt;=0),_xlpm.c,
   IF(AND(ISNUMBER(_xlpm.r),ISNUMBER(_xlpm.p)),
      _xlpm.r-_xlpm.p,
      ""
   )
)
)</f>
        <v>205.06</v>
      </c>
      <c r="L162" s="4">
        <f>_xlfn.LET(
_xlpm.p,RawData!L162,
_xlpm.r,RawData!J162,
_xlpm.c,RawData!K162,
IF(ISNUMBER(_xlpm.p),_xlpm.p,
IF(AND(ISNUMBER(_xlpm.r),ISNUMBER(_xlpm.c)),
_xlpm.r-_xlpm.c,
""
)
))</f>
        <v>70.95</v>
      </c>
    </row>
    <row r="163" spans="1:12" x14ac:dyDescent="0.35">
      <c r="A163" t="s">
        <v>199</v>
      </c>
      <c r="B163" s="7">
        <v>45879</v>
      </c>
      <c r="C163" t="str">
        <f>IF(RawData!C163="","Unknown",PROPER(TRIM(CLEAN(SUBSTITUTE(RawData!C163,CHAR(160)," ")))))</f>
        <v>East</v>
      </c>
      <c r="D163" t="str">
        <f>IF(RawData!D163="","Unknown",PROPER(TRIM(CLEAN(SUBSTITUTE(RawData!D163,CHAR(160)," ")))))</f>
        <v>Kolkata</v>
      </c>
      <c r="E163" t="str">
        <f>IF(RawData!E163="","Unknown",PROPER(TRIM(CLEAN(SUBSTITUTE(RawData!E163,CHAR(160)," ")))))</f>
        <v>Pen Set</v>
      </c>
      <c r="F163" t="str">
        <f>IF(RawData!F163="","Unknown",PROPER(TRIM(CLEAN(SUBSTITUTE(RawData!F163,CHAR(160)," ")))))</f>
        <v>Office Supplies</v>
      </c>
      <c r="G163">
        <f>_xlfn.LET(
_xlpm.q,RawData!G163,
_xlpm.u,RawData!H163,
_xlpm.d,RawData!I163,
_xlpm.r,RawData!J163,
IF(AND(ISNUMBER(_xlpm.q),_xlpm.q&gt;0),_xlpm.q,
   IF(AND(ISNUMBER(_xlpm.r),ISNUMBER(_xlpm.u),_xlpm.u&gt;0,ISNUMBER(_xlpm.d),_xlpm.d&gt;=0,_xlpm.d&lt;1),
      ROUND(_xlpm.r/(_xlpm.u*(1-_xlpm.d)),0),
      ""
   )
)
)</f>
        <v>5</v>
      </c>
      <c r="H163" s="4">
        <f>_xlfn.LET(
_xlpm.q,RawData!G163,
_xlpm.u,RawData!H163,
_xlpm.d,RawData!I163,
_xlpm.r,RawData!J163,
IF(AND(ISNUMBER(_xlpm.u),_xlpm.u&gt;0),_xlpm.u,
   IF(AND(ISNUMBER(_xlpm.q),_xlpm.q&gt;0,ISNUMBER(_xlpm.r),ISNUMBER(_xlpm.d),_xlpm.d&gt;=0,_xlpm.d&lt;1),
      _xlpm.r/(_xlpm.q*(1-_xlpm.d)),
      ""
   )
)
)</f>
        <v>12.58</v>
      </c>
      <c r="I163" s="5">
        <f>_xlfn.LET(
_xlpm.q,RawData!G163,
_xlpm.u,RawData!H163,
_xlpm.d,RawData!I163,
_xlpm.r,RawData!J163,
IF(AND(ISNUMBER(_xlpm.d),_xlpm.d&gt;=0,_xlpm.d&lt;1),_xlpm.d,
   IF(AND(ISNUMBER(_xlpm.q),_xlpm.q&gt;0,ISNUMBER(_xlpm.u),_xlpm.u&gt;0,ISNUMBER(_xlpm.r),_xlpm.r&gt;=0),
      1-(_xlpm.r/(_xlpm.q*_xlpm.u)),
      ""
   )
)
)</f>
        <v>0</v>
      </c>
      <c r="J163" s="4">
        <f>_xlfn.LET(
_xlpm.q,RawData!G163,
_xlpm.u,RawData!H163,
_xlpm.d,RawData!I163,
_xlpm.r,RawData!J163,
IF(AND(ISNUMBER(_xlpm.r),_xlpm.r&gt;=0),_xlpm.r,
   IF(AND(ISNUMBER(_xlpm.q),_xlpm.q&gt;0,ISNUMBER(_xlpm.u),_xlpm.u&gt;0,ISNUMBER(_xlpm.d),_xlpm.d&gt;=0,_xlpm.d&lt;1),
      _xlpm.q*_xlpm.u*(1-_xlpm.d),
      ""
   )
)
)</f>
        <v>62.9</v>
      </c>
      <c r="K163" s="4">
        <f>_xlfn.LET(
_xlpm.c,RawData!K163,
_xlpm.r,RawData!J163,
_xlpm.p,RawData!L163,
IF(AND(ISNUMBER(_xlpm.c),_xlpm.c&gt;=0),_xlpm.c,
   IF(AND(ISNUMBER(_xlpm.r),ISNUMBER(_xlpm.p)),
      _xlpm.r-_xlpm.p,
      ""
   )
)
)</f>
        <v>39.35</v>
      </c>
      <c r="L163" s="4">
        <f>_xlfn.LET(
_xlpm.p,RawData!L163,
_xlpm.r,RawData!J163,
_xlpm.c,RawData!K163,
IF(ISNUMBER(_xlpm.p),_xlpm.p,
IF(AND(ISNUMBER(_xlpm.r),ISNUMBER(_xlpm.c)),
_xlpm.r-_xlpm.c,
""
)
))</f>
        <v>23.55</v>
      </c>
    </row>
    <row r="164" spans="1:12" x14ac:dyDescent="0.35">
      <c r="A164" t="s">
        <v>200</v>
      </c>
      <c r="B164" s="7">
        <v>45775</v>
      </c>
      <c r="C164" t="str">
        <f>IF(RawData!C164="","Unknown",PROPER(TRIM(CLEAN(SUBSTITUTE(RawData!C164,CHAR(160)," ")))))</f>
        <v>North</v>
      </c>
      <c r="D164" t="str">
        <f>IF(RawData!D164="","Unknown",PROPER(TRIM(CLEAN(SUBSTITUTE(RawData!D164,CHAR(160)," ")))))</f>
        <v>Delhi</v>
      </c>
      <c r="E164" t="str">
        <f>IF(RawData!E164="","Unknown",PROPER(TRIM(CLEAN(SUBSTITUTE(RawData!E164,CHAR(160)," ")))))</f>
        <v>Backpack</v>
      </c>
      <c r="F164" t="str">
        <f>IF(RawData!F164="","Unknown",PROPER(TRIM(CLEAN(SUBSTITUTE(RawData!F164,CHAR(160)," ")))))</f>
        <v>Accessories</v>
      </c>
      <c r="G164">
        <f>_xlfn.LET(
_xlpm.q,RawData!G164,
_xlpm.u,RawData!H164,
_xlpm.d,RawData!I164,
_xlpm.r,RawData!J164,
IF(AND(ISNUMBER(_xlpm.q),_xlpm.q&gt;0),_xlpm.q,
   IF(AND(ISNUMBER(_xlpm.r),ISNUMBER(_xlpm.u),_xlpm.u&gt;0,ISNUMBER(_xlpm.d),_xlpm.d&gt;=0,_xlpm.d&lt;1),
      ROUND(_xlpm.r/(_xlpm.u*(1-_xlpm.d)),0),
      ""
   )
)
)</f>
        <v>5</v>
      </c>
      <c r="H164" s="4">
        <f>_xlfn.LET(
_xlpm.q,RawData!G164,
_xlpm.u,RawData!H164,
_xlpm.d,RawData!I164,
_xlpm.r,RawData!J164,
IF(AND(ISNUMBER(_xlpm.u),_xlpm.u&gt;0),_xlpm.u,
   IF(AND(ISNUMBER(_xlpm.q),_xlpm.q&gt;0,ISNUMBER(_xlpm.r),ISNUMBER(_xlpm.d),_xlpm.d&gt;=0,_xlpm.d&lt;1),
      _xlpm.r/(_xlpm.q*(1-_xlpm.d)),
      ""
   )
)
)</f>
        <v>51.14</v>
      </c>
      <c r="I164" s="5">
        <f>_xlfn.LET(
_xlpm.q,RawData!G164,
_xlpm.u,RawData!H164,
_xlpm.d,RawData!I164,
_xlpm.r,RawData!J164,
IF(AND(ISNUMBER(_xlpm.d),_xlpm.d&gt;=0,_xlpm.d&lt;1),_xlpm.d,
   IF(AND(ISNUMBER(_xlpm.q),_xlpm.q&gt;0,ISNUMBER(_xlpm.u),_xlpm.u&gt;0,ISNUMBER(_xlpm.r),_xlpm.r&gt;=0),
      1-(_xlpm.r/(_xlpm.q*_xlpm.u)),
      ""
   )
)
)</f>
        <v>0.15</v>
      </c>
      <c r="J164" s="4">
        <f>_xlfn.LET(
_xlpm.q,RawData!G164,
_xlpm.u,RawData!H164,
_xlpm.d,RawData!I164,
_xlpm.r,RawData!J164,
IF(AND(ISNUMBER(_xlpm.r),_xlpm.r&gt;=0),_xlpm.r,
   IF(AND(ISNUMBER(_xlpm.q),_xlpm.q&gt;0,ISNUMBER(_xlpm.u),_xlpm.u&gt;0,ISNUMBER(_xlpm.d),_xlpm.d&gt;=0,_xlpm.d&lt;1),
      _xlpm.q*_xlpm.u*(1-_xlpm.d),
      ""
   )
)
)</f>
        <v>217.34</v>
      </c>
      <c r="K164" s="4">
        <f>_xlfn.LET(
_xlpm.c,RawData!K164,
_xlpm.r,RawData!J164,
_xlpm.p,RawData!L164,
IF(AND(ISNUMBER(_xlpm.c),_xlpm.c&gt;=0),_xlpm.c,
   IF(AND(ISNUMBER(_xlpm.r),ISNUMBER(_xlpm.p)),
      _xlpm.r-_xlpm.p,
      ""
   )
)
)</f>
        <v>162.84</v>
      </c>
      <c r="L164" s="4">
        <f>_xlfn.LET(
_xlpm.p,RawData!L164,
_xlpm.r,RawData!J164,
_xlpm.c,RawData!K164,
IF(ISNUMBER(_xlpm.p),_xlpm.p,
IF(AND(ISNUMBER(_xlpm.r),ISNUMBER(_xlpm.c)),
_xlpm.r-_xlpm.c,
""
)
))</f>
        <v>54.5</v>
      </c>
    </row>
    <row r="165" spans="1:12" x14ac:dyDescent="0.35">
      <c r="A165" t="s">
        <v>201</v>
      </c>
      <c r="B165" s="7">
        <v>45747</v>
      </c>
      <c r="C165" t="str">
        <f>IF(RawData!C165="","Unknown",PROPER(TRIM(CLEAN(SUBSTITUTE(RawData!C165,CHAR(160)," ")))))</f>
        <v>West</v>
      </c>
      <c r="D165" t="str">
        <f>IF(RawData!D165="","Unknown",PROPER(TRIM(CLEAN(SUBSTITUTE(RawData!D165,CHAR(160)," ")))))</f>
        <v>Mumbai</v>
      </c>
      <c r="E165" t="str">
        <f>IF(RawData!E165="","Unknown",PROPER(TRIM(CLEAN(SUBSTITUTE(RawData!E165,CHAR(160)," ")))))</f>
        <v>Notebook</v>
      </c>
      <c r="F165" t="str">
        <f>IF(RawData!F165="","Unknown",PROPER(TRIM(CLEAN(SUBSTITUTE(RawData!F165,CHAR(160)," ")))))</f>
        <v>Office Supplies</v>
      </c>
      <c r="G165">
        <f>_xlfn.LET(
_xlpm.q,RawData!G165,
_xlpm.u,RawData!H165,
_xlpm.d,RawData!I165,
_xlpm.r,RawData!J165,
IF(AND(ISNUMBER(_xlpm.q),_xlpm.q&gt;0),_xlpm.q,
   IF(AND(ISNUMBER(_xlpm.r),ISNUMBER(_xlpm.u),_xlpm.u&gt;0,ISNUMBER(_xlpm.d),_xlpm.d&gt;=0,_xlpm.d&lt;1),
      ROUND(_xlpm.r/(_xlpm.u*(1-_xlpm.d)),0),
      ""
   )
)
)</f>
        <v>8</v>
      </c>
      <c r="H165" s="4">
        <f>_xlfn.LET(
_xlpm.q,RawData!G165,
_xlpm.u,RawData!H165,
_xlpm.d,RawData!I165,
_xlpm.r,RawData!J165,
IF(AND(ISNUMBER(_xlpm.u),_xlpm.u&gt;0),_xlpm.u,
   IF(AND(ISNUMBER(_xlpm.q),_xlpm.q&gt;0,ISNUMBER(_xlpm.r),ISNUMBER(_xlpm.d),_xlpm.d&gt;=0,_xlpm.d&lt;1),
      _xlpm.r/(_xlpm.q*(1-_xlpm.d)),
      ""
   )
)
)</f>
        <v>8.1300000000000008</v>
      </c>
      <c r="I165" s="5">
        <f>_xlfn.LET(
_xlpm.q,RawData!G165,
_xlpm.u,RawData!H165,
_xlpm.d,RawData!I165,
_xlpm.r,RawData!J165,
IF(AND(ISNUMBER(_xlpm.d),_xlpm.d&gt;=0,_xlpm.d&lt;1),_xlpm.d,
   IF(AND(ISNUMBER(_xlpm.q),_xlpm.q&gt;0,ISNUMBER(_xlpm.u),_xlpm.u&gt;0,ISNUMBER(_xlpm.r),_xlpm.r&gt;=0),
      1-(_xlpm.r/(_xlpm.q*_xlpm.u)),
      ""
   )
)
)</f>
        <v>0.05</v>
      </c>
      <c r="J165" s="4">
        <f>_xlfn.LET(
_xlpm.q,RawData!G165,
_xlpm.u,RawData!H165,
_xlpm.d,RawData!I165,
_xlpm.r,RawData!J165,
IF(AND(ISNUMBER(_xlpm.r),_xlpm.r&gt;=0),_xlpm.r,
   IF(AND(ISNUMBER(_xlpm.q),_xlpm.q&gt;0,ISNUMBER(_xlpm.u),_xlpm.u&gt;0,ISNUMBER(_xlpm.d),_xlpm.d&gt;=0,_xlpm.d&lt;1),
      _xlpm.q*_xlpm.u*(1-_xlpm.d),
      ""
   )
)
)</f>
        <v>61.79</v>
      </c>
      <c r="K165" s="4">
        <f>_xlfn.LET(
_xlpm.c,RawData!K165,
_xlpm.r,RawData!J165,
_xlpm.p,RawData!L165,
IF(AND(ISNUMBER(_xlpm.c),_xlpm.c&gt;=0),_xlpm.c,
   IF(AND(ISNUMBER(_xlpm.r),ISNUMBER(_xlpm.p)),
      _xlpm.r-_xlpm.p,
      ""
   )
)
)</f>
        <v>44.19</v>
      </c>
      <c r="L165" s="4">
        <f>_xlfn.LET(
_xlpm.p,RawData!L165,
_xlpm.r,RawData!J165,
_xlpm.c,RawData!K165,
IF(ISNUMBER(_xlpm.p),_xlpm.p,
IF(AND(ISNUMBER(_xlpm.r),ISNUMBER(_xlpm.c)),
_xlpm.r-_xlpm.c,
""
)
))</f>
        <v>17.600000000000001</v>
      </c>
    </row>
    <row r="166" spans="1:12" x14ac:dyDescent="0.35">
      <c r="A166" t="s">
        <v>202</v>
      </c>
      <c r="B166" s="7">
        <v>45957</v>
      </c>
      <c r="C166" t="str">
        <f>IF(RawData!C166="","Unknown",PROPER(TRIM(CLEAN(SUBSTITUTE(RawData!C166,CHAR(160)," ")))))</f>
        <v>West</v>
      </c>
      <c r="D166" t="str">
        <f>IF(RawData!D166="","Unknown",PROPER(TRIM(CLEAN(SUBSTITUTE(RawData!D166,CHAR(160)," ")))))</f>
        <v>Pune</v>
      </c>
      <c r="E166" t="str">
        <f>IF(RawData!E166="","Unknown",PROPER(TRIM(CLEAN(SUBSTITUTE(RawData!E166,CHAR(160)," ")))))</f>
        <v>Backpack</v>
      </c>
      <c r="F166" t="str">
        <f>IF(RawData!F166="","Unknown",PROPER(TRIM(CLEAN(SUBSTITUTE(RawData!F166,CHAR(160)," ")))))</f>
        <v>Accessories</v>
      </c>
      <c r="G166">
        <f>_xlfn.LET(
_xlpm.q,RawData!G166,
_xlpm.u,RawData!H166,
_xlpm.d,RawData!I166,
_xlpm.r,RawData!J166,
IF(AND(ISNUMBER(_xlpm.q),_xlpm.q&gt;0),_xlpm.q,
   IF(AND(ISNUMBER(_xlpm.r),ISNUMBER(_xlpm.u),_xlpm.u&gt;0,ISNUMBER(_xlpm.d),_xlpm.d&gt;=0,_xlpm.d&lt;1),
      ROUND(_xlpm.r/(_xlpm.u*(1-_xlpm.d)),0),
      ""
   )
)
)</f>
        <v>8</v>
      </c>
      <c r="H166" s="4">
        <f>_xlfn.LET(
_xlpm.q,RawData!G166,
_xlpm.u,RawData!H166,
_xlpm.d,RawData!I166,
_xlpm.r,RawData!J166,
IF(AND(ISNUMBER(_xlpm.u),_xlpm.u&gt;0),_xlpm.u,
   IF(AND(ISNUMBER(_xlpm.q),_xlpm.q&gt;0,ISNUMBER(_xlpm.r),ISNUMBER(_xlpm.d),_xlpm.d&gt;=0,_xlpm.d&lt;1),
      _xlpm.r/(_xlpm.q*(1-_xlpm.d)),
      ""
   )
)
)</f>
        <v>43.91</v>
      </c>
      <c r="I166" s="5">
        <f>_xlfn.LET(
_xlpm.q,RawData!G166,
_xlpm.u,RawData!H166,
_xlpm.d,RawData!I166,
_xlpm.r,RawData!J166,
IF(AND(ISNUMBER(_xlpm.d),_xlpm.d&gt;=0,_xlpm.d&lt;1),_xlpm.d,
   IF(AND(ISNUMBER(_xlpm.q),_xlpm.q&gt;0,ISNUMBER(_xlpm.u),_xlpm.u&gt;0,ISNUMBER(_xlpm.r),_xlpm.r&gt;=0),
      1-(_xlpm.r/(_xlpm.q*_xlpm.u)),
      ""
   )
)
)</f>
        <v>0</v>
      </c>
      <c r="J166" s="4">
        <f>_xlfn.LET(
_xlpm.q,RawData!G166,
_xlpm.u,RawData!H166,
_xlpm.d,RawData!I166,
_xlpm.r,RawData!J166,
IF(AND(ISNUMBER(_xlpm.r),_xlpm.r&gt;=0),_xlpm.r,
   IF(AND(ISNUMBER(_xlpm.q),_xlpm.q&gt;0,ISNUMBER(_xlpm.u),_xlpm.u&gt;0,ISNUMBER(_xlpm.d),_xlpm.d&gt;=0,_xlpm.d&lt;1),
      _xlpm.q*_xlpm.u*(1-_xlpm.d),
      ""
   )
)
)</f>
        <v>351.28</v>
      </c>
      <c r="K166" s="4">
        <f>_xlfn.LET(
_xlpm.c,RawData!K166,
_xlpm.r,RawData!J166,
_xlpm.p,RawData!L166,
IF(AND(ISNUMBER(_xlpm.c),_xlpm.c&gt;=0),_xlpm.c,
   IF(AND(ISNUMBER(_xlpm.r),ISNUMBER(_xlpm.p)),
      _xlpm.r-_xlpm.p,
      ""
   )
)
)</f>
        <v>216.7</v>
      </c>
      <c r="L166" s="4">
        <f>_xlfn.LET(
_xlpm.p,RawData!L166,
_xlpm.r,RawData!J166,
_xlpm.c,RawData!K166,
IF(ISNUMBER(_xlpm.p),_xlpm.p,
IF(AND(ISNUMBER(_xlpm.r),ISNUMBER(_xlpm.c)),
_xlpm.r-_xlpm.c,
""
)
))</f>
        <v>134.58000000000001</v>
      </c>
    </row>
    <row r="167" spans="1:12" x14ac:dyDescent="0.35">
      <c r="A167" t="s">
        <v>203</v>
      </c>
      <c r="B167" s="7">
        <v>45836</v>
      </c>
      <c r="C167" t="str">
        <f>IF(RawData!C167="","Unknown",PROPER(TRIM(CLEAN(SUBSTITUTE(RawData!C167,CHAR(160)," ")))))</f>
        <v>West</v>
      </c>
      <c r="D167" t="str">
        <f>IF(RawData!D167="","Unknown",PROPER(TRIM(CLEAN(SUBSTITUTE(RawData!D167,CHAR(160)," ")))))</f>
        <v>Mumbai</v>
      </c>
      <c r="E167" t="str">
        <f>IF(RawData!E167="","Unknown",PROPER(TRIM(CLEAN(SUBSTITUTE(RawData!E167,CHAR(160)," ")))))</f>
        <v>Desk</v>
      </c>
      <c r="F167" t="str">
        <f>IF(RawData!F167="","Unknown",PROPER(TRIM(CLEAN(SUBSTITUTE(RawData!F167,CHAR(160)," ")))))</f>
        <v>Furniture</v>
      </c>
      <c r="G167">
        <f>_xlfn.LET(
_xlpm.q,RawData!G167,
_xlpm.u,RawData!H167,
_xlpm.d,RawData!I167,
_xlpm.r,RawData!J167,
IF(AND(ISNUMBER(_xlpm.q),_xlpm.q&gt;0),_xlpm.q,
   IF(AND(ISNUMBER(_xlpm.r),ISNUMBER(_xlpm.u),_xlpm.u&gt;0,ISNUMBER(_xlpm.d),_xlpm.d&gt;=0,_xlpm.d&lt;1),
      ROUND(_xlpm.r/(_xlpm.u*(1-_xlpm.d)),0),
      ""
   )
)
)</f>
        <v>6</v>
      </c>
      <c r="H167" s="4">
        <f>_xlfn.LET(
_xlpm.q,RawData!G167,
_xlpm.u,RawData!H167,
_xlpm.d,RawData!I167,
_xlpm.r,RawData!J167,
IF(AND(ISNUMBER(_xlpm.u),_xlpm.u&gt;0),_xlpm.u,
   IF(AND(ISNUMBER(_xlpm.q),_xlpm.q&gt;0,ISNUMBER(_xlpm.r),ISNUMBER(_xlpm.d),_xlpm.d&gt;=0,_xlpm.d&lt;1),
      _xlpm.r/(_xlpm.q*(1-_xlpm.d)),
      ""
   )
)
)</f>
        <v>239.2</v>
      </c>
      <c r="I167" s="5">
        <f>_xlfn.LET(
_xlpm.q,RawData!G167,
_xlpm.u,RawData!H167,
_xlpm.d,RawData!I167,
_xlpm.r,RawData!J167,
IF(AND(ISNUMBER(_xlpm.d),_xlpm.d&gt;=0,_xlpm.d&lt;1),_xlpm.d,
   IF(AND(ISNUMBER(_xlpm.q),_xlpm.q&gt;0,ISNUMBER(_xlpm.u),_xlpm.u&gt;0,ISNUMBER(_xlpm.r),_xlpm.r&gt;=0),
      1-(_xlpm.r/(_xlpm.q*_xlpm.u)),
      ""
   )
)
)</f>
        <v>0.2</v>
      </c>
      <c r="J167" s="4">
        <f>_xlfn.LET(
_xlpm.q,RawData!G167,
_xlpm.u,RawData!H167,
_xlpm.d,RawData!I167,
_xlpm.r,RawData!J167,
IF(AND(ISNUMBER(_xlpm.r),_xlpm.r&gt;=0),_xlpm.r,
   IF(AND(ISNUMBER(_xlpm.q),_xlpm.q&gt;0,ISNUMBER(_xlpm.u),_xlpm.u&gt;0,ISNUMBER(_xlpm.d),_xlpm.d&gt;=0,_xlpm.d&lt;1),
      _xlpm.q*_xlpm.u*(1-_xlpm.d),
      ""
   )
)
)</f>
        <v>1148.1600000000001</v>
      </c>
      <c r="K167" s="4">
        <f>_xlfn.LET(
_xlpm.c,RawData!K167,
_xlpm.r,RawData!J167,
_xlpm.p,RawData!L167,
IF(AND(ISNUMBER(_xlpm.c),_xlpm.c&gt;=0),_xlpm.c,
   IF(AND(ISNUMBER(_xlpm.r),ISNUMBER(_xlpm.p)),
      _xlpm.r-_xlpm.p,
      ""
   )
)
)</f>
        <v>866.42</v>
      </c>
      <c r="L167" s="4">
        <f>_xlfn.LET(
_xlpm.p,RawData!L167,
_xlpm.r,RawData!J167,
_xlpm.c,RawData!K167,
IF(ISNUMBER(_xlpm.p),_xlpm.p,
IF(AND(ISNUMBER(_xlpm.r),ISNUMBER(_xlpm.c)),
_xlpm.r-_xlpm.c,
""
)
))</f>
        <v>281.74</v>
      </c>
    </row>
    <row r="168" spans="1:12" x14ac:dyDescent="0.35">
      <c r="A168" t="s">
        <v>204</v>
      </c>
      <c r="B168" s="7">
        <v>45740</v>
      </c>
      <c r="C168" t="str">
        <f>IF(RawData!C168="","Unknown",PROPER(TRIM(CLEAN(SUBSTITUTE(RawData!C168,CHAR(160)," ")))))</f>
        <v>East</v>
      </c>
      <c r="D168" t="str">
        <f>IF(RawData!D168="","Unknown",PROPER(TRIM(CLEAN(SUBSTITUTE(RawData!D168,CHAR(160)," ")))))</f>
        <v>Patna</v>
      </c>
      <c r="E168" t="str">
        <f>IF(RawData!E168="","Unknown",PROPER(TRIM(CLEAN(SUBSTITUTE(RawData!E168,CHAR(160)," ")))))</f>
        <v>Bookshelf</v>
      </c>
      <c r="F168" t="str">
        <f>IF(RawData!F168="","Unknown",PROPER(TRIM(CLEAN(SUBSTITUTE(RawData!F168,CHAR(160)," ")))))</f>
        <v>Furniture</v>
      </c>
      <c r="G168">
        <f>_xlfn.LET(
_xlpm.q,RawData!G168,
_xlpm.u,RawData!H168,
_xlpm.d,RawData!I168,
_xlpm.r,RawData!J168,
IF(AND(ISNUMBER(_xlpm.q),_xlpm.q&gt;0),_xlpm.q,
   IF(AND(ISNUMBER(_xlpm.r),ISNUMBER(_xlpm.u),_xlpm.u&gt;0,ISNUMBER(_xlpm.d),_xlpm.d&gt;=0,_xlpm.d&lt;1),
      ROUND(_xlpm.r/(_xlpm.u*(1-_xlpm.d)),0),
      ""
   )
)
)</f>
        <v>8</v>
      </c>
      <c r="H168" s="4">
        <f>_xlfn.LET(
_xlpm.q,RawData!G168,
_xlpm.u,RawData!H168,
_xlpm.d,RawData!I168,
_xlpm.r,RawData!J168,
IF(AND(ISNUMBER(_xlpm.u),_xlpm.u&gt;0),_xlpm.u,
   IF(AND(ISNUMBER(_xlpm.q),_xlpm.q&gt;0,ISNUMBER(_xlpm.r),ISNUMBER(_xlpm.d),_xlpm.d&gt;=0,_xlpm.d&lt;1),
      _xlpm.r/(_xlpm.q*(1-_xlpm.d)),
      ""
   )
)
)</f>
        <v>119.6</v>
      </c>
      <c r="I168" s="5">
        <f>_xlfn.LET(
_xlpm.q,RawData!G168,
_xlpm.u,RawData!H168,
_xlpm.d,RawData!I168,
_xlpm.r,RawData!J168,
IF(AND(ISNUMBER(_xlpm.d),_xlpm.d&gt;=0,_xlpm.d&lt;1),_xlpm.d,
   IF(AND(ISNUMBER(_xlpm.q),_xlpm.q&gt;0,ISNUMBER(_xlpm.u),_xlpm.u&gt;0,ISNUMBER(_xlpm.r),_xlpm.r&gt;=0),
      1-(_xlpm.r/(_xlpm.q*_xlpm.u)),
      ""
   )
)
)</f>
        <v>0.05</v>
      </c>
      <c r="J168" s="4">
        <f>_xlfn.LET(
_xlpm.q,RawData!G168,
_xlpm.u,RawData!H168,
_xlpm.d,RawData!I168,
_xlpm.r,RawData!J168,
IF(AND(ISNUMBER(_xlpm.r),_xlpm.r&gt;=0),_xlpm.r,
   IF(AND(ISNUMBER(_xlpm.q),_xlpm.q&gt;0,ISNUMBER(_xlpm.u),_xlpm.u&gt;0,ISNUMBER(_xlpm.d),_xlpm.d&gt;=0,_xlpm.d&lt;1),
      _xlpm.q*_xlpm.u*(1-_xlpm.d),
      ""
   )
)
)</f>
        <v>908.96</v>
      </c>
      <c r="K168" s="4">
        <f>_xlfn.LET(
_xlpm.c,RawData!K168,
_xlpm.r,RawData!J168,
_xlpm.p,RawData!L168,
IF(AND(ISNUMBER(_xlpm.c),_xlpm.c&gt;=0),_xlpm.c,
   IF(AND(ISNUMBER(_xlpm.r),ISNUMBER(_xlpm.p)),
      _xlpm.r-_xlpm.p,
      ""
   )
)
)</f>
        <v>528.41</v>
      </c>
      <c r="L168" s="4">
        <f>_xlfn.LET(
_xlpm.p,RawData!L168,
_xlpm.r,RawData!J168,
_xlpm.c,RawData!K168,
IF(ISNUMBER(_xlpm.p),_xlpm.p,
IF(AND(ISNUMBER(_xlpm.r),ISNUMBER(_xlpm.c)),
_xlpm.r-_xlpm.c,
""
)
))</f>
        <v>380.55</v>
      </c>
    </row>
    <row r="169" spans="1:12" x14ac:dyDescent="0.35">
      <c r="A169" t="s">
        <v>205</v>
      </c>
      <c r="B169" s="7">
        <v>45863</v>
      </c>
      <c r="C169" t="str">
        <f>IF(RawData!C169="","Unknown",PROPER(TRIM(CLEAN(SUBSTITUTE(RawData!C169,CHAR(160)," ")))))</f>
        <v>North</v>
      </c>
      <c r="D169" t="str">
        <f>IF(RawData!D169="","Unknown",PROPER(TRIM(CLEAN(SUBSTITUTE(RawData!D169,CHAR(160)," ")))))</f>
        <v>Jaipur</v>
      </c>
      <c r="E169" t="str">
        <f>IF(RawData!E169="","Unknown",PROPER(TRIM(CLEAN(SUBSTITUTE(RawData!E169,CHAR(160)," ")))))</f>
        <v>Printer</v>
      </c>
      <c r="F169" t="str">
        <f>IF(RawData!F169="","Unknown",PROPER(TRIM(CLEAN(SUBSTITUTE(RawData!F169,CHAR(160)," ")))))</f>
        <v>Office Supplies</v>
      </c>
      <c r="G169">
        <f>_xlfn.LET(
_xlpm.q,RawData!G169,
_xlpm.u,RawData!H169,
_xlpm.d,RawData!I169,
_xlpm.r,RawData!J169,
IF(AND(ISNUMBER(_xlpm.q),_xlpm.q&gt;0),_xlpm.q,
   IF(AND(ISNUMBER(_xlpm.r),ISNUMBER(_xlpm.u),_xlpm.u&gt;0,ISNUMBER(_xlpm.d),_xlpm.d&gt;=0,_xlpm.d&lt;1),
      ROUND(_xlpm.r/(_xlpm.u*(1-_xlpm.d)),0),
      ""
   )
)
)</f>
        <v>2</v>
      </c>
      <c r="H169" s="4">
        <f>_xlfn.LET(
_xlpm.q,RawData!G169,
_xlpm.u,RawData!H169,
_xlpm.d,RawData!I169,
_xlpm.r,RawData!J169,
IF(AND(ISNUMBER(_xlpm.u),_xlpm.u&gt;0),_xlpm.u,
   IF(AND(ISNUMBER(_xlpm.q),_xlpm.q&gt;0,ISNUMBER(_xlpm.r),ISNUMBER(_xlpm.d),_xlpm.d&gt;=0,_xlpm.d&lt;1),
      _xlpm.r/(_xlpm.q*(1-_xlpm.d)),
      ""
   )
)
)</f>
        <v>138.21</v>
      </c>
      <c r="I169" s="5">
        <f>_xlfn.LET(
_xlpm.q,RawData!G169,
_xlpm.u,RawData!H169,
_xlpm.d,RawData!I169,
_xlpm.r,RawData!J169,
IF(AND(ISNUMBER(_xlpm.d),_xlpm.d&gt;=0,_xlpm.d&lt;1),_xlpm.d,
   IF(AND(ISNUMBER(_xlpm.q),_xlpm.q&gt;0,ISNUMBER(_xlpm.u),_xlpm.u&gt;0,ISNUMBER(_xlpm.r),_xlpm.r&gt;=0),
      1-(_xlpm.r/(_xlpm.q*_xlpm.u)),
      ""
   )
)
)</f>
        <v>0.05</v>
      </c>
      <c r="J169" s="4">
        <f>_xlfn.LET(
_xlpm.q,RawData!G169,
_xlpm.u,RawData!H169,
_xlpm.d,RawData!I169,
_xlpm.r,RawData!J169,
IF(AND(ISNUMBER(_xlpm.r),_xlpm.r&gt;=0),_xlpm.r,
   IF(AND(ISNUMBER(_xlpm.q),_xlpm.q&gt;0,ISNUMBER(_xlpm.u),_xlpm.u&gt;0,ISNUMBER(_xlpm.d),_xlpm.d&gt;=0,_xlpm.d&lt;1),
      _xlpm.q*_xlpm.u*(1-_xlpm.d),
      ""
   )
)
)</f>
        <v>262.60000000000002</v>
      </c>
      <c r="K169" s="4">
        <f>_xlfn.LET(
_xlpm.c,RawData!K169,
_xlpm.r,RawData!J169,
_xlpm.p,RawData!L169,
IF(AND(ISNUMBER(_xlpm.c),_xlpm.c&gt;=0),_xlpm.c,
   IF(AND(ISNUMBER(_xlpm.r),ISNUMBER(_xlpm.p)),
      _xlpm.r-_xlpm.p,
      ""
   )
)
)</f>
        <v>147.32</v>
      </c>
      <c r="L169" s="4">
        <f>_xlfn.LET(
_xlpm.p,RawData!L169,
_xlpm.r,RawData!J169,
_xlpm.c,RawData!K169,
IF(ISNUMBER(_xlpm.p),_xlpm.p,
IF(AND(ISNUMBER(_xlpm.r),ISNUMBER(_xlpm.c)),
_xlpm.r-_xlpm.c,
""
)
))</f>
        <v>115.28</v>
      </c>
    </row>
    <row r="170" spans="1:12" x14ac:dyDescent="0.35">
      <c r="A170" t="s">
        <v>206</v>
      </c>
      <c r="B170" s="7">
        <v>45823</v>
      </c>
      <c r="C170" t="str">
        <f>IF(RawData!C170="","Unknown",PROPER(TRIM(CLEAN(SUBSTITUTE(RawData!C170,CHAR(160)," ")))))</f>
        <v>North</v>
      </c>
      <c r="D170" t="str">
        <f>IF(RawData!D170="","Unknown",PROPER(TRIM(CLEAN(SUBSTITUTE(RawData!D170,CHAR(160)," ")))))</f>
        <v>Lucknow</v>
      </c>
      <c r="E170" t="str">
        <f>IF(RawData!E170="","Unknown",PROPER(TRIM(CLEAN(SUBSTITUTE(RawData!E170,CHAR(160)," ")))))</f>
        <v>Bookshelf</v>
      </c>
      <c r="F170" t="str">
        <f>IF(RawData!F170="","Unknown",PROPER(TRIM(CLEAN(SUBSTITUTE(RawData!F170,CHAR(160)," ")))))</f>
        <v>Furniture</v>
      </c>
      <c r="G170">
        <f>_xlfn.LET(
_xlpm.q,RawData!G170,
_xlpm.u,RawData!H170,
_xlpm.d,RawData!I170,
_xlpm.r,RawData!J170,
IF(AND(ISNUMBER(_xlpm.q),_xlpm.q&gt;0),_xlpm.q,
   IF(AND(ISNUMBER(_xlpm.r),ISNUMBER(_xlpm.u),_xlpm.u&gt;0,ISNUMBER(_xlpm.d),_xlpm.d&gt;=0,_xlpm.d&lt;1),
      ROUND(_xlpm.r/(_xlpm.u*(1-_xlpm.d)),0),
      ""
   )
)
)</f>
        <v>9</v>
      </c>
      <c r="H170" s="4">
        <f>_xlfn.LET(
_xlpm.q,RawData!G170,
_xlpm.u,RawData!H170,
_xlpm.d,RawData!I170,
_xlpm.r,RawData!J170,
IF(AND(ISNUMBER(_xlpm.u),_xlpm.u&gt;0),_xlpm.u,
   IF(AND(ISNUMBER(_xlpm.q),_xlpm.q&gt;0,ISNUMBER(_xlpm.r),ISNUMBER(_xlpm.d),_xlpm.d&gt;=0,_xlpm.d&lt;1),
      _xlpm.r/(_xlpm.q*(1-_xlpm.d)),
      ""
   )
)
)</f>
        <v>154.93</v>
      </c>
      <c r="I170" s="5">
        <f>_xlfn.LET(
_xlpm.q,RawData!G170,
_xlpm.u,RawData!H170,
_xlpm.d,RawData!I170,
_xlpm.r,RawData!J170,
IF(AND(ISNUMBER(_xlpm.d),_xlpm.d&gt;=0,_xlpm.d&lt;1),_xlpm.d,
   IF(AND(ISNUMBER(_xlpm.q),_xlpm.q&gt;0,ISNUMBER(_xlpm.u),_xlpm.u&gt;0,ISNUMBER(_xlpm.r),_xlpm.r&gt;=0),
      1-(_xlpm.r/(_xlpm.q*_xlpm.u)),
      ""
   )
)
)</f>
        <v>0</v>
      </c>
      <c r="J170" s="4">
        <f>_xlfn.LET(
_xlpm.q,RawData!G170,
_xlpm.u,RawData!H170,
_xlpm.d,RawData!I170,
_xlpm.r,RawData!J170,
IF(AND(ISNUMBER(_xlpm.r),_xlpm.r&gt;=0),_xlpm.r,
   IF(AND(ISNUMBER(_xlpm.q),_xlpm.q&gt;0,ISNUMBER(_xlpm.u),_xlpm.u&gt;0,ISNUMBER(_xlpm.d),_xlpm.d&gt;=0,_xlpm.d&lt;1),
      _xlpm.q*_xlpm.u*(1-_xlpm.d),
      ""
   )
)
)</f>
        <v>1394.37</v>
      </c>
      <c r="K170" s="4">
        <f>_xlfn.LET(
_xlpm.c,RawData!K170,
_xlpm.r,RawData!J170,
_xlpm.p,RawData!L170,
IF(AND(ISNUMBER(_xlpm.c),_xlpm.c&gt;=0),_xlpm.c,
   IF(AND(ISNUMBER(_xlpm.r),ISNUMBER(_xlpm.p)),
      _xlpm.r-_xlpm.p,
      ""
   )
)
)</f>
        <v>1031.82</v>
      </c>
      <c r="L170" s="4">
        <f>_xlfn.LET(
_xlpm.p,RawData!L170,
_xlpm.r,RawData!J170,
_xlpm.c,RawData!K170,
IF(ISNUMBER(_xlpm.p),_xlpm.p,
IF(AND(ISNUMBER(_xlpm.r),ISNUMBER(_xlpm.c)),
_xlpm.r-_xlpm.c,
""
)
))</f>
        <v>362.55</v>
      </c>
    </row>
    <row r="171" spans="1:12" x14ac:dyDescent="0.35">
      <c r="A171" t="s">
        <v>207</v>
      </c>
      <c r="B171" s="7">
        <v>45935</v>
      </c>
      <c r="C171" t="str">
        <f>IF(RawData!C171="","Unknown",PROPER(TRIM(CLEAN(SUBSTITUTE(RawData!C171,CHAR(160)," ")))))</f>
        <v>West</v>
      </c>
      <c r="D171" t="str">
        <f>IF(RawData!D171="","Unknown",PROPER(TRIM(CLEAN(SUBSTITUTE(RawData!D171,CHAR(160)," ")))))</f>
        <v>Ahmedabad</v>
      </c>
      <c r="E171" t="str">
        <f>IF(RawData!E171="","Unknown",PROPER(TRIM(CLEAN(SUBSTITUTE(RawData!E171,CHAR(160)," ")))))</f>
        <v>Bookshelf</v>
      </c>
      <c r="F171" t="str">
        <f>IF(RawData!F171="","Unknown",PROPER(TRIM(CLEAN(SUBSTITUTE(RawData!F171,CHAR(160)," ")))))</f>
        <v>Furniture</v>
      </c>
      <c r="G171">
        <f>_xlfn.LET(
_xlpm.q,RawData!G171,
_xlpm.u,RawData!H171,
_xlpm.d,RawData!I171,
_xlpm.r,RawData!J171,
IF(AND(ISNUMBER(_xlpm.q),_xlpm.q&gt;0),_xlpm.q,
   IF(AND(ISNUMBER(_xlpm.r),ISNUMBER(_xlpm.u),_xlpm.u&gt;0,ISNUMBER(_xlpm.d),_xlpm.d&gt;=0,_xlpm.d&lt;1),
      ROUND(_xlpm.r/(_xlpm.u*(1-_xlpm.d)),0),
      ""
   )
)
)</f>
        <v>1</v>
      </c>
      <c r="H171" s="4">
        <f>_xlfn.LET(
_xlpm.q,RawData!G171,
_xlpm.u,RawData!H171,
_xlpm.d,RawData!I171,
_xlpm.r,RawData!J171,
IF(AND(ISNUMBER(_xlpm.u),_xlpm.u&gt;0),_xlpm.u,
   IF(AND(ISNUMBER(_xlpm.q),_xlpm.q&gt;0,ISNUMBER(_xlpm.r),ISNUMBER(_xlpm.d),_xlpm.d&gt;=0,_xlpm.d&lt;1),
      _xlpm.r/(_xlpm.q*(1-_xlpm.d)),
      ""
   )
)
)</f>
        <v>138.91999999999999</v>
      </c>
      <c r="I171" s="5">
        <f>_xlfn.LET(
_xlpm.q,RawData!G171,
_xlpm.u,RawData!H171,
_xlpm.d,RawData!I171,
_xlpm.r,RawData!J171,
IF(AND(ISNUMBER(_xlpm.d),_xlpm.d&gt;=0,_xlpm.d&lt;1),_xlpm.d,
   IF(AND(ISNUMBER(_xlpm.q),_xlpm.q&gt;0,ISNUMBER(_xlpm.u),_xlpm.u&gt;0,ISNUMBER(_xlpm.r),_xlpm.r&gt;=0),
      1-(_xlpm.r/(_xlpm.q*_xlpm.u)),
      ""
   )
)
)</f>
        <v>0.02</v>
      </c>
      <c r="J171" s="4">
        <f>_xlfn.LET(
_xlpm.q,RawData!G171,
_xlpm.u,RawData!H171,
_xlpm.d,RawData!I171,
_xlpm.r,RawData!J171,
IF(AND(ISNUMBER(_xlpm.r),_xlpm.r&gt;=0),_xlpm.r,
   IF(AND(ISNUMBER(_xlpm.q),_xlpm.q&gt;0,ISNUMBER(_xlpm.u),_xlpm.u&gt;0,ISNUMBER(_xlpm.d),_xlpm.d&gt;=0,_xlpm.d&lt;1),
      _xlpm.q*_xlpm.u*(1-_xlpm.d),
      ""
   )
)
)</f>
        <v>136.13999999999999</v>
      </c>
      <c r="K171" s="4">
        <f>_xlfn.LET(
_xlpm.c,RawData!K171,
_xlpm.r,RawData!J171,
_xlpm.p,RawData!L171,
IF(AND(ISNUMBER(_xlpm.c),_xlpm.c&gt;=0),_xlpm.c,
   IF(AND(ISNUMBER(_xlpm.r),ISNUMBER(_xlpm.p)),
      _xlpm.r-_xlpm.p,
      ""
   )
)
)</f>
        <v>78.47</v>
      </c>
      <c r="L171" s="4">
        <f>_xlfn.LET(
_xlpm.p,RawData!L171,
_xlpm.r,RawData!J171,
_xlpm.c,RawData!K171,
IF(ISNUMBER(_xlpm.p),_xlpm.p,
IF(AND(ISNUMBER(_xlpm.r),ISNUMBER(_xlpm.c)),
_xlpm.r-_xlpm.c,
""
)
))</f>
        <v>57.67</v>
      </c>
    </row>
    <row r="172" spans="1:12" x14ac:dyDescent="0.35">
      <c r="A172" t="s">
        <v>208</v>
      </c>
      <c r="B172" s="7">
        <v>45843</v>
      </c>
      <c r="C172" t="str">
        <f>IF(RawData!C172="","Unknown",PROPER(TRIM(CLEAN(SUBSTITUTE(RawData!C172,CHAR(160)," ")))))</f>
        <v>West</v>
      </c>
      <c r="D172" t="str">
        <f>IF(RawData!D172="","Unknown",PROPER(TRIM(CLEAN(SUBSTITUTE(RawData!D172,CHAR(160)," ")))))</f>
        <v>Mumbai</v>
      </c>
      <c r="E172" t="str">
        <f>IF(RawData!E172="","Unknown",PROPER(TRIM(CLEAN(SUBSTITUTE(RawData!E172,CHAR(160)," ")))))</f>
        <v>Backpack</v>
      </c>
      <c r="F172" t="str">
        <f>IF(RawData!F172="","Unknown",PROPER(TRIM(CLEAN(SUBSTITUTE(RawData!F172,CHAR(160)," ")))))</f>
        <v>Accessories</v>
      </c>
      <c r="G172">
        <f>_xlfn.LET(
_xlpm.q,RawData!G172,
_xlpm.u,RawData!H172,
_xlpm.d,RawData!I172,
_xlpm.r,RawData!J172,
IF(AND(ISNUMBER(_xlpm.q),_xlpm.q&gt;0),_xlpm.q,
   IF(AND(ISNUMBER(_xlpm.r),ISNUMBER(_xlpm.u),_xlpm.u&gt;0,ISNUMBER(_xlpm.d),_xlpm.d&gt;=0,_xlpm.d&lt;1),
      ROUND(_xlpm.r/(_xlpm.u*(1-_xlpm.d)),0),
      ""
   )
)
)</f>
        <v>8</v>
      </c>
      <c r="H172" s="4">
        <f>_xlfn.LET(
_xlpm.q,RawData!G172,
_xlpm.u,RawData!H172,
_xlpm.d,RawData!I172,
_xlpm.r,RawData!J172,
IF(AND(ISNUMBER(_xlpm.u),_xlpm.u&gt;0),_xlpm.u,
   IF(AND(ISNUMBER(_xlpm.q),_xlpm.q&gt;0,ISNUMBER(_xlpm.r),ISNUMBER(_xlpm.d),_xlpm.d&gt;=0,_xlpm.d&lt;1),
      _xlpm.r/(_xlpm.q*(1-_xlpm.d)),
      ""
   )
)
)</f>
        <v>44.89</v>
      </c>
      <c r="I172" s="5">
        <f>_xlfn.LET(
_xlpm.q,RawData!G172,
_xlpm.u,RawData!H172,
_xlpm.d,RawData!I172,
_xlpm.r,RawData!J172,
IF(AND(ISNUMBER(_xlpm.d),_xlpm.d&gt;=0,_xlpm.d&lt;1),_xlpm.d,
   IF(AND(ISNUMBER(_xlpm.q),_xlpm.q&gt;0,ISNUMBER(_xlpm.u),_xlpm.u&gt;0,ISNUMBER(_xlpm.r),_xlpm.r&gt;=0),
      1-(_xlpm.r/(_xlpm.q*_xlpm.u)),
      ""
   )
)
)</f>
        <v>0</v>
      </c>
      <c r="J172" s="4">
        <f>_xlfn.LET(
_xlpm.q,RawData!G172,
_xlpm.u,RawData!H172,
_xlpm.d,RawData!I172,
_xlpm.r,RawData!J172,
IF(AND(ISNUMBER(_xlpm.r),_xlpm.r&gt;=0),_xlpm.r,
   IF(AND(ISNUMBER(_xlpm.q),_xlpm.q&gt;0,ISNUMBER(_xlpm.u),_xlpm.u&gt;0,ISNUMBER(_xlpm.d),_xlpm.d&gt;=0,_xlpm.d&lt;1),
      _xlpm.q*_xlpm.u*(1-_xlpm.d),
      ""
   )
)
)</f>
        <v>359.12</v>
      </c>
      <c r="K172" s="4">
        <f>_xlfn.LET(
_xlpm.c,RawData!K172,
_xlpm.r,RawData!J172,
_xlpm.p,RawData!L172,
IF(AND(ISNUMBER(_xlpm.c),_xlpm.c&gt;=0),_xlpm.c,
   IF(AND(ISNUMBER(_xlpm.r),ISNUMBER(_xlpm.p)),
      _xlpm.r-_xlpm.p,
      ""
   )
)
)</f>
        <v>243.42</v>
      </c>
      <c r="L172" s="4">
        <f>_xlfn.LET(
_xlpm.p,RawData!L172,
_xlpm.r,RawData!J172,
_xlpm.c,RawData!K172,
IF(ISNUMBER(_xlpm.p),_xlpm.p,
IF(AND(ISNUMBER(_xlpm.r),ISNUMBER(_xlpm.c)),
_xlpm.r-_xlpm.c,
""
)
))</f>
        <v>115.7</v>
      </c>
    </row>
    <row r="173" spans="1:12" x14ac:dyDescent="0.35">
      <c r="A173" t="s">
        <v>209</v>
      </c>
      <c r="B173" s="7">
        <v>45794</v>
      </c>
      <c r="C173" t="str">
        <f>IF(RawData!C173="","Unknown",PROPER(TRIM(CLEAN(SUBSTITUTE(RawData!C173,CHAR(160)," ")))))</f>
        <v>South</v>
      </c>
      <c r="D173" t="str">
        <f>IF(RawData!D173="","Unknown",PROPER(TRIM(CLEAN(SUBSTITUTE(RawData!D173,CHAR(160)," ")))))</f>
        <v>Chennai</v>
      </c>
      <c r="E173" t="str">
        <f>IF(RawData!E173="","Unknown",PROPER(TRIM(CLEAN(SUBSTITUTE(RawData!E173,CHAR(160)," ")))))</f>
        <v>Office Chair</v>
      </c>
      <c r="F173" t="str">
        <f>IF(RawData!F173="","Unknown",PROPER(TRIM(CLEAN(SUBSTITUTE(RawData!F173,CHAR(160)," ")))))</f>
        <v>Furniture</v>
      </c>
      <c r="G173">
        <f>_xlfn.LET(
_xlpm.q,RawData!G173,
_xlpm.u,RawData!H173,
_xlpm.d,RawData!I173,
_xlpm.r,RawData!J173,
IF(AND(ISNUMBER(_xlpm.q),_xlpm.q&gt;0),_xlpm.q,
   IF(AND(ISNUMBER(_xlpm.r),ISNUMBER(_xlpm.u),_xlpm.u&gt;0,ISNUMBER(_xlpm.d),_xlpm.d&gt;=0,_xlpm.d&lt;1),
      ROUND(_xlpm.r/(_xlpm.u*(1-_xlpm.d)),0),
      ""
   )
)
)</f>
        <v>8</v>
      </c>
      <c r="H173" s="4">
        <f>_xlfn.LET(
_xlpm.q,RawData!G173,
_xlpm.u,RawData!H173,
_xlpm.d,RawData!I173,
_xlpm.r,RawData!J173,
IF(AND(ISNUMBER(_xlpm.u),_xlpm.u&gt;0),_xlpm.u,
   IF(AND(ISNUMBER(_xlpm.q),_xlpm.q&gt;0,ISNUMBER(_xlpm.r),ISNUMBER(_xlpm.d),_xlpm.d&gt;=0,_xlpm.d&lt;1),
      _xlpm.r/(_xlpm.q*(1-_xlpm.d)),
      ""
   )
)
)</f>
        <v>162.35</v>
      </c>
      <c r="I173" s="5">
        <f>_xlfn.LET(
_xlpm.q,RawData!G173,
_xlpm.u,RawData!H173,
_xlpm.d,RawData!I173,
_xlpm.r,RawData!J173,
IF(AND(ISNUMBER(_xlpm.d),_xlpm.d&gt;=0,_xlpm.d&lt;1),_xlpm.d,
   IF(AND(ISNUMBER(_xlpm.q),_xlpm.q&gt;0,ISNUMBER(_xlpm.u),_xlpm.u&gt;0,ISNUMBER(_xlpm.r),_xlpm.r&gt;=0),
      1-(_xlpm.r/(_xlpm.q*_xlpm.u)),
      ""
   )
)
)</f>
        <v>0.2</v>
      </c>
      <c r="J173" s="4">
        <f>_xlfn.LET(
_xlpm.q,RawData!G173,
_xlpm.u,RawData!H173,
_xlpm.d,RawData!I173,
_xlpm.r,RawData!J173,
IF(AND(ISNUMBER(_xlpm.r),_xlpm.r&gt;=0),_xlpm.r,
   IF(AND(ISNUMBER(_xlpm.q),_xlpm.q&gt;0,ISNUMBER(_xlpm.u),_xlpm.u&gt;0,ISNUMBER(_xlpm.d),_xlpm.d&gt;=0,_xlpm.d&lt;1),
      _xlpm.q*_xlpm.u*(1-_xlpm.d),
      ""
   )
)
)</f>
        <v>1039.04</v>
      </c>
      <c r="K173" s="4">
        <f>_xlfn.LET(
_xlpm.c,RawData!K173,
_xlpm.r,RawData!J173,
_xlpm.p,RawData!L173,
IF(AND(ISNUMBER(_xlpm.c),_xlpm.c&gt;=0),_xlpm.c,
   IF(AND(ISNUMBER(_xlpm.r),ISNUMBER(_xlpm.p)),
      _xlpm.r-_xlpm.p,
      ""
   )
)
)</f>
        <v>693.19</v>
      </c>
      <c r="L173" s="4">
        <f>_xlfn.LET(
_xlpm.p,RawData!L173,
_xlpm.r,RawData!J173,
_xlpm.c,RawData!K173,
IF(ISNUMBER(_xlpm.p),_xlpm.p,
IF(AND(ISNUMBER(_xlpm.r),ISNUMBER(_xlpm.c)),
_xlpm.r-_xlpm.c,
""
)
))</f>
        <v>345.85</v>
      </c>
    </row>
    <row r="174" spans="1:12" x14ac:dyDescent="0.35">
      <c r="A174" t="s">
        <v>210</v>
      </c>
      <c r="B174" s="7">
        <v>45720</v>
      </c>
      <c r="C174" t="str">
        <f>IF(RawData!C174="","Unknown",PROPER(TRIM(CLEAN(SUBSTITUTE(RawData!C174,CHAR(160)," ")))))</f>
        <v>North</v>
      </c>
      <c r="D174" t="str">
        <f>IF(RawData!D174="","Unknown",PROPER(TRIM(CLEAN(SUBSTITUTE(RawData!D174,CHAR(160)," ")))))</f>
        <v>Lucknow</v>
      </c>
      <c r="E174" t="str">
        <f>IF(RawData!E174="","Unknown",PROPER(TRIM(CLEAN(SUBSTITUTE(RawData!E174,CHAR(160)," ")))))</f>
        <v>Backpack</v>
      </c>
      <c r="F174" t="str">
        <f>IF(RawData!F174="","Unknown",PROPER(TRIM(CLEAN(SUBSTITUTE(RawData!F174,CHAR(160)," ")))))</f>
        <v>Accessories</v>
      </c>
      <c r="G174">
        <f>_xlfn.LET(
_xlpm.q,RawData!G174,
_xlpm.u,RawData!H174,
_xlpm.d,RawData!I174,
_xlpm.r,RawData!J174,
IF(AND(ISNUMBER(_xlpm.q),_xlpm.q&gt;0),_xlpm.q,
   IF(AND(ISNUMBER(_xlpm.r),ISNUMBER(_xlpm.u),_xlpm.u&gt;0,ISNUMBER(_xlpm.d),_xlpm.d&gt;=0,_xlpm.d&lt;1),
      ROUND(_xlpm.r/(_xlpm.u*(1-_xlpm.d)),0),
      ""
   )
)
)</f>
        <v>10</v>
      </c>
      <c r="H174" s="4">
        <f>_xlfn.LET(
_xlpm.q,RawData!G174,
_xlpm.u,RawData!H174,
_xlpm.d,RawData!I174,
_xlpm.r,RawData!J174,
IF(AND(ISNUMBER(_xlpm.u),_xlpm.u&gt;0),_xlpm.u,
   IF(AND(ISNUMBER(_xlpm.q),_xlpm.q&gt;0,ISNUMBER(_xlpm.r),ISNUMBER(_xlpm.d),_xlpm.d&gt;=0,_xlpm.d&lt;1),
      _xlpm.r/(_xlpm.q*(1-_xlpm.d)),
      ""
   )
)
)</f>
        <v>43.63</v>
      </c>
      <c r="I174" s="5">
        <f>_xlfn.LET(
_xlpm.q,RawData!G174,
_xlpm.u,RawData!H174,
_xlpm.d,RawData!I174,
_xlpm.r,RawData!J174,
IF(AND(ISNUMBER(_xlpm.d),_xlpm.d&gt;=0,_xlpm.d&lt;1),_xlpm.d,
   IF(AND(ISNUMBER(_xlpm.q),_xlpm.q&gt;0,ISNUMBER(_xlpm.u),_xlpm.u&gt;0,ISNUMBER(_xlpm.r),_xlpm.r&gt;=0),
      1-(_xlpm.r/(_xlpm.q*_xlpm.u)),
      ""
   )
)
)</f>
        <v>0.02</v>
      </c>
      <c r="J174" s="4">
        <f>_xlfn.LET(
_xlpm.q,RawData!G174,
_xlpm.u,RawData!H174,
_xlpm.d,RawData!I174,
_xlpm.r,RawData!J174,
IF(AND(ISNUMBER(_xlpm.r),_xlpm.r&gt;=0),_xlpm.r,
   IF(AND(ISNUMBER(_xlpm.q),_xlpm.q&gt;0,ISNUMBER(_xlpm.u),_xlpm.u&gt;0,ISNUMBER(_xlpm.d),_xlpm.d&gt;=0,_xlpm.d&lt;1),
      _xlpm.q*_xlpm.u*(1-_xlpm.d),
      ""
   )
)
)</f>
        <v>427.57</v>
      </c>
      <c r="K174" s="4">
        <f>_xlfn.LET(
_xlpm.c,RawData!K174,
_xlpm.r,RawData!J174,
_xlpm.p,RawData!L174,
IF(AND(ISNUMBER(_xlpm.c),_xlpm.c&gt;=0),_xlpm.c,
   IF(AND(ISNUMBER(_xlpm.r),ISNUMBER(_xlpm.p)),
      _xlpm.r-_xlpm.p,
      ""
   )
)
)</f>
        <v>306.26</v>
      </c>
      <c r="L174" s="4">
        <f>_xlfn.LET(
_xlpm.p,RawData!L174,
_xlpm.r,RawData!J174,
_xlpm.c,RawData!K174,
IF(ISNUMBER(_xlpm.p),_xlpm.p,
IF(AND(ISNUMBER(_xlpm.r),ISNUMBER(_xlpm.c)),
_xlpm.r-_xlpm.c,
""
)
))</f>
        <v>121.31</v>
      </c>
    </row>
    <row r="175" spans="1:12" x14ac:dyDescent="0.35">
      <c r="A175" t="s">
        <v>211</v>
      </c>
      <c r="B175" s="7">
        <v>45739</v>
      </c>
      <c r="C175" t="str">
        <f>IF(RawData!C175="","Unknown",PROPER(TRIM(CLEAN(SUBSTITUTE(RawData!C175,CHAR(160)," ")))))</f>
        <v>East</v>
      </c>
      <c r="D175" t="str">
        <f>IF(RawData!D175="","Unknown",PROPER(TRIM(CLEAN(SUBSTITUTE(RawData!D175,CHAR(160)," ")))))</f>
        <v>Bhubaneswar</v>
      </c>
      <c r="E175" t="str">
        <f>IF(RawData!E175="","Unknown",PROPER(TRIM(CLEAN(SUBSTITUTE(RawData!E175,CHAR(160)," ")))))</f>
        <v>Notebook</v>
      </c>
      <c r="F175" t="str">
        <f>IF(RawData!F175="","Unknown",PROPER(TRIM(CLEAN(SUBSTITUTE(RawData!F175,CHAR(160)," ")))))</f>
        <v>Office Supplies</v>
      </c>
      <c r="G175">
        <f>_xlfn.LET(
_xlpm.q,RawData!G175,
_xlpm.u,RawData!H175,
_xlpm.d,RawData!I175,
_xlpm.r,RawData!J175,
IF(AND(ISNUMBER(_xlpm.q),_xlpm.q&gt;0),_xlpm.q,
   IF(AND(ISNUMBER(_xlpm.r),ISNUMBER(_xlpm.u),_xlpm.u&gt;0,ISNUMBER(_xlpm.d),_xlpm.d&gt;=0,_xlpm.d&lt;1),
      ROUND(_xlpm.r/(_xlpm.u*(1-_xlpm.d)),0),
      ""
   )
)
)</f>
        <v>1</v>
      </c>
      <c r="H175" s="4">
        <f>_xlfn.LET(
_xlpm.q,RawData!G175,
_xlpm.u,RawData!H175,
_xlpm.d,RawData!I175,
_xlpm.r,RawData!J175,
IF(AND(ISNUMBER(_xlpm.u),_xlpm.u&gt;0),_xlpm.u,
   IF(AND(ISNUMBER(_xlpm.q),_xlpm.q&gt;0,ISNUMBER(_xlpm.r),ISNUMBER(_xlpm.d),_xlpm.d&gt;=0,_xlpm.d&lt;1),
      _xlpm.r/(_xlpm.q*(1-_xlpm.d)),
      ""
   )
)
)</f>
        <v>8.32</v>
      </c>
      <c r="I175" s="5">
        <f>_xlfn.LET(
_xlpm.q,RawData!G175,
_xlpm.u,RawData!H175,
_xlpm.d,RawData!I175,
_xlpm.r,RawData!J175,
IF(AND(ISNUMBER(_xlpm.d),_xlpm.d&gt;=0,_xlpm.d&lt;1),_xlpm.d,
   IF(AND(ISNUMBER(_xlpm.q),_xlpm.q&gt;0,ISNUMBER(_xlpm.u),_xlpm.u&gt;0,ISNUMBER(_xlpm.r),_xlpm.r&gt;=0),
      1-(_xlpm.r/(_xlpm.q*_xlpm.u)),
      ""
   )
)
)</f>
        <v>0.15</v>
      </c>
      <c r="J175" s="4">
        <f>_xlfn.LET(
_xlpm.q,RawData!G175,
_xlpm.u,RawData!H175,
_xlpm.d,RawData!I175,
_xlpm.r,RawData!J175,
IF(AND(ISNUMBER(_xlpm.r),_xlpm.r&gt;=0),_xlpm.r,
   IF(AND(ISNUMBER(_xlpm.q),_xlpm.q&gt;0,ISNUMBER(_xlpm.u),_xlpm.u&gt;0,ISNUMBER(_xlpm.d),_xlpm.d&gt;=0,_xlpm.d&lt;1),
      _xlpm.q*_xlpm.u*(1-_xlpm.d),
      ""
   )
)
)</f>
        <v>7.07</v>
      </c>
      <c r="K175" s="4">
        <f>_xlfn.LET(
_xlpm.c,RawData!K175,
_xlpm.r,RawData!J175,
_xlpm.p,RawData!L175,
IF(AND(ISNUMBER(_xlpm.c),_xlpm.c&gt;=0),_xlpm.c,
   IF(AND(ISNUMBER(_xlpm.r),ISNUMBER(_xlpm.p)),
      _xlpm.r-_xlpm.p,
      ""
   )
)
)</f>
        <v>3.97</v>
      </c>
      <c r="L175" s="4">
        <f>_xlfn.LET(
_xlpm.p,RawData!L175,
_xlpm.r,RawData!J175,
_xlpm.c,RawData!K175,
IF(ISNUMBER(_xlpm.p),_xlpm.p,
IF(AND(ISNUMBER(_xlpm.r),ISNUMBER(_xlpm.c)),
_xlpm.r-_xlpm.c,
""
)
))</f>
        <v>3.1</v>
      </c>
    </row>
    <row r="176" spans="1:12" x14ac:dyDescent="0.35">
      <c r="A176" t="s">
        <v>212</v>
      </c>
      <c r="B176" s="7">
        <v>45705</v>
      </c>
      <c r="C176" t="str">
        <f>IF(RawData!C176="","Unknown",PROPER(TRIM(CLEAN(SUBSTITUTE(RawData!C176,CHAR(160)," ")))))</f>
        <v>South</v>
      </c>
      <c r="D176" t="str">
        <f>IF(RawData!D176="","Unknown",PROPER(TRIM(CLEAN(SUBSTITUTE(RawData!D176,CHAR(160)," ")))))</f>
        <v>Bengaluru</v>
      </c>
      <c r="E176" t="str">
        <f>IF(RawData!E176="","Unknown",PROPER(TRIM(CLEAN(SUBSTITUTE(RawData!E176,CHAR(160)," ")))))</f>
        <v>Smartphone</v>
      </c>
      <c r="F176" t="str">
        <f>IF(RawData!F176="","Unknown",PROPER(TRIM(CLEAN(SUBSTITUTE(RawData!F176,CHAR(160)," ")))))</f>
        <v>Electronics</v>
      </c>
      <c r="G176">
        <f>_xlfn.LET(
_xlpm.q,RawData!G176,
_xlpm.u,RawData!H176,
_xlpm.d,RawData!I176,
_xlpm.r,RawData!J176,
IF(AND(ISNUMBER(_xlpm.q),_xlpm.q&gt;0),_xlpm.q,
   IF(AND(ISNUMBER(_xlpm.r),ISNUMBER(_xlpm.u),_xlpm.u&gt;0,ISNUMBER(_xlpm.d),_xlpm.d&gt;=0,_xlpm.d&lt;1),
      ROUND(_xlpm.r/(_xlpm.u*(1-_xlpm.d)),0),
      ""
   )
)
)</f>
        <v>8</v>
      </c>
      <c r="H176" s="4">
        <f>_xlfn.LET(
_xlpm.q,RawData!G176,
_xlpm.u,RawData!H176,
_xlpm.d,RawData!I176,
_xlpm.r,RawData!J176,
IF(AND(ISNUMBER(_xlpm.u),_xlpm.u&gt;0),_xlpm.u,
   IF(AND(ISNUMBER(_xlpm.q),_xlpm.q&gt;0,ISNUMBER(_xlpm.r),ISNUMBER(_xlpm.d),_xlpm.d&gt;=0,_xlpm.d&lt;1),
      _xlpm.r/(_xlpm.q*(1-_xlpm.d)),
      ""
   )
)
)</f>
        <v>529.30999999999995</v>
      </c>
      <c r="I176" s="5">
        <f>_xlfn.LET(
_xlpm.q,RawData!G176,
_xlpm.u,RawData!H176,
_xlpm.d,RawData!I176,
_xlpm.r,RawData!J176,
IF(AND(ISNUMBER(_xlpm.d),_xlpm.d&gt;=0,_xlpm.d&lt;1),_xlpm.d,
   IF(AND(ISNUMBER(_xlpm.q),_xlpm.q&gt;0,ISNUMBER(_xlpm.u),_xlpm.u&gt;0,ISNUMBER(_xlpm.r),_xlpm.r&gt;=0),
      1-(_xlpm.r/(_xlpm.q*_xlpm.u)),
      ""
   )
)
)</f>
        <v>0</v>
      </c>
      <c r="J176" s="4">
        <f>_xlfn.LET(
_xlpm.q,RawData!G176,
_xlpm.u,RawData!H176,
_xlpm.d,RawData!I176,
_xlpm.r,RawData!J176,
IF(AND(ISNUMBER(_xlpm.r),_xlpm.r&gt;=0),_xlpm.r,
   IF(AND(ISNUMBER(_xlpm.q),_xlpm.q&gt;0,ISNUMBER(_xlpm.u),_xlpm.u&gt;0,ISNUMBER(_xlpm.d),_xlpm.d&gt;=0,_xlpm.d&lt;1),
      _xlpm.q*_xlpm.u*(1-_xlpm.d),
      ""
   )
)
)</f>
        <v>4234.4799999999996</v>
      </c>
      <c r="K176" s="4">
        <f>_xlfn.LET(
_xlpm.c,RawData!K176,
_xlpm.r,RawData!J176,
_xlpm.p,RawData!L176,
IF(AND(ISNUMBER(_xlpm.c),_xlpm.c&gt;=0),_xlpm.c,
   IF(AND(ISNUMBER(_xlpm.r),ISNUMBER(_xlpm.p)),
      _xlpm.r-_xlpm.p,
      ""
   )
)
)</f>
        <v>3044.52</v>
      </c>
      <c r="L176" s="4">
        <f>_xlfn.LET(
_xlpm.p,RawData!L176,
_xlpm.r,RawData!J176,
_xlpm.c,RawData!K176,
IF(ISNUMBER(_xlpm.p),_xlpm.p,
IF(AND(ISNUMBER(_xlpm.r),ISNUMBER(_xlpm.c)),
_xlpm.r-_xlpm.c,
""
)
))</f>
        <v>1189.96</v>
      </c>
    </row>
    <row r="177" spans="1:12" x14ac:dyDescent="0.35">
      <c r="A177" t="s">
        <v>213</v>
      </c>
      <c r="B177" s="7">
        <v>45736</v>
      </c>
      <c r="C177" t="str">
        <f>IF(RawData!C177="","Unknown",PROPER(TRIM(CLEAN(SUBSTITUTE(RawData!C177,CHAR(160)," ")))))</f>
        <v>West</v>
      </c>
      <c r="D177" t="str">
        <f>IF(RawData!D177="","Unknown",PROPER(TRIM(CLEAN(SUBSTITUTE(RawData!D177,CHAR(160)," ")))))</f>
        <v>Ahmedabad</v>
      </c>
      <c r="E177" t="str">
        <f>IF(RawData!E177="","Unknown",PROPER(TRIM(CLEAN(SUBSTITUTE(RawData!E177,CHAR(160)," ")))))</f>
        <v>Keyboard</v>
      </c>
      <c r="F177" t="str">
        <f>IF(RawData!F177="","Unknown",PROPER(TRIM(CLEAN(SUBSTITUTE(RawData!F177,CHAR(160)," ")))))</f>
        <v>Accessories</v>
      </c>
      <c r="G177">
        <f>_xlfn.LET(
_xlpm.q,RawData!G177,
_xlpm.u,RawData!H177,
_xlpm.d,RawData!I177,
_xlpm.r,RawData!J177,
IF(AND(ISNUMBER(_xlpm.q),_xlpm.q&gt;0),_xlpm.q,
   IF(AND(ISNUMBER(_xlpm.r),ISNUMBER(_xlpm.u),_xlpm.u&gt;0,ISNUMBER(_xlpm.d),_xlpm.d&gt;=0,_xlpm.d&lt;1),
      ROUND(_xlpm.r/(_xlpm.u*(1-_xlpm.d)),0),
      ""
   )
)
)</f>
        <v>5</v>
      </c>
      <c r="H177" s="4">
        <f>_xlfn.LET(
_xlpm.q,RawData!G177,
_xlpm.u,RawData!H177,
_xlpm.d,RawData!I177,
_xlpm.r,RawData!J177,
IF(AND(ISNUMBER(_xlpm.u),_xlpm.u&gt;0),_xlpm.u,
   IF(AND(ISNUMBER(_xlpm.q),_xlpm.q&gt;0,ISNUMBER(_xlpm.r),ISNUMBER(_xlpm.d),_xlpm.d&gt;=0,_xlpm.d&lt;1),
      _xlpm.r/(_xlpm.q*(1-_xlpm.d)),
      ""
   )
)
)</f>
        <v>35.03</v>
      </c>
      <c r="I177" s="5">
        <f>_xlfn.LET(
_xlpm.q,RawData!G177,
_xlpm.u,RawData!H177,
_xlpm.d,RawData!I177,
_xlpm.r,RawData!J177,
IF(AND(ISNUMBER(_xlpm.d),_xlpm.d&gt;=0,_xlpm.d&lt;1),_xlpm.d,
   IF(AND(ISNUMBER(_xlpm.q),_xlpm.q&gt;0,ISNUMBER(_xlpm.u),_xlpm.u&gt;0,ISNUMBER(_xlpm.r),_xlpm.r&gt;=0),
      1-(_xlpm.r/(_xlpm.q*_xlpm.u)),
      ""
   )
)
)</f>
        <v>0.15</v>
      </c>
      <c r="J177" s="4">
        <f>_xlfn.LET(
_xlpm.q,RawData!G177,
_xlpm.u,RawData!H177,
_xlpm.d,RawData!I177,
_xlpm.r,RawData!J177,
IF(AND(ISNUMBER(_xlpm.r),_xlpm.r&gt;=0),_xlpm.r,
   IF(AND(ISNUMBER(_xlpm.q),_xlpm.q&gt;0,ISNUMBER(_xlpm.u),_xlpm.u&gt;0,ISNUMBER(_xlpm.d),_xlpm.d&gt;=0,_xlpm.d&lt;1),
      _xlpm.q*_xlpm.u*(1-_xlpm.d),
      ""
   )
)
)</f>
        <v>148.88</v>
      </c>
      <c r="K177" s="4">
        <f>_xlfn.LET(
_xlpm.c,RawData!K177,
_xlpm.r,RawData!J177,
_xlpm.p,RawData!L177,
IF(AND(ISNUMBER(_xlpm.c),_xlpm.c&gt;=0),_xlpm.c,
   IF(AND(ISNUMBER(_xlpm.r),ISNUMBER(_xlpm.p)),
      _xlpm.r-_xlpm.p,
      ""
   )
)
)</f>
        <v>116.31</v>
      </c>
      <c r="L177" s="4">
        <f>_xlfn.LET(
_xlpm.p,RawData!L177,
_xlpm.r,RawData!J177,
_xlpm.c,RawData!K177,
IF(ISNUMBER(_xlpm.p),_xlpm.p,
IF(AND(ISNUMBER(_xlpm.r),ISNUMBER(_xlpm.c)),
_xlpm.r-_xlpm.c,
""
)
))</f>
        <v>32.57</v>
      </c>
    </row>
    <row r="178" spans="1:12" x14ac:dyDescent="0.35">
      <c r="A178" t="s">
        <v>214</v>
      </c>
      <c r="B178" s="7">
        <v>45797</v>
      </c>
      <c r="C178" t="str">
        <f>IF(RawData!C178="","Unknown",PROPER(TRIM(CLEAN(SUBSTITUTE(RawData!C178,CHAR(160)," ")))))</f>
        <v>West</v>
      </c>
      <c r="D178" t="str">
        <f>IF(RawData!D178="","Unknown",PROPER(TRIM(CLEAN(SUBSTITUTE(RawData!D178,CHAR(160)," ")))))</f>
        <v>Pune</v>
      </c>
      <c r="E178" t="str">
        <f>IF(RawData!E178="","Unknown",PROPER(TRIM(CLEAN(SUBSTITUTE(RawData!E178,CHAR(160)," ")))))</f>
        <v>Printer</v>
      </c>
      <c r="F178" t="str">
        <f>IF(RawData!F178="","Unknown",PROPER(TRIM(CLEAN(SUBSTITUTE(RawData!F178,CHAR(160)," ")))))</f>
        <v>Office Supplies</v>
      </c>
      <c r="G178">
        <f>_xlfn.LET(
_xlpm.q,RawData!G178,
_xlpm.u,RawData!H178,
_xlpm.d,RawData!I178,
_xlpm.r,RawData!J178,
IF(AND(ISNUMBER(_xlpm.q),_xlpm.q&gt;0),_xlpm.q,
   IF(AND(ISNUMBER(_xlpm.r),ISNUMBER(_xlpm.u),_xlpm.u&gt;0,ISNUMBER(_xlpm.d),_xlpm.d&gt;=0,_xlpm.d&lt;1),
      ROUND(_xlpm.r/(_xlpm.u*(1-_xlpm.d)),0),
      ""
   )
)
)</f>
        <v>8</v>
      </c>
      <c r="H178" s="4">
        <f>_xlfn.LET(
_xlpm.q,RawData!G178,
_xlpm.u,RawData!H178,
_xlpm.d,RawData!I178,
_xlpm.r,RawData!J178,
IF(AND(ISNUMBER(_xlpm.u),_xlpm.u&gt;0),_xlpm.u,
   IF(AND(ISNUMBER(_xlpm.q),_xlpm.q&gt;0,ISNUMBER(_xlpm.r),ISNUMBER(_xlpm.d),_xlpm.d&gt;=0,_xlpm.d&lt;1),
      _xlpm.r/(_xlpm.q*(1-_xlpm.d)),
      ""
   )
)
)</f>
        <v>167.62</v>
      </c>
      <c r="I178" s="5">
        <f>_xlfn.LET(
_xlpm.q,RawData!G178,
_xlpm.u,RawData!H178,
_xlpm.d,RawData!I178,
_xlpm.r,RawData!J178,
IF(AND(ISNUMBER(_xlpm.d),_xlpm.d&gt;=0,_xlpm.d&lt;1),_xlpm.d,
   IF(AND(ISNUMBER(_xlpm.q),_xlpm.q&gt;0,ISNUMBER(_xlpm.u),_xlpm.u&gt;0,ISNUMBER(_xlpm.r),_xlpm.r&gt;=0),
      1-(_xlpm.r/(_xlpm.q*_xlpm.u)),
      ""
   )
)
)</f>
        <v>0.02</v>
      </c>
      <c r="J178" s="4">
        <f>_xlfn.LET(
_xlpm.q,RawData!G178,
_xlpm.u,RawData!H178,
_xlpm.d,RawData!I178,
_xlpm.r,RawData!J178,
IF(AND(ISNUMBER(_xlpm.r),_xlpm.r&gt;=0),_xlpm.r,
   IF(AND(ISNUMBER(_xlpm.q),_xlpm.q&gt;0,ISNUMBER(_xlpm.u),_xlpm.u&gt;0,ISNUMBER(_xlpm.d),_xlpm.d&gt;=0,_xlpm.d&lt;1),
      _xlpm.q*_xlpm.u*(1-_xlpm.d),
      ""
   )
)
)</f>
        <v>1314.14</v>
      </c>
      <c r="K178" s="4">
        <f>_xlfn.LET(
_xlpm.c,RawData!K178,
_xlpm.r,RawData!J178,
_xlpm.p,RawData!L178,
IF(AND(ISNUMBER(_xlpm.c),_xlpm.c&gt;=0),_xlpm.c,
   IF(AND(ISNUMBER(_xlpm.r),ISNUMBER(_xlpm.p)),
      _xlpm.r-_xlpm.p,
      ""
   )
)
)</f>
        <v>780.59</v>
      </c>
      <c r="L178" s="4">
        <f>_xlfn.LET(
_xlpm.p,RawData!L178,
_xlpm.r,RawData!J178,
_xlpm.c,RawData!K178,
IF(ISNUMBER(_xlpm.p),_xlpm.p,
IF(AND(ISNUMBER(_xlpm.r),ISNUMBER(_xlpm.c)),
_xlpm.r-_xlpm.c,
""
)
))</f>
        <v>533.54999999999995</v>
      </c>
    </row>
    <row r="179" spans="1:12" x14ac:dyDescent="0.35">
      <c r="A179" t="s">
        <v>215</v>
      </c>
      <c r="B179" s="7">
        <v>45940</v>
      </c>
      <c r="C179" t="str">
        <f>IF(RawData!C179="","Unknown",PROPER(TRIM(CLEAN(SUBSTITUTE(RawData!C179,CHAR(160)," ")))))</f>
        <v>South</v>
      </c>
      <c r="D179" t="str">
        <f>IF(RawData!D179="","Unknown",PROPER(TRIM(CLEAN(SUBSTITUTE(RawData!D179,CHAR(160)," ")))))</f>
        <v>Bengaluru</v>
      </c>
      <c r="E179" t="str">
        <f>IF(RawData!E179="","Unknown",PROPER(TRIM(CLEAN(SUBSTITUTE(RawData!E179,CHAR(160)," ")))))</f>
        <v>Bookshelf</v>
      </c>
      <c r="F179" t="str">
        <f>IF(RawData!F179="","Unknown",PROPER(TRIM(CLEAN(SUBSTITUTE(RawData!F179,CHAR(160)," ")))))</f>
        <v>Furniture</v>
      </c>
      <c r="G179">
        <f>_xlfn.LET(
_xlpm.q,RawData!G179,
_xlpm.u,RawData!H179,
_xlpm.d,RawData!I179,
_xlpm.r,RawData!J179,
IF(AND(ISNUMBER(_xlpm.q),_xlpm.q&gt;0),_xlpm.q,
   IF(AND(ISNUMBER(_xlpm.r),ISNUMBER(_xlpm.u),_xlpm.u&gt;0,ISNUMBER(_xlpm.d),_xlpm.d&gt;=0,_xlpm.d&lt;1),
      ROUND(_xlpm.r/(_xlpm.u*(1-_xlpm.d)),0),
      ""
   )
)
)</f>
        <v>4</v>
      </c>
      <c r="H179" s="4">
        <f>_xlfn.LET(
_xlpm.q,RawData!G179,
_xlpm.u,RawData!H179,
_xlpm.d,RawData!I179,
_xlpm.r,RawData!J179,
IF(AND(ISNUMBER(_xlpm.u),_xlpm.u&gt;0),_xlpm.u,
   IF(AND(ISNUMBER(_xlpm.q),_xlpm.q&gt;0,ISNUMBER(_xlpm.r),ISNUMBER(_xlpm.d),_xlpm.d&gt;=0,_xlpm.d&lt;1),
      _xlpm.r/(_xlpm.q*(1-_xlpm.d)),
      ""
   )
)
)</f>
        <v>121.96</v>
      </c>
      <c r="I179" s="5">
        <f>_xlfn.LET(
_xlpm.q,RawData!G179,
_xlpm.u,RawData!H179,
_xlpm.d,RawData!I179,
_xlpm.r,RawData!J179,
IF(AND(ISNUMBER(_xlpm.d),_xlpm.d&gt;=0,_xlpm.d&lt;1),_xlpm.d,
   IF(AND(ISNUMBER(_xlpm.q),_xlpm.q&gt;0,ISNUMBER(_xlpm.u),_xlpm.u&gt;0,ISNUMBER(_xlpm.r),_xlpm.r&gt;=0),
      1-(_xlpm.r/(_xlpm.q*_xlpm.u)),
      ""
   )
)
)</f>
        <v>0.15</v>
      </c>
      <c r="J179" s="4">
        <f>_xlfn.LET(
_xlpm.q,RawData!G179,
_xlpm.u,RawData!H179,
_xlpm.d,RawData!I179,
_xlpm.r,RawData!J179,
IF(AND(ISNUMBER(_xlpm.r),_xlpm.r&gt;=0),_xlpm.r,
   IF(AND(ISNUMBER(_xlpm.q),_xlpm.q&gt;0,ISNUMBER(_xlpm.u),_xlpm.u&gt;0,ISNUMBER(_xlpm.d),_xlpm.d&gt;=0,_xlpm.d&lt;1),
      _xlpm.q*_xlpm.u*(1-_xlpm.d),
      ""
   )
)
)</f>
        <v>414.66</v>
      </c>
      <c r="K179" s="4">
        <f>_xlfn.LET(
_xlpm.c,RawData!K179,
_xlpm.r,RawData!J179,
_xlpm.p,RawData!L179,
IF(AND(ISNUMBER(_xlpm.c),_xlpm.c&gt;=0),_xlpm.c,
   IF(AND(ISNUMBER(_xlpm.r),ISNUMBER(_xlpm.p)),
      _xlpm.r-_xlpm.p,
      ""
   )
)
)</f>
        <v>299.99</v>
      </c>
      <c r="L179" s="4">
        <f>_xlfn.LET(
_xlpm.p,RawData!L179,
_xlpm.r,RawData!J179,
_xlpm.c,RawData!K179,
IF(ISNUMBER(_xlpm.p),_xlpm.p,
IF(AND(ISNUMBER(_xlpm.r),ISNUMBER(_xlpm.c)),
_xlpm.r-_xlpm.c,
""
)
))</f>
        <v>114.67</v>
      </c>
    </row>
    <row r="180" spans="1:12" x14ac:dyDescent="0.35">
      <c r="A180" t="s">
        <v>216</v>
      </c>
      <c r="B180" s="7">
        <v>45727</v>
      </c>
      <c r="C180" t="str">
        <f>IF(RawData!C180="","Unknown",PROPER(TRIM(CLEAN(SUBSTITUTE(RawData!C180,CHAR(160)," ")))))</f>
        <v>North</v>
      </c>
      <c r="D180" t="str">
        <f>IF(RawData!D180="","Unknown",PROPER(TRIM(CLEAN(SUBSTITUTE(RawData!D180,CHAR(160)," ")))))</f>
        <v>Lucknow</v>
      </c>
      <c r="E180" t="str">
        <f>IF(RawData!E180="","Unknown",PROPER(TRIM(CLEAN(SUBSTITUTE(RawData!E180,CHAR(160)," ")))))</f>
        <v>Office Chair</v>
      </c>
      <c r="F180" t="str">
        <f>IF(RawData!F180="","Unknown",PROPER(TRIM(CLEAN(SUBSTITUTE(RawData!F180,CHAR(160)," ")))))</f>
        <v>Furniture</v>
      </c>
      <c r="G180">
        <f>_xlfn.LET(
_xlpm.q,RawData!G180,
_xlpm.u,RawData!H180,
_xlpm.d,RawData!I180,
_xlpm.r,RawData!J180,
IF(AND(ISNUMBER(_xlpm.q),_xlpm.q&gt;0),_xlpm.q,
   IF(AND(ISNUMBER(_xlpm.r),ISNUMBER(_xlpm.u),_xlpm.u&gt;0,ISNUMBER(_xlpm.d),_xlpm.d&gt;=0,_xlpm.d&lt;1),
      ROUND(_xlpm.r/(_xlpm.u*(1-_xlpm.d)),0),
      ""
   )
)
)</f>
        <v>7</v>
      </c>
      <c r="H180" s="4">
        <f>_xlfn.LET(
_xlpm.q,RawData!G180,
_xlpm.u,RawData!H180,
_xlpm.d,RawData!I180,
_xlpm.r,RawData!J180,
IF(AND(ISNUMBER(_xlpm.u),_xlpm.u&gt;0),_xlpm.u,
   IF(AND(ISNUMBER(_xlpm.q),_xlpm.q&gt;0,ISNUMBER(_xlpm.r),ISNUMBER(_xlpm.d),_xlpm.d&gt;=0,_xlpm.d&lt;1),
      _xlpm.r/(_xlpm.q*(1-_xlpm.d)),
      ""
   )
)
)</f>
        <v>154.43</v>
      </c>
      <c r="I180" s="5">
        <f>_xlfn.LET(
_xlpm.q,RawData!G180,
_xlpm.u,RawData!H180,
_xlpm.d,RawData!I180,
_xlpm.r,RawData!J180,
IF(AND(ISNUMBER(_xlpm.d),_xlpm.d&gt;=0,_xlpm.d&lt;1),_xlpm.d,
   IF(AND(ISNUMBER(_xlpm.q),_xlpm.q&gt;0,ISNUMBER(_xlpm.u),_xlpm.u&gt;0,ISNUMBER(_xlpm.r),_xlpm.r&gt;=0),
      1-(_xlpm.r/(_xlpm.q*_xlpm.u)),
      ""
   )
)
)</f>
        <v>0.05</v>
      </c>
      <c r="J180" s="4">
        <f>_xlfn.LET(
_xlpm.q,RawData!G180,
_xlpm.u,RawData!H180,
_xlpm.d,RawData!I180,
_xlpm.r,RawData!J180,
IF(AND(ISNUMBER(_xlpm.r),_xlpm.r&gt;=0),_xlpm.r,
   IF(AND(ISNUMBER(_xlpm.q),_xlpm.q&gt;0,ISNUMBER(_xlpm.u),_xlpm.u&gt;0,ISNUMBER(_xlpm.d),_xlpm.d&gt;=0,_xlpm.d&lt;1),
      _xlpm.q*_xlpm.u*(1-_xlpm.d),
      ""
   )
)
)</f>
        <v>1026.96</v>
      </c>
      <c r="K180" s="4">
        <f>_xlfn.LET(
_xlpm.c,RawData!K180,
_xlpm.r,RawData!J180,
_xlpm.p,RawData!L180,
IF(AND(ISNUMBER(_xlpm.c),_xlpm.c&gt;=0),_xlpm.c,
   IF(AND(ISNUMBER(_xlpm.r),ISNUMBER(_xlpm.p)),
      _xlpm.r-_xlpm.p,
      ""
   )
)
)</f>
        <v>727.25</v>
      </c>
      <c r="L180" s="4">
        <f>_xlfn.LET(
_xlpm.p,RawData!L180,
_xlpm.r,RawData!J180,
_xlpm.c,RawData!K180,
IF(ISNUMBER(_xlpm.p),_xlpm.p,
IF(AND(ISNUMBER(_xlpm.r),ISNUMBER(_xlpm.c)),
_xlpm.r-_xlpm.c,
""
)
))</f>
        <v>299.70999999999998</v>
      </c>
    </row>
    <row r="181" spans="1:12" x14ac:dyDescent="0.35">
      <c r="A181" t="s">
        <v>217</v>
      </c>
      <c r="B181" s="7">
        <v>45794</v>
      </c>
      <c r="C181" t="str">
        <f>IF(RawData!C181="","Unknown",PROPER(TRIM(CLEAN(SUBSTITUTE(RawData!C181,CHAR(160)," ")))))</f>
        <v>North</v>
      </c>
      <c r="D181" t="str">
        <f>IF(RawData!D181="","Unknown",PROPER(TRIM(CLEAN(SUBSTITUTE(RawData!D181,CHAR(160)," ")))))</f>
        <v>Lucknow</v>
      </c>
      <c r="E181" t="str">
        <f>IF(RawData!E181="","Unknown",PROPER(TRIM(CLEAN(SUBSTITUTE(RawData!E181,CHAR(160)," ")))))</f>
        <v>Office Chair</v>
      </c>
      <c r="F181" t="str">
        <f>IF(RawData!F181="","Unknown",PROPER(TRIM(CLEAN(SUBSTITUTE(RawData!F181,CHAR(160)," ")))))</f>
        <v>Furniture</v>
      </c>
      <c r="G181">
        <f>_xlfn.LET(
_xlpm.q,RawData!G181,
_xlpm.u,RawData!H181,
_xlpm.d,RawData!I181,
_xlpm.r,RawData!J181,
IF(AND(ISNUMBER(_xlpm.q),_xlpm.q&gt;0),_xlpm.q,
   IF(AND(ISNUMBER(_xlpm.r),ISNUMBER(_xlpm.u),_xlpm.u&gt;0,ISNUMBER(_xlpm.d),_xlpm.d&gt;=0,_xlpm.d&lt;1),
      ROUND(_xlpm.r/(_xlpm.u*(1-_xlpm.d)),0),
      ""
   )
)
)</f>
        <v>5</v>
      </c>
      <c r="H181" s="4">
        <f>_xlfn.LET(
_xlpm.q,RawData!G181,
_xlpm.u,RawData!H181,
_xlpm.d,RawData!I181,
_xlpm.r,RawData!J181,
IF(AND(ISNUMBER(_xlpm.u),_xlpm.u&gt;0),_xlpm.u,
   IF(AND(ISNUMBER(_xlpm.q),_xlpm.q&gt;0,ISNUMBER(_xlpm.r),ISNUMBER(_xlpm.d),_xlpm.d&gt;=0,_xlpm.d&lt;1),
      _xlpm.r/(_xlpm.q*(1-_xlpm.d)),
      ""
   )
)
)</f>
        <v>203.77</v>
      </c>
      <c r="I181" s="5">
        <f>_xlfn.LET(
_xlpm.q,RawData!G181,
_xlpm.u,RawData!H181,
_xlpm.d,RawData!I181,
_xlpm.r,RawData!J181,
IF(AND(ISNUMBER(_xlpm.d),_xlpm.d&gt;=0,_xlpm.d&lt;1),_xlpm.d,
   IF(AND(ISNUMBER(_xlpm.q),_xlpm.q&gt;0,ISNUMBER(_xlpm.u),_xlpm.u&gt;0,ISNUMBER(_xlpm.r),_xlpm.r&gt;=0),
      1-(_xlpm.r/(_xlpm.q*_xlpm.u)),
      ""
   )
)
)</f>
        <v>0.15</v>
      </c>
      <c r="J181" s="4">
        <f>_xlfn.LET(
_xlpm.q,RawData!G181,
_xlpm.u,RawData!H181,
_xlpm.d,RawData!I181,
_xlpm.r,RawData!J181,
IF(AND(ISNUMBER(_xlpm.r),_xlpm.r&gt;=0),_xlpm.r,
   IF(AND(ISNUMBER(_xlpm.q),_xlpm.q&gt;0,ISNUMBER(_xlpm.u),_xlpm.u&gt;0,ISNUMBER(_xlpm.d),_xlpm.d&gt;=0,_xlpm.d&lt;1),
      _xlpm.q*_xlpm.u*(1-_xlpm.d),
      ""
   )
)
)</f>
        <v>866.02</v>
      </c>
      <c r="K181" s="4">
        <f>_xlfn.LET(
_xlpm.c,RawData!K181,
_xlpm.r,RawData!J181,
_xlpm.p,RawData!L181,
IF(AND(ISNUMBER(_xlpm.c),_xlpm.c&gt;=0),_xlpm.c,
   IF(AND(ISNUMBER(_xlpm.r),ISNUMBER(_xlpm.p)),
      _xlpm.r-_xlpm.p,
      ""
   )
)
)</f>
        <v>610.87</v>
      </c>
      <c r="L181" s="4">
        <f>_xlfn.LET(
_xlpm.p,RawData!L181,
_xlpm.r,RawData!J181,
_xlpm.c,RawData!K181,
IF(ISNUMBER(_xlpm.p),_xlpm.p,
IF(AND(ISNUMBER(_xlpm.r),ISNUMBER(_xlpm.c)),
_xlpm.r-_xlpm.c,
""
)
))</f>
        <v>255.15</v>
      </c>
    </row>
    <row r="182" spans="1:12" x14ac:dyDescent="0.35">
      <c r="A182" t="s">
        <v>218</v>
      </c>
      <c r="B182" s="7">
        <v>45995</v>
      </c>
      <c r="C182" t="str">
        <f>IF(RawData!C182="","Unknown",PROPER(TRIM(CLEAN(SUBSTITUTE(RawData!C182,CHAR(160)," ")))))</f>
        <v>West</v>
      </c>
      <c r="D182" t="str">
        <f>IF(RawData!D182="","Unknown",PROPER(TRIM(CLEAN(SUBSTITUTE(RawData!D182,CHAR(160)," ")))))</f>
        <v>Pune</v>
      </c>
      <c r="E182" t="str">
        <f>IF(RawData!E182="","Unknown",PROPER(TRIM(CLEAN(SUBSTITUTE(RawData!E182,CHAR(160)," ")))))</f>
        <v>Headphones</v>
      </c>
      <c r="F182" t="str">
        <f>IF(RawData!F182="","Unknown",PROPER(TRIM(CLEAN(SUBSTITUTE(RawData!F182,CHAR(160)," ")))))</f>
        <v>Electronics</v>
      </c>
      <c r="G182">
        <f>_xlfn.LET(
_xlpm.q,RawData!G182,
_xlpm.u,RawData!H182,
_xlpm.d,RawData!I182,
_xlpm.r,RawData!J182,
IF(AND(ISNUMBER(_xlpm.q),_xlpm.q&gt;0),_xlpm.q,
   IF(AND(ISNUMBER(_xlpm.r),ISNUMBER(_xlpm.u),_xlpm.u&gt;0,ISNUMBER(_xlpm.d),_xlpm.d&gt;=0,_xlpm.d&lt;1),
      ROUND(_xlpm.r/(_xlpm.u*(1-_xlpm.d)),0),
      ""
   )
)
)</f>
        <v>8</v>
      </c>
      <c r="H182" s="4">
        <f>_xlfn.LET(
_xlpm.q,RawData!G182,
_xlpm.u,RawData!H182,
_xlpm.d,RawData!I182,
_xlpm.r,RawData!J182,
IF(AND(ISNUMBER(_xlpm.u),_xlpm.u&gt;0),_xlpm.u,
   IF(AND(ISNUMBER(_xlpm.q),_xlpm.q&gt;0,ISNUMBER(_xlpm.r),ISNUMBER(_xlpm.d),_xlpm.d&gt;=0,_xlpm.d&lt;1),
      _xlpm.r/(_xlpm.q*(1-_xlpm.d)),
      ""
   )
)
)</f>
        <v>77.319999999999993</v>
      </c>
      <c r="I182" s="5">
        <f>_xlfn.LET(
_xlpm.q,RawData!G182,
_xlpm.u,RawData!H182,
_xlpm.d,RawData!I182,
_xlpm.r,RawData!J182,
IF(AND(ISNUMBER(_xlpm.d),_xlpm.d&gt;=0,_xlpm.d&lt;1),_xlpm.d,
   IF(AND(ISNUMBER(_xlpm.q),_xlpm.q&gt;0,ISNUMBER(_xlpm.u),_xlpm.u&gt;0,ISNUMBER(_xlpm.r),_xlpm.r&gt;=0),
      1-(_xlpm.r/(_xlpm.q*_xlpm.u)),
      ""
   )
)
)</f>
        <v>0.15</v>
      </c>
      <c r="J182" s="4">
        <f>_xlfn.LET(
_xlpm.q,RawData!G182,
_xlpm.u,RawData!H182,
_xlpm.d,RawData!I182,
_xlpm.r,RawData!J182,
IF(AND(ISNUMBER(_xlpm.r),_xlpm.r&gt;=0),_xlpm.r,
   IF(AND(ISNUMBER(_xlpm.q),_xlpm.q&gt;0,ISNUMBER(_xlpm.u),_xlpm.u&gt;0,ISNUMBER(_xlpm.d),_xlpm.d&gt;=0,_xlpm.d&lt;1),
      _xlpm.q*_xlpm.u*(1-_xlpm.d),
      ""
   )
)
)</f>
        <v>525.78</v>
      </c>
      <c r="K182" s="4">
        <f>_xlfn.LET(
_xlpm.c,RawData!K182,
_xlpm.r,RawData!J182,
_xlpm.p,RawData!L182,
IF(AND(ISNUMBER(_xlpm.c),_xlpm.c&gt;=0),_xlpm.c,
   IF(AND(ISNUMBER(_xlpm.r),ISNUMBER(_xlpm.p)),
      _xlpm.r-_xlpm.p,
      ""
   )
)
)</f>
        <v>380.5</v>
      </c>
      <c r="L182" s="4">
        <f>_xlfn.LET(
_xlpm.p,RawData!L182,
_xlpm.r,RawData!J182,
_xlpm.c,RawData!K182,
IF(ISNUMBER(_xlpm.p),_xlpm.p,
IF(AND(ISNUMBER(_xlpm.r),ISNUMBER(_xlpm.c)),
_xlpm.r-_xlpm.c,
""
)
))</f>
        <v>145.28</v>
      </c>
    </row>
    <row r="183" spans="1:12" x14ac:dyDescent="0.35">
      <c r="A183" t="s">
        <v>219</v>
      </c>
      <c r="B183" s="7">
        <v>45834</v>
      </c>
      <c r="C183" t="str">
        <f>IF(RawData!C183="","Unknown",PROPER(TRIM(CLEAN(SUBSTITUTE(RawData!C183,CHAR(160)," ")))))</f>
        <v>East</v>
      </c>
      <c r="D183" t="str">
        <f>IF(RawData!D183="","Unknown",PROPER(TRIM(CLEAN(SUBSTITUTE(RawData!D183,CHAR(160)," ")))))</f>
        <v>Bhubaneswar</v>
      </c>
      <c r="E183" t="str">
        <f>IF(RawData!E183="","Unknown",PROPER(TRIM(CLEAN(SUBSTITUTE(RawData!E183,CHAR(160)," ")))))</f>
        <v>Notebook</v>
      </c>
      <c r="F183" t="str">
        <f>IF(RawData!F183="","Unknown",PROPER(TRIM(CLEAN(SUBSTITUTE(RawData!F183,CHAR(160)," ")))))</f>
        <v>Office Supplies</v>
      </c>
      <c r="G183">
        <f>_xlfn.LET(
_xlpm.q,RawData!G183,
_xlpm.u,RawData!H183,
_xlpm.d,RawData!I183,
_xlpm.r,RawData!J183,
IF(AND(ISNUMBER(_xlpm.q),_xlpm.q&gt;0),_xlpm.q,
   IF(AND(ISNUMBER(_xlpm.r),ISNUMBER(_xlpm.u),_xlpm.u&gt;0,ISNUMBER(_xlpm.d),_xlpm.d&gt;=0,_xlpm.d&lt;1),
      ROUND(_xlpm.r/(_xlpm.u*(1-_xlpm.d)),0),
      ""
   )
)
)</f>
        <v>9</v>
      </c>
      <c r="H183" s="4">
        <f>_xlfn.LET(
_xlpm.q,RawData!G183,
_xlpm.u,RawData!H183,
_xlpm.d,RawData!I183,
_xlpm.r,RawData!J183,
IF(AND(ISNUMBER(_xlpm.u),_xlpm.u&gt;0),_xlpm.u,
   IF(AND(ISNUMBER(_xlpm.q),_xlpm.q&gt;0,ISNUMBER(_xlpm.r),ISNUMBER(_xlpm.d),_xlpm.d&gt;=0,_xlpm.d&lt;1),
      _xlpm.r/(_xlpm.q*(1-_xlpm.d)),
      ""
   )
)
)</f>
        <v>7.9</v>
      </c>
      <c r="I183" s="5">
        <f>_xlfn.LET(
_xlpm.q,RawData!G183,
_xlpm.u,RawData!H183,
_xlpm.d,RawData!I183,
_xlpm.r,RawData!J183,
IF(AND(ISNUMBER(_xlpm.d),_xlpm.d&gt;=0,_xlpm.d&lt;1),_xlpm.d,
   IF(AND(ISNUMBER(_xlpm.q),_xlpm.q&gt;0,ISNUMBER(_xlpm.u),_xlpm.u&gt;0,ISNUMBER(_xlpm.r),_xlpm.r&gt;=0),
      1-(_xlpm.r/(_xlpm.q*_xlpm.u)),
      ""
   )
)
)</f>
        <v>0.1</v>
      </c>
      <c r="J183" s="4">
        <f>_xlfn.LET(
_xlpm.q,RawData!G183,
_xlpm.u,RawData!H183,
_xlpm.d,RawData!I183,
_xlpm.r,RawData!J183,
IF(AND(ISNUMBER(_xlpm.r),_xlpm.r&gt;=0),_xlpm.r,
   IF(AND(ISNUMBER(_xlpm.q),_xlpm.q&gt;0,ISNUMBER(_xlpm.u),_xlpm.u&gt;0,ISNUMBER(_xlpm.d),_xlpm.d&gt;=0,_xlpm.d&lt;1),
      _xlpm.q*_xlpm.u*(1-_xlpm.d),
      ""
   )
)
)</f>
        <v>63.99</v>
      </c>
      <c r="K183" s="4">
        <f>_xlfn.LET(
_xlpm.c,RawData!K183,
_xlpm.r,RawData!J183,
_xlpm.p,RawData!L183,
IF(AND(ISNUMBER(_xlpm.c),_xlpm.c&gt;=0),_xlpm.c,
   IF(AND(ISNUMBER(_xlpm.r),ISNUMBER(_xlpm.p)),
      _xlpm.r-_xlpm.p,
      ""
   )
)
)</f>
        <v>44.62</v>
      </c>
      <c r="L183" s="4">
        <f>_xlfn.LET(
_xlpm.p,RawData!L183,
_xlpm.r,RawData!J183,
_xlpm.c,RawData!K183,
IF(ISNUMBER(_xlpm.p),_xlpm.p,
IF(AND(ISNUMBER(_xlpm.r),ISNUMBER(_xlpm.c)),
_xlpm.r-_xlpm.c,
""
)
))</f>
        <v>19.37</v>
      </c>
    </row>
    <row r="184" spans="1:12" x14ac:dyDescent="0.35">
      <c r="A184" t="s">
        <v>220</v>
      </c>
      <c r="B184" s="7">
        <v>45822</v>
      </c>
      <c r="C184" t="str">
        <f>IF(RawData!C184="","Unknown",PROPER(TRIM(CLEAN(SUBSTITUTE(RawData!C184,CHAR(160)," ")))))</f>
        <v>South</v>
      </c>
      <c r="D184" t="str">
        <f>IF(RawData!D184="","Unknown",PROPER(TRIM(CLEAN(SUBSTITUTE(RawData!D184,CHAR(160)," ")))))</f>
        <v>Chennai</v>
      </c>
      <c r="E184" t="str">
        <f>IF(RawData!E184="","Unknown",PROPER(TRIM(CLEAN(SUBSTITUTE(RawData!E184,CHAR(160)," ")))))</f>
        <v>Keyboard</v>
      </c>
      <c r="F184" t="str">
        <f>IF(RawData!F184="","Unknown",PROPER(TRIM(CLEAN(SUBSTITUTE(RawData!F184,CHAR(160)," ")))))</f>
        <v>Accessories</v>
      </c>
      <c r="G184">
        <f>_xlfn.LET(
_xlpm.q,RawData!G184,
_xlpm.u,RawData!H184,
_xlpm.d,RawData!I184,
_xlpm.r,RawData!J184,
IF(AND(ISNUMBER(_xlpm.q),_xlpm.q&gt;0),_xlpm.q,
   IF(AND(ISNUMBER(_xlpm.r),ISNUMBER(_xlpm.u),_xlpm.u&gt;0,ISNUMBER(_xlpm.d),_xlpm.d&gt;=0,_xlpm.d&lt;1),
      ROUND(_xlpm.r/(_xlpm.u*(1-_xlpm.d)),0),
      ""
   )
)
)</f>
        <v>4</v>
      </c>
      <c r="H184" s="4">
        <f>_xlfn.LET(
_xlpm.q,RawData!G184,
_xlpm.u,RawData!H184,
_xlpm.d,RawData!I184,
_xlpm.r,RawData!J184,
IF(AND(ISNUMBER(_xlpm.u),_xlpm.u&gt;0),_xlpm.u,
   IF(AND(ISNUMBER(_xlpm.q),_xlpm.q&gt;0,ISNUMBER(_xlpm.r),ISNUMBER(_xlpm.d),_xlpm.d&gt;=0,_xlpm.d&lt;1),
      _xlpm.r/(_xlpm.q*(1-_xlpm.d)),
      ""
   )
)
)</f>
        <v>39.64</v>
      </c>
      <c r="I184" s="5">
        <f>_xlfn.LET(
_xlpm.q,RawData!G184,
_xlpm.u,RawData!H184,
_xlpm.d,RawData!I184,
_xlpm.r,RawData!J184,
IF(AND(ISNUMBER(_xlpm.d),_xlpm.d&gt;=0,_xlpm.d&lt;1),_xlpm.d,
   IF(AND(ISNUMBER(_xlpm.q),_xlpm.q&gt;0,ISNUMBER(_xlpm.u),_xlpm.u&gt;0,ISNUMBER(_xlpm.r),_xlpm.r&gt;=0),
      1-(_xlpm.r/(_xlpm.q*_xlpm.u)),
      ""
   )
)
)</f>
        <v>0.15</v>
      </c>
      <c r="J184" s="4">
        <f>_xlfn.LET(
_xlpm.q,RawData!G184,
_xlpm.u,RawData!H184,
_xlpm.d,RawData!I184,
_xlpm.r,RawData!J184,
IF(AND(ISNUMBER(_xlpm.r),_xlpm.r&gt;=0),_xlpm.r,
   IF(AND(ISNUMBER(_xlpm.q),_xlpm.q&gt;0,ISNUMBER(_xlpm.u),_xlpm.u&gt;0,ISNUMBER(_xlpm.d),_xlpm.d&gt;=0,_xlpm.d&lt;1),
      _xlpm.q*_xlpm.u*(1-_xlpm.d),
      ""
   )
)
)</f>
        <v>134.78</v>
      </c>
      <c r="K184" s="4">
        <f>_xlfn.LET(
_xlpm.c,RawData!K184,
_xlpm.r,RawData!J184,
_xlpm.p,RawData!L184,
IF(AND(ISNUMBER(_xlpm.c),_xlpm.c&gt;=0),_xlpm.c,
   IF(AND(ISNUMBER(_xlpm.r),ISNUMBER(_xlpm.p)),
      _xlpm.r-_xlpm.p,
      ""
   )
)
)</f>
        <v>88.18</v>
      </c>
      <c r="L184" s="4">
        <f>_xlfn.LET(
_xlpm.p,RawData!L184,
_xlpm.r,RawData!J184,
_xlpm.c,RawData!K184,
IF(ISNUMBER(_xlpm.p),_xlpm.p,
IF(AND(ISNUMBER(_xlpm.r),ISNUMBER(_xlpm.c)),
_xlpm.r-_xlpm.c,
""
)
))</f>
        <v>46.6</v>
      </c>
    </row>
    <row r="185" spans="1:12" x14ac:dyDescent="0.35">
      <c r="A185" t="s">
        <v>221</v>
      </c>
      <c r="B185" s="7">
        <v>45777</v>
      </c>
      <c r="C185" t="str">
        <f>IF(RawData!C185="","Unknown",PROPER(TRIM(CLEAN(SUBSTITUTE(RawData!C185,CHAR(160)," ")))))</f>
        <v>West</v>
      </c>
      <c r="D185" t="str">
        <f>IF(RawData!D185="","Unknown",PROPER(TRIM(CLEAN(SUBSTITUTE(RawData!D185,CHAR(160)," ")))))</f>
        <v>Pune</v>
      </c>
      <c r="E185" t="str">
        <f>IF(RawData!E185="","Unknown",PROPER(TRIM(CLEAN(SUBSTITUTE(RawData!E185,CHAR(160)," ")))))</f>
        <v>Laptop</v>
      </c>
      <c r="F185" t="str">
        <f>IF(RawData!F185="","Unknown",PROPER(TRIM(CLEAN(SUBSTITUTE(RawData!F185,CHAR(160)," ")))))</f>
        <v>Electronics</v>
      </c>
      <c r="G185">
        <f>_xlfn.LET(
_xlpm.q,RawData!G185,
_xlpm.u,RawData!H185,
_xlpm.d,RawData!I185,
_xlpm.r,RawData!J185,
IF(AND(ISNUMBER(_xlpm.q),_xlpm.q&gt;0),_xlpm.q,
   IF(AND(ISNUMBER(_xlpm.r),ISNUMBER(_xlpm.u),_xlpm.u&gt;0,ISNUMBER(_xlpm.d),_xlpm.d&gt;=0,_xlpm.d&lt;1),
      ROUND(_xlpm.r/(_xlpm.u*(1-_xlpm.d)),0),
      ""
   )
)
)</f>
        <v>6</v>
      </c>
      <c r="H185" s="4">
        <f>_xlfn.LET(
_xlpm.q,RawData!G185,
_xlpm.u,RawData!H185,
_xlpm.d,RawData!I185,
_xlpm.r,RawData!J185,
IF(AND(ISNUMBER(_xlpm.u),_xlpm.u&gt;0),_xlpm.u,
   IF(AND(ISNUMBER(_xlpm.q),_xlpm.q&gt;0,ISNUMBER(_xlpm.r),ISNUMBER(_xlpm.d),_xlpm.d&gt;=0,_xlpm.d&lt;1),
      _xlpm.r/(_xlpm.q*(1-_xlpm.d)),
      ""
   )
)
)</f>
        <v>967.6</v>
      </c>
      <c r="I185" s="5">
        <f>_xlfn.LET(
_xlpm.q,RawData!G185,
_xlpm.u,RawData!H185,
_xlpm.d,RawData!I185,
_xlpm.r,RawData!J185,
IF(AND(ISNUMBER(_xlpm.d),_xlpm.d&gt;=0,_xlpm.d&lt;1),_xlpm.d,
   IF(AND(ISNUMBER(_xlpm.q),_xlpm.q&gt;0,ISNUMBER(_xlpm.u),_xlpm.u&gt;0,ISNUMBER(_xlpm.r),_xlpm.r&gt;=0),
      1-(_xlpm.r/(_xlpm.q*_xlpm.u)),
      ""
   )
)
)</f>
        <v>0.2</v>
      </c>
      <c r="J185" s="4">
        <f>_xlfn.LET(
_xlpm.q,RawData!G185,
_xlpm.u,RawData!H185,
_xlpm.d,RawData!I185,
_xlpm.r,RawData!J185,
IF(AND(ISNUMBER(_xlpm.r),_xlpm.r&gt;=0),_xlpm.r,
   IF(AND(ISNUMBER(_xlpm.q),_xlpm.q&gt;0,ISNUMBER(_xlpm.u),_xlpm.u&gt;0,ISNUMBER(_xlpm.d),_xlpm.d&gt;=0,_xlpm.d&lt;1),
      _xlpm.q*_xlpm.u*(1-_xlpm.d),
      ""
   )
)
)</f>
        <v>4644.4799999999996</v>
      </c>
      <c r="K185" s="4">
        <f>_xlfn.LET(
_xlpm.c,RawData!K185,
_xlpm.r,RawData!J185,
_xlpm.p,RawData!L185,
IF(AND(ISNUMBER(_xlpm.c),_xlpm.c&gt;=0),_xlpm.c,
   IF(AND(ISNUMBER(_xlpm.r),ISNUMBER(_xlpm.p)),
      _xlpm.r-_xlpm.p,
      ""
   )
)
)</f>
        <v>3689.78</v>
      </c>
      <c r="L185" s="4">
        <f>_xlfn.LET(
_xlpm.p,RawData!L185,
_xlpm.r,RawData!J185,
_xlpm.c,RawData!K185,
IF(ISNUMBER(_xlpm.p),_xlpm.p,
IF(AND(ISNUMBER(_xlpm.r),ISNUMBER(_xlpm.c)),
_xlpm.r-_xlpm.c,
""
)
))</f>
        <v>954.7</v>
      </c>
    </row>
    <row r="186" spans="1:12" x14ac:dyDescent="0.35">
      <c r="A186" t="s">
        <v>222</v>
      </c>
      <c r="B186" s="7">
        <v>46019</v>
      </c>
      <c r="C186" t="str">
        <f>IF(RawData!C186="","Unknown",PROPER(TRIM(CLEAN(SUBSTITUTE(RawData!C186,CHAR(160)," ")))))</f>
        <v>West</v>
      </c>
      <c r="D186" t="str">
        <f>IF(RawData!D186="","Unknown",PROPER(TRIM(CLEAN(SUBSTITUTE(RawData!D186,CHAR(160)," ")))))</f>
        <v>Mumbai</v>
      </c>
      <c r="E186" t="str">
        <f>IF(RawData!E186="","Unknown",PROPER(TRIM(CLEAN(SUBSTITUTE(RawData!E186,CHAR(160)," ")))))</f>
        <v>Bookshelf</v>
      </c>
      <c r="F186" t="str">
        <f>IF(RawData!F186="","Unknown",PROPER(TRIM(CLEAN(SUBSTITUTE(RawData!F186,CHAR(160)," ")))))</f>
        <v>Furniture</v>
      </c>
      <c r="G186">
        <f>_xlfn.LET(
_xlpm.q,RawData!G186,
_xlpm.u,RawData!H186,
_xlpm.d,RawData!I186,
_xlpm.r,RawData!J186,
IF(AND(ISNUMBER(_xlpm.q),_xlpm.q&gt;0),_xlpm.q,
   IF(AND(ISNUMBER(_xlpm.r),ISNUMBER(_xlpm.u),_xlpm.u&gt;0,ISNUMBER(_xlpm.d),_xlpm.d&gt;=0,_xlpm.d&lt;1),
      ROUND(_xlpm.r/(_xlpm.u*(1-_xlpm.d)),0),
      ""
   )
)
)</f>
        <v>3</v>
      </c>
      <c r="H186" s="4">
        <f>_xlfn.LET(
_xlpm.q,RawData!G186,
_xlpm.u,RawData!H186,
_xlpm.d,RawData!I186,
_xlpm.r,RawData!J186,
IF(AND(ISNUMBER(_xlpm.u),_xlpm.u&gt;0),_xlpm.u,
   IF(AND(ISNUMBER(_xlpm.q),_xlpm.q&gt;0,ISNUMBER(_xlpm.r),ISNUMBER(_xlpm.d),_xlpm.d&gt;=0,_xlpm.d&lt;1),
      _xlpm.r/(_xlpm.q*(1-_xlpm.d)),
      ""
   )
)
)</f>
        <v>127.22</v>
      </c>
      <c r="I186" s="5">
        <f>_xlfn.LET(
_xlpm.q,RawData!G186,
_xlpm.u,RawData!H186,
_xlpm.d,RawData!I186,
_xlpm.r,RawData!J186,
IF(AND(ISNUMBER(_xlpm.d),_xlpm.d&gt;=0,_xlpm.d&lt;1),_xlpm.d,
   IF(AND(ISNUMBER(_xlpm.q),_xlpm.q&gt;0,ISNUMBER(_xlpm.u),_xlpm.u&gt;0,ISNUMBER(_xlpm.r),_xlpm.r&gt;=0),
      1-(_xlpm.r/(_xlpm.q*_xlpm.u)),
      ""
   )
)
)</f>
        <v>0.1</v>
      </c>
      <c r="J186" s="4">
        <f>_xlfn.LET(
_xlpm.q,RawData!G186,
_xlpm.u,RawData!H186,
_xlpm.d,RawData!I186,
_xlpm.r,RawData!J186,
IF(AND(ISNUMBER(_xlpm.r),_xlpm.r&gt;=0),_xlpm.r,
   IF(AND(ISNUMBER(_xlpm.q),_xlpm.q&gt;0,ISNUMBER(_xlpm.u),_xlpm.u&gt;0,ISNUMBER(_xlpm.d),_xlpm.d&gt;=0,_xlpm.d&lt;1),
      _xlpm.q*_xlpm.u*(1-_xlpm.d),
      ""
   )
)
)</f>
        <v>343.49</v>
      </c>
      <c r="K186" s="4">
        <f>_xlfn.LET(
_xlpm.c,RawData!K186,
_xlpm.r,RawData!J186,
_xlpm.p,RawData!L186,
IF(AND(ISNUMBER(_xlpm.c),_xlpm.c&gt;=0),_xlpm.c,
   IF(AND(ISNUMBER(_xlpm.r),ISNUMBER(_xlpm.p)),
      _xlpm.r-_xlpm.p,
      ""
   )
)
)</f>
        <v>195.35</v>
      </c>
      <c r="L186" s="4">
        <f>_xlfn.LET(
_xlpm.p,RawData!L186,
_xlpm.r,RawData!J186,
_xlpm.c,RawData!K186,
IF(ISNUMBER(_xlpm.p),_xlpm.p,
IF(AND(ISNUMBER(_xlpm.r),ISNUMBER(_xlpm.c)),
_xlpm.r-_xlpm.c,
""
)
))</f>
        <v>148.13999999999999</v>
      </c>
    </row>
    <row r="187" spans="1:12" x14ac:dyDescent="0.35">
      <c r="A187" t="s">
        <v>223</v>
      </c>
      <c r="B187" s="7">
        <v>45722</v>
      </c>
      <c r="C187" t="str">
        <f>IF(RawData!C187="","Unknown",PROPER(TRIM(CLEAN(SUBSTITUTE(RawData!C187,CHAR(160)," ")))))</f>
        <v>East</v>
      </c>
      <c r="D187" t="str">
        <f>IF(RawData!D187="","Unknown",PROPER(TRIM(CLEAN(SUBSTITUTE(RawData!D187,CHAR(160)," ")))))</f>
        <v>Patna</v>
      </c>
      <c r="E187" t="str">
        <f>IF(RawData!E187="","Unknown",PROPER(TRIM(CLEAN(SUBSTITUTE(RawData!E187,CHAR(160)," ")))))</f>
        <v>Smartphone</v>
      </c>
      <c r="F187" t="str">
        <f>IF(RawData!F187="","Unknown",PROPER(TRIM(CLEAN(SUBSTITUTE(RawData!F187,CHAR(160)," ")))))</f>
        <v>Electronics</v>
      </c>
      <c r="G187">
        <f>_xlfn.LET(
_xlpm.q,RawData!G187,
_xlpm.u,RawData!H187,
_xlpm.d,RawData!I187,
_xlpm.r,RawData!J187,
IF(AND(ISNUMBER(_xlpm.q),_xlpm.q&gt;0),_xlpm.q,
   IF(AND(ISNUMBER(_xlpm.r),ISNUMBER(_xlpm.u),_xlpm.u&gt;0,ISNUMBER(_xlpm.d),_xlpm.d&gt;=0,_xlpm.d&lt;1),
      ROUND(_xlpm.r/(_xlpm.u*(1-_xlpm.d)),0),
      ""
   )
)
)</f>
        <v>8</v>
      </c>
      <c r="H187" s="4">
        <f>_xlfn.LET(
_xlpm.q,RawData!G187,
_xlpm.u,RawData!H187,
_xlpm.d,RawData!I187,
_xlpm.r,RawData!J187,
IF(AND(ISNUMBER(_xlpm.u),_xlpm.u&gt;0),_xlpm.u,
   IF(AND(ISNUMBER(_xlpm.q),_xlpm.q&gt;0,ISNUMBER(_xlpm.r),ISNUMBER(_xlpm.d),_xlpm.d&gt;=0,_xlpm.d&lt;1),
      _xlpm.r/(_xlpm.q*(1-_xlpm.d)),
      ""
   )
)
)</f>
        <v>484.13</v>
      </c>
      <c r="I187" s="5">
        <f>_xlfn.LET(
_xlpm.q,RawData!G187,
_xlpm.u,RawData!H187,
_xlpm.d,RawData!I187,
_xlpm.r,RawData!J187,
IF(AND(ISNUMBER(_xlpm.d),_xlpm.d&gt;=0,_xlpm.d&lt;1),_xlpm.d,
   IF(AND(ISNUMBER(_xlpm.q),_xlpm.q&gt;0,ISNUMBER(_xlpm.u),_xlpm.u&gt;0,ISNUMBER(_xlpm.r),_xlpm.r&gt;=0),
      1-(_xlpm.r/(_xlpm.q*_xlpm.u)),
      ""
   )
)
)</f>
        <v>0</v>
      </c>
      <c r="J187" s="4">
        <f>_xlfn.LET(
_xlpm.q,RawData!G187,
_xlpm.u,RawData!H187,
_xlpm.d,RawData!I187,
_xlpm.r,RawData!J187,
IF(AND(ISNUMBER(_xlpm.r),_xlpm.r&gt;=0),_xlpm.r,
   IF(AND(ISNUMBER(_xlpm.q),_xlpm.q&gt;0,ISNUMBER(_xlpm.u),_xlpm.u&gt;0,ISNUMBER(_xlpm.d),_xlpm.d&gt;=0,_xlpm.d&lt;1),
      _xlpm.q*_xlpm.u*(1-_xlpm.d),
      ""
   )
)
)</f>
        <v>3873.04</v>
      </c>
      <c r="K187" s="4">
        <f>_xlfn.LET(
_xlpm.c,RawData!K187,
_xlpm.r,RawData!J187,
_xlpm.p,RawData!L187,
IF(AND(ISNUMBER(_xlpm.c),_xlpm.c&gt;=0),_xlpm.c,
   IF(AND(ISNUMBER(_xlpm.r),ISNUMBER(_xlpm.p)),
      _xlpm.r-_xlpm.p,
      ""
   )
)
)</f>
        <v>2149.23</v>
      </c>
      <c r="L187" s="4">
        <f>_xlfn.LET(
_xlpm.p,RawData!L187,
_xlpm.r,RawData!J187,
_xlpm.c,RawData!K187,
IF(ISNUMBER(_xlpm.p),_xlpm.p,
IF(AND(ISNUMBER(_xlpm.r),ISNUMBER(_xlpm.c)),
_xlpm.r-_xlpm.c,
""
)
))</f>
        <v>1723.81</v>
      </c>
    </row>
    <row r="188" spans="1:12" x14ac:dyDescent="0.35">
      <c r="A188" t="s">
        <v>224</v>
      </c>
      <c r="B188" s="7">
        <v>45891</v>
      </c>
      <c r="C188" t="str">
        <f>IF(RawData!C188="","Unknown",PROPER(TRIM(CLEAN(SUBSTITUTE(RawData!C188,CHAR(160)," ")))))</f>
        <v>North</v>
      </c>
      <c r="D188" t="str">
        <f>IF(RawData!D188="","Unknown",PROPER(TRIM(CLEAN(SUBSTITUTE(RawData!D188,CHAR(160)," ")))))</f>
        <v>Lucknow</v>
      </c>
      <c r="E188" t="str">
        <f>IF(RawData!E188="","Unknown",PROPER(TRIM(CLEAN(SUBSTITUTE(RawData!E188,CHAR(160)," ")))))</f>
        <v>Keyboard</v>
      </c>
      <c r="F188" t="str">
        <f>IF(RawData!F188="","Unknown",PROPER(TRIM(CLEAN(SUBSTITUTE(RawData!F188,CHAR(160)," ")))))</f>
        <v>Accessories</v>
      </c>
      <c r="G188">
        <f>_xlfn.LET(
_xlpm.q,RawData!G188,
_xlpm.u,RawData!H188,
_xlpm.d,RawData!I188,
_xlpm.r,RawData!J188,
IF(AND(ISNUMBER(_xlpm.q),_xlpm.q&gt;0),_xlpm.q,
   IF(AND(ISNUMBER(_xlpm.r),ISNUMBER(_xlpm.u),_xlpm.u&gt;0,ISNUMBER(_xlpm.d),_xlpm.d&gt;=0,_xlpm.d&lt;1),
      ROUND(_xlpm.r/(_xlpm.u*(1-_xlpm.d)),0),
      ""
   )
)
)</f>
        <v>3</v>
      </c>
      <c r="H188" s="4">
        <f>_xlfn.LET(
_xlpm.q,RawData!G188,
_xlpm.u,RawData!H188,
_xlpm.d,RawData!I188,
_xlpm.r,RawData!J188,
IF(AND(ISNUMBER(_xlpm.u),_xlpm.u&gt;0),_xlpm.u,
   IF(AND(ISNUMBER(_xlpm.q),_xlpm.q&gt;0,ISNUMBER(_xlpm.r),ISNUMBER(_xlpm.d),_xlpm.d&gt;=0,_xlpm.d&lt;1),
      _xlpm.r/(_xlpm.q*(1-_xlpm.d)),
      ""
   )
)
)</f>
        <v>30.74</v>
      </c>
      <c r="I188" s="5">
        <f>_xlfn.LET(
_xlpm.q,RawData!G188,
_xlpm.u,RawData!H188,
_xlpm.d,RawData!I188,
_xlpm.r,RawData!J188,
IF(AND(ISNUMBER(_xlpm.d),_xlpm.d&gt;=0,_xlpm.d&lt;1),_xlpm.d,
   IF(AND(ISNUMBER(_xlpm.q),_xlpm.q&gt;0,ISNUMBER(_xlpm.u),_xlpm.u&gt;0,ISNUMBER(_xlpm.r),_xlpm.r&gt;=0),
      1-(_xlpm.r/(_xlpm.q*_xlpm.u)),
      ""
   )
)
)</f>
        <v>0.1</v>
      </c>
      <c r="J188" s="4">
        <f>_xlfn.LET(
_xlpm.q,RawData!G188,
_xlpm.u,RawData!H188,
_xlpm.d,RawData!I188,
_xlpm.r,RawData!J188,
IF(AND(ISNUMBER(_xlpm.r),_xlpm.r&gt;=0),_xlpm.r,
   IF(AND(ISNUMBER(_xlpm.q),_xlpm.q&gt;0,ISNUMBER(_xlpm.u),_xlpm.u&gt;0,ISNUMBER(_xlpm.d),_xlpm.d&gt;=0,_xlpm.d&lt;1),
      _xlpm.q*_xlpm.u*(1-_xlpm.d),
      ""
   )
)
)</f>
        <v>83</v>
      </c>
      <c r="K188" s="4">
        <f>_xlfn.LET(
_xlpm.c,RawData!K188,
_xlpm.r,RawData!J188,
_xlpm.p,RawData!L188,
IF(AND(ISNUMBER(_xlpm.c),_xlpm.c&gt;=0),_xlpm.c,
   IF(AND(ISNUMBER(_xlpm.r),ISNUMBER(_xlpm.p)),
      _xlpm.r-_xlpm.p,
      ""
   )
)
)</f>
        <v>60.96</v>
      </c>
      <c r="L188" s="4">
        <f>_xlfn.LET(
_xlpm.p,RawData!L188,
_xlpm.r,RawData!J188,
_xlpm.c,RawData!K188,
IF(ISNUMBER(_xlpm.p),_xlpm.p,
IF(AND(ISNUMBER(_xlpm.r),ISNUMBER(_xlpm.c)),
_xlpm.r-_xlpm.c,
""
)
))</f>
        <v>22.04</v>
      </c>
    </row>
    <row r="189" spans="1:12" x14ac:dyDescent="0.35">
      <c r="A189" t="s">
        <v>225</v>
      </c>
      <c r="B189" s="7">
        <v>45737</v>
      </c>
      <c r="C189" t="str">
        <f>IF(RawData!C189="","Unknown",PROPER(TRIM(CLEAN(SUBSTITUTE(RawData!C189,CHAR(160)," ")))))</f>
        <v>North</v>
      </c>
      <c r="D189" t="str">
        <f>IF(RawData!D189="","Unknown",PROPER(TRIM(CLEAN(SUBSTITUTE(RawData!D189,CHAR(160)," ")))))</f>
        <v>Lucknow</v>
      </c>
      <c r="E189" t="str">
        <f>IF(RawData!E189="","Unknown",PROPER(TRIM(CLEAN(SUBSTITUTE(RawData!E189,CHAR(160)," ")))))</f>
        <v>Printer</v>
      </c>
      <c r="F189" t="str">
        <f>IF(RawData!F189="","Unknown",PROPER(TRIM(CLEAN(SUBSTITUTE(RawData!F189,CHAR(160)," ")))))</f>
        <v>Office Supplies</v>
      </c>
      <c r="G189">
        <f>_xlfn.LET(
_xlpm.q,RawData!G189,
_xlpm.u,RawData!H189,
_xlpm.d,RawData!I189,
_xlpm.r,RawData!J189,
IF(AND(ISNUMBER(_xlpm.q),_xlpm.q&gt;0),_xlpm.q,
   IF(AND(ISNUMBER(_xlpm.r),ISNUMBER(_xlpm.u),_xlpm.u&gt;0,ISNUMBER(_xlpm.d),_xlpm.d&gt;=0,_xlpm.d&lt;1),
      ROUND(_xlpm.r/(_xlpm.u*(1-_xlpm.d)),0),
      ""
   )
)
)</f>
        <v>5</v>
      </c>
      <c r="H189" s="4">
        <f>_xlfn.LET(
_xlpm.q,RawData!G189,
_xlpm.u,RawData!H189,
_xlpm.d,RawData!I189,
_xlpm.r,RawData!J189,
IF(AND(ISNUMBER(_xlpm.u),_xlpm.u&gt;0),_xlpm.u,
   IF(AND(ISNUMBER(_xlpm.q),_xlpm.q&gt;0,ISNUMBER(_xlpm.r),ISNUMBER(_xlpm.d),_xlpm.d&gt;=0,_xlpm.d&lt;1),
      _xlpm.r/(_xlpm.q*(1-_xlpm.d)),
      ""
   )
)
)</f>
        <v>139.41999999999999</v>
      </c>
      <c r="I189" s="5">
        <f>_xlfn.LET(
_xlpm.q,RawData!G189,
_xlpm.u,RawData!H189,
_xlpm.d,RawData!I189,
_xlpm.r,RawData!J189,
IF(AND(ISNUMBER(_xlpm.d),_xlpm.d&gt;=0,_xlpm.d&lt;1),_xlpm.d,
   IF(AND(ISNUMBER(_xlpm.q),_xlpm.q&gt;0,ISNUMBER(_xlpm.u),_xlpm.u&gt;0,ISNUMBER(_xlpm.r),_xlpm.r&gt;=0),
      1-(_xlpm.r/(_xlpm.q*_xlpm.u)),
      ""
   )
)
)</f>
        <v>0.05</v>
      </c>
      <c r="J189" s="4">
        <f>_xlfn.LET(
_xlpm.q,RawData!G189,
_xlpm.u,RawData!H189,
_xlpm.d,RawData!I189,
_xlpm.r,RawData!J189,
IF(AND(ISNUMBER(_xlpm.r),_xlpm.r&gt;=0),_xlpm.r,
   IF(AND(ISNUMBER(_xlpm.q),_xlpm.q&gt;0,ISNUMBER(_xlpm.u),_xlpm.u&gt;0,ISNUMBER(_xlpm.d),_xlpm.d&gt;=0,_xlpm.d&lt;1),
      _xlpm.q*_xlpm.u*(1-_xlpm.d),
      ""
   )
)
)</f>
        <v>662.24</v>
      </c>
      <c r="K189" s="4">
        <f>_xlfn.LET(
_xlpm.c,RawData!K189,
_xlpm.r,RawData!J189,
_xlpm.p,RawData!L189,
IF(AND(ISNUMBER(_xlpm.c),_xlpm.c&gt;=0),_xlpm.c,
   IF(AND(ISNUMBER(_xlpm.r),ISNUMBER(_xlpm.p)),
      _xlpm.r-_xlpm.p,
      ""
   )
)
)</f>
        <v>421.27</v>
      </c>
      <c r="L189" s="4">
        <f>_xlfn.LET(
_xlpm.p,RawData!L189,
_xlpm.r,RawData!J189,
_xlpm.c,RawData!K189,
IF(ISNUMBER(_xlpm.p),_xlpm.p,
IF(AND(ISNUMBER(_xlpm.r),ISNUMBER(_xlpm.c)),
_xlpm.r-_xlpm.c,
""
)
))</f>
        <v>240.97</v>
      </c>
    </row>
    <row r="190" spans="1:12" x14ac:dyDescent="0.35">
      <c r="A190" t="s">
        <v>226</v>
      </c>
      <c r="B190" s="7">
        <v>46012</v>
      </c>
      <c r="C190" t="str">
        <f>IF(RawData!C190="","Unknown",PROPER(TRIM(CLEAN(SUBSTITUTE(RawData!C190,CHAR(160)," ")))))</f>
        <v>West</v>
      </c>
      <c r="D190" t="str">
        <f>IF(RawData!D190="","Unknown",PROPER(TRIM(CLEAN(SUBSTITUTE(RawData!D190,CHAR(160)," ")))))</f>
        <v>Ahmedabad</v>
      </c>
      <c r="E190" t="str">
        <f>IF(RawData!E190="","Unknown",PROPER(TRIM(CLEAN(SUBSTITUTE(RawData!E190,CHAR(160)," ")))))</f>
        <v>Backpack</v>
      </c>
      <c r="F190" t="str">
        <f>IF(RawData!F190="","Unknown",PROPER(TRIM(CLEAN(SUBSTITUTE(RawData!F190,CHAR(160)," ")))))</f>
        <v>Accessories</v>
      </c>
      <c r="G190">
        <f>_xlfn.LET(
_xlpm.q,RawData!G190,
_xlpm.u,RawData!H190,
_xlpm.d,RawData!I190,
_xlpm.r,RawData!J190,
IF(AND(ISNUMBER(_xlpm.q),_xlpm.q&gt;0),_xlpm.q,
   IF(AND(ISNUMBER(_xlpm.r),ISNUMBER(_xlpm.u),_xlpm.u&gt;0,ISNUMBER(_xlpm.d),_xlpm.d&gt;=0,_xlpm.d&lt;1),
      ROUND(_xlpm.r/(_xlpm.u*(1-_xlpm.d)),0),
      ""
   )
)
)</f>
        <v>2</v>
      </c>
      <c r="H190" s="4">
        <f>_xlfn.LET(
_xlpm.q,RawData!G190,
_xlpm.u,RawData!H190,
_xlpm.d,RawData!I190,
_xlpm.r,RawData!J190,
IF(AND(ISNUMBER(_xlpm.u),_xlpm.u&gt;0),_xlpm.u,
   IF(AND(ISNUMBER(_xlpm.q),_xlpm.q&gt;0,ISNUMBER(_xlpm.r),ISNUMBER(_xlpm.d),_xlpm.d&gt;=0,_xlpm.d&lt;1),
      _xlpm.r/(_xlpm.q*(1-_xlpm.d)),
      ""
   )
)
)</f>
        <v>49.66</v>
      </c>
      <c r="I190" s="5">
        <f>_xlfn.LET(
_xlpm.q,RawData!G190,
_xlpm.u,RawData!H190,
_xlpm.d,RawData!I190,
_xlpm.r,RawData!J190,
IF(AND(ISNUMBER(_xlpm.d),_xlpm.d&gt;=0,_xlpm.d&lt;1),_xlpm.d,
   IF(AND(ISNUMBER(_xlpm.q),_xlpm.q&gt;0,ISNUMBER(_xlpm.u),_xlpm.u&gt;0,ISNUMBER(_xlpm.r),_xlpm.r&gt;=0),
      1-(_xlpm.r/(_xlpm.q*_xlpm.u)),
      ""
   )
)
)</f>
        <v>0.35</v>
      </c>
      <c r="J190" s="4">
        <f>_xlfn.LET(
_xlpm.q,RawData!G190,
_xlpm.u,RawData!H190,
_xlpm.d,RawData!I190,
_xlpm.r,RawData!J190,
IF(AND(ISNUMBER(_xlpm.r),_xlpm.r&gt;=0),_xlpm.r,
   IF(AND(ISNUMBER(_xlpm.q),_xlpm.q&gt;0,ISNUMBER(_xlpm.u),_xlpm.u&gt;0,ISNUMBER(_xlpm.d),_xlpm.d&gt;=0,_xlpm.d&lt;1),
      _xlpm.q*_xlpm.u*(1-_xlpm.d),
      ""
   )
)
)</f>
        <v>94.35</v>
      </c>
      <c r="K190" s="4">
        <f>_xlfn.LET(
_xlpm.c,RawData!K190,
_xlpm.r,RawData!J190,
_xlpm.p,RawData!L190,
IF(AND(ISNUMBER(_xlpm.c),_xlpm.c&gt;=0),_xlpm.c,
   IF(AND(ISNUMBER(_xlpm.r),ISNUMBER(_xlpm.p)),
      _xlpm.r-_xlpm.p,
      ""
   )
)
)</f>
        <v>52.49</v>
      </c>
      <c r="L190" s="4">
        <f>_xlfn.LET(
_xlpm.p,RawData!L190,
_xlpm.r,RawData!J190,
_xlpm.c,RawData!K190,
IF(ISNUMBER(_xlpm.p),_xlpm.p,
IF(AND(ISNUMBER(_xlpm.r),ISNUMBER(_xlpm.c)),
_xlpm.r-_xlpm.c,
""
)
))</f>
        <v>41.86</v>
      </c>
    </row>
    <row r="191" spans="1:12" x14ac:dyDescent="0.35">
      <c r="A191" t="s">
        <v>227</v>
      </c>
      <c r="B191" s="7">
        <v>45931</v>
      </c>
      <c r="C191" t="str">
        <f>IF(RawData!C191="","Unknown",PROPER(TRIM(CLEAN(SUBSTITUTE(RawData!C191,CHAR(160)," ")))))</f>
        <v>West</v>
      </c>
      <c r="D191" t="str">
        <f>IF(RawData!D191="","Unknown",PROPER(TRIM(CLEAN(SUBSTITUTE(RawData!D191,CHAR(160)," ")))))</f>
        <v>Mumbai</v>
      </c>
      <c r="E191" t="str">
        <f>IF(RawData!E191="","Unknown",PROPER(TRIM(CLEAN(SUBSTITUTE(RawData!E191,CHAR(160)," ")))))</f>
        <v>Desk</v>
      </c>
      <c r="F191" t="str">
        <f>IF(RawData!F191="","Unknown",PROPER(TRIM(CLEAN(SUBSTITUTE(RawData!F191,CHAR(160)," ")))))</f>
        <v>Furniture</v>
      </c>
      <c r="G191">
        <f>_xlfn.LET(
_xlpm.q,RawData!G191,
_xlpm.u,RawData!H191,
_xlpm.d,RawData!I191,
_xlpm.r,RawData!J191,
IF(AND(ISNUMBER(_xlpm.q),_xlpm.q&gt;0),_xlpm.q,
   IF(AND(ISNUMBER(_xlpm.r),ISNUMBER(_xlpm.u),_xlpm.u&gt;0,ISNUMBER(_xlpm.d),_xlpm.d&gt;=0,_xlpm.d&lt;1),
      ROUND(_xlpm.r/(_xlpm.u*(1-_xlpm.d)),0),
      ""
   )
)
)</f>
        <v>8</v>
      </c>
      <c r="H191" s="4">
        <f>_xlfn.LET(
_xlpm.q,RawData!G191,
_xlpm.u,RawData!H191,
_xlpm.d,RawData!I191,
_xlpm.r,RawData!J191,
IF(AND(ISNUMBER(_xlpm.u),_xlpm.u&gt;0),_xlpm.u,
   IF(AND(ISNUMBER(_xlpm.q),_xlpm.q&gt;0,ISNUMBER(_xlpm.r),ISNUMBER(_xlpm.d),_xlpm.d&gt;=0,_xlpm.d&lt;1),
      _xlpm.r/(_xlpm.q*(1-_xlpm.d)),
      ""
   )
)
)</f>
        <v>273.58999999999997</v>
      </c>
      <c r="I191" s="5">
        <f>_xlfn.LET(
_xlpm.q,RawData!G191,
_xlpm.u,RawData!H191,
_xlpm.d,RawData!I191,
_xlpm.r,RawData!J191,
IF(AND(ISNUMBER(_xlpm.d),_xlpm.d&gt;=0,_xlpm.d&lt;1),_xlpm.d,
   IF(AND(ISNUMBER(_xlpm.q),_xlpm.q&gt;0,ISNUMBER(_xlpm.u),_xlpm.u&gt;0,ISNUMBER(_xlpm.r),_xlpm.r&gt;=0),
      1-(_xlpm.r/(_xlpm.q*_xlpm.u)),
      ""
   )
)
)</f>
        <v>0.15</v>
      </c>
      <c r="J191" s="4">
        <f>_xlfn.LET(
_xlpm.q,RawData!G191,
_xlpm.u,RawData!H191,
_xlpm.d,RawData!I191,
_xlpm.r,RawData!J191,
IF(AND(ISNUMBER(_xlpm.r),_xlpm.r&gt;=0),_xlpm.r,
   IF(AND(ISNUMBER(_xlpm.q),_xlpm.q&gt;0,ISNUMBER(_xlpm.u),_xlpm.u&gt;0,ISNUMBER(_xlpm.d),_xlpm.d&gt;=0,_xlpm.d&lt;1),
      _xlpm.q*_xlpm.u*(1-_xlpm.d),
      ""
   )
)
)</f>
        <v>1860.41</v>
      </c>
      <c r="K191" s="4">
        <f>_xlfn.LET(
_xlpm.c,RawData!K191,
_xlpm.r,RawData!J191,
_xlpm.p,RawData!L191,
IF(AND(ISNUMBER(_xlpm.c),_xlpm.c&gt;=0),_xlpm.c,
   IF(AND(ISNUMBER(_xlpm.r),ISNUMBER(_xlpm.p)),
      _xlpm.r-_xlpm.p,
      ""
   )
)
)</f>
        <v>1164.8</v>
      </c>
      <c r="L191" s="4">
        <f>_xlfn.LET(
_xlpm.p,RawData!L191,
_xlpm.r,RawData!J191,
_xlpm.c,RawData!K191,
IF(ISNUMBER(_xlpm.p),_xlpm.p,
IF(AND(ISNUMBER(_xlpm.r),ISNUMBER(_xlpm.c)),
_xlpm.r-_xlpm.c,
""
)
))</f>
        <v>695.61</v>
      </c>
    </row>
    <row r="192" spans="1:12" x14ac:dyDescent="0.35">
      <c r="A192" t="s">
        <v>228</v>
      </c>
      <c r="B192" s="7">
        <v>45974</v>
      </c>
      <c r="C192" t="str">
        <f>IF(RawData!C192="","Unknown",PROPER(TRIM(CLEAN(SUBSTITUTE(RawData!C192,CHAR(160)," ")))))</f>
        <v>North</v>
      </c>
      <c r="D192" t="str">
        <f>IF(RawData!D192="","Unknown",PROPER(TRIM(CLEAN(SUBSTITUTE(RawData!D192,CHAR(160)," ")))))</f>
        <v>Lucknow</v>
      </c>
      <c r="E192" t="str">
        <f>IF(RawData!E192="","Unknown",PROPER(TRIM(CLEAN(SUBSTITUTE(RawData!E192,CHAR(160)," ")))))</f>
        <v>Monitor</v>
      </c>
      <c r="F192" t="str">
        <f>IF(RawData!F192="","Unknown",PROPER(TRIM(CLEAN(SUBSTITUTE(RawData!F192,CHAR(160)," ")))))</f>
        <v>Electronics</v>
      </c>
      <c r="G192">
        <f>_xlfn.LET(
_xlpm.q,RawData!G192,
_xlpm.u,RawData!H192,
_xlpm.d,RawData!I192,
_xlpm.r,RawData!J192,
IF(AND(ISNUMBER(_xlpm.q),_xlpm.q&gt;0),_xlpm.q,
   IF(AND(ISNUMBER(_xlpm.r),ISNUMBER(_xlpm.u),_xlpm.u&gt;0,ISNUMBER(_xlpm.d),_xlpm.d&gt;=0,_xlpm.d&lt;1),
      ROUND(_xlpm.r/(_xlpm.u*(1-_xlpm.d)),0),
      ""
   )
)
)</f>
        <v>5</v>
      </c>
      <c r="H192" s="4">
        <f>_xlfn.LET(
_xlpm.q,RawData!G192,
_xlpm.u,RawData!H192,
_xlpm.d,RawData!I192,
_xlpm.r,RawData!J192,
IF(AND(ISNUMBER(_xlpm.u),_xlpm.u&gt;0),_xlpm.u,
   IF(AND(ISNUMBER(_xlpm.q),_xlpm.q&gt;0,ISNUMBER(_xlpm.r),ISNUMBER(_xlpm.d),_xlpm.d&gt;=0,_xlpm.d&lt;1),
      _xlpm.r/(_xlpm.q*(1-_xlpm.d)),
      ""
   )
)
)</f>
        <v>194.8</v>
      </c>
      <c r="I192" s="5">
        <f>_xlfn.LET(
_xlpm.q,RawData!G192,
_xlpm.u,RawData!H192,
_xlpm.d,RawData!I192,
_xlpm.r,RawData!J192,
IF(AND(ISNUMBER(_xlpm.d),_xlpm.d&gt;=0,_xlpm.d&lt;1),_xlpm.d,
   IF(AND(ISNUMBER(_xlpm.q),_xlpm.q&gt;0,ISNUMBER(_xlpm.u),_xlpm.u&gt;0,ISNUMBER(_xlpm.r),_xlpm.r&gt;=0),
      1-(_xlpm.r/(_xlpm.q*_xlpm.u)),
      ""
   )
)
)</f>
        <v>0.02</v>
      </c>
      <c r="J192" s="4">
        <f>_xlfn.LET(
_xlpm.q,RawData!G192,
_xlpm.u,RawData!H192,
_xlpm.d,RawData!I192,
_xlpm.r,RawData!J192,
IF(AND(ISNUMBER(_xlpm.r),_xlpm.r&gt;=0),_xlpm.r,
   IF(AND(ISNUMBER(_xlpm.q),_xlpm.q&gt;0,ISNUMBER(_xlpm.u),_xlpm.u&gt;0,ISNUMBER(_xlpm.d),_xlpm.d&gt;=0,_xlpm.d&lt;1),
      _xlpm.q*_xlpm.u*(1-_xlpm.d),
      ""
   )
)
)</f>
        <v>954.52</v>
      </c>
      <c r="K192" s="4">
        <f>_xlfn.LET(
_xlpm.c,RawData!K192,
_xlpm.r,RawData!J192,
_xlpm.p,RawData!L192,
IF(AND(ISNUMBER(_xlpm.c),_xlpm.c&gt;=0),_xlpm.c,
   IF(AND(ISNUMBER(_xlpm.r),ISNUMBER(_xlpm.p)),
      _xlpm.r-_xlpm.p,
      ""
   )
)
)</f>
        <v>704.55</v>
      </c>
      <c r="L192" s="4">
        <f>_xlfn.LET(
_xlpm.p,RawData!L192,
_xlpm.r,RawData!J192,
_xlpm.c,RawData!K192,
IF(ISNUMBER(_xlpm.p),_xlpm.p,
IF(AND(ISNUMBER(_xlpm.r),ISNUMBER(_xlpm.c)),
_xlpm.r-_xlpm.c,
""
)
))</f>
        <v>249.97</v>
      </c>
    </row>
    <row r="193" spans="1:12" x14ac:dyDescent="0.35">
      <c r="A193" t="s">
        <v>229</v>
      </c>
      <c r="B193" s="7">
        <v>45704</v>
      </c>
      <c r="C193" t="str">
        <f>IF(RawData!C193="","Unknown",PROPER(TRIM(CLEAN(SUBSTITUTE(RawData!C193,CHAR(160)," ")))))</f>
        <v>West</v>
      </c>
      <c r="D193" t="str">
        <f>IF(RawData!D193="","Unknown",PROPER(TRIM(CLEAN(SUBSTITUTE(RawData!D193,CHAR(160)," ")))))</f>
        <v>Mumbai</v>
      </c>
      <c r="E193" t="str">
        <f>IF(RawData!E193="","Unknown",PROPER(TRIM(CLEAN(SUBSTITUTE(RawData!E193,CHAR(160)," ")))))</f>
        <v>Smartphone</v>
      </c>
      <c r="F193" t="str">
        <f>IF(RawData!F193="","Unknown",PROPER(TRIM(CLEAN(SUBSTITUTE(RawData!F193,CHAR(160)," ")))))</f>
        <v>Electronics</v>
      </c>
      <c r="G193">
        <f>_xlfn.LET(
_xlpm.q,RawData!G193,
_xlpm.u,RawData!H193,
_xlpm.d,RawData!I193,
_xlpm.r,RawData!J193,
IF(AND(ISNUMBER(_xlpm.q),_xlpm.q&gt;0),_xlpm.q,
   IF(AND(ISNUMBER(_xlpm.r),ISNUMBER(_xlpm.u),_xlpm.u&gt;0,ISNUMBER(_xlpm.d),_xlpm.d&gt;=0,_xlpm.d&lt;1),
      ROUND(_xlpm.r/(_xlpm.u*(1-_xlpm.d)),0),
      ""
   )
)
)</f>
        <v>2</v>
      </c>
      <c r="H193" s="4">
        <f>_xlfn.LET(
_xlpm.q,RawData!G193,
_xlpm.u,RawData!H193,
_xlpm.d,RawData!I193,
_xlpm.r,RawData!J193,
IF(AND(ISNUMBER(_xlpm.u),_xlpm.u&gt;0),_xlpm.u,
   IF(AND(ISNUMBER(_xlpm.q),_xlpm.q&gt;0,ISNUMBER(_xlpm.r),ISNUMBER(_xlpm.d),_xlpm.d&gt;=0,_xlpm.d&lt;1),
      _xlpm.r/(_xlpm.q*(1-_xlpm.d)),
      ""
   )
)
)</f>
        <v>571.28</v>
      </c>
      <c r="I193" s="5">
        <f>_xlfn.LET(
_xlpm.q,RawData!G193,
_xlpm.u,RawData!H193,
_xlpm.d,RawData!I193,
_xlpm.r,RawData!J193,
IF(AND(ISNUMBER(_xlpm.d),_xlpm.d&gt;=0,_xlpm.d&lt;1),_xlpm.d,
   IF(AND(ISNUMBER(_xlpm.q),_xlpm.q&gt;0,ISNUMBER(_xlpm.u),_xlpm.u&gt;0,ISNUMBER(_xlpm.r),_xlpm.r&gt;=0),
      1-(_xlpm.r/(_xlpm.q*_xlpm.u)),
      ""
   )
)
)</f>
        <v>0.1</v>
      </c>
      <c r="J193" s="4">
        <f>_xlfn.LET(
_xlpm.q,RawData!G193,
_xlpm.u,RawData!H193,
_xlpm.d,RawData!I193,
_xlpm.r,RawData!J193,
IF(AND(ISNUMBER(_xlpm.r),_xlpm.r&gt;=0),_xlpm.r,
   IF(AND(ISNUMBER(_xlpm.q),_xlpm.q&gt;0,ISNUMBER(_xlpm.u),_xlpm.u&gt;0,ISNUMBER(_xlpm.d),_xlpm.d&gt;=0,_xlpm.d&lt;1),
      _xlpm.q*_xlpm.u*(1-_xlpm.d),
      ""
   )
)
)</f>
        <v>1028.3</v>
      </c>
      <c r="K193" s="4">
        <f>_xlfn.LET(
_xlpm.c,RawData!K193,
_xlpm.r,RawData!J193,
_xlpm.p,RawData!L193,
IF(AND(ISNUMBER(_xlpm.c),_xlpm.c&gt;=0),_xlpm.c,
   IF(AND(ISNUMBER(_xlpm.r),ISNUMBER(_xlpm.p)),
      _xlpm.r-_xlpm.p,
      ""
   )
)
)</f>
        <v>809.19</v>
      </c>
      <c r="L193" s="4">
        <f>_xlfn.LET(
_xlpm.p,RawData!L193,
_xlpm.r,RawData!J193,
_xlpm.c,RawData!K193,
IF(ISNUMBER(_xlpm.p),_xlpm.p,
IF(AND(ISNUMBER(_xlpm.r),ISNUMBER(_xlpm.c)),
_xlpm.r-_xlpm.c,
""
)
))</f>
        <v>219.11</v>
      </c>
    </row>
    <row r="194" spans="1:12" x14ac:dyDescent="0.35">
      <c r="A194" t="s">
        <v>230</v>
      </c>
      <c r="B194" s="7">
        <v>46013</v>
      </c>
      <c r="C194" t="str">
        <f>IF(RawData!C194="","Unknown",PROPER(TRIM(CLEAN(SUBSTITUTE(RawData!C194,CHAR(160)," ")))))</f>
        <v>East</v>
      </c>
      <c r="D194" t="str">
        <f>IF(RawData!D194="","Unknown",PROPER(TRIM(CLEAN(SUBSTITUTE(RawData!D194,CHAR(160)," ")))))</f>
        <v>Kolkata</v>
      </c>
      <c r="E194" t="str">
        <f>IF(RawData!E194="","Unknown",PROPER(TRIM(CLEAN(SUBSTITUTE(RawData!E194,CHAR(160)," ")))))</f>
        <v>Laptop</v>
      </c>
      <c r="F194" t="str">
        <f>IF(RawData!F194="","Unknown",PROPER(TRIM(CLEAN(SUBSTITUTE(RawData!F194,CHAR(160)," ")))))</f>
        <v>Electronics</v>
      </c>
      <c r="G194">
        <f>_xlfn.LET(
_xlpm.q,RawData!G194,
_xlpm.u,RawData!H194,
_xlpm.d,RawData!I194,
_xlpm.r,RawData!J194,
IF(AND(ISNUMBER(_xlpm.q),_xlpm.q&gt;0),_xlpm.q,
   IF(AND(ISNUMBER(_xlpm.r),ISNUMBER(_xlpm.u),_xlpm.u&gt;0,ISNUMBER(_xlpm.d),_xlpm.d&gt;=0,_xlpm.d&lt;1),
      ROUND(_xlpm.r/(_xlpm.u*(1-_xlpm.d)),0),
      ""
   )
)
)</f>
        <v>1</v>
      </c>
      <c r="H194" s="4">
        <f>_xlfn.LET(
_xlpm.q,RawData!G194,
_xlpm.u,RawData!H194,
_xlpm.d,RawData!I194,
_xlpm.r,RawData!J194,
IF(AND(ISNUMBER(_xlpm.u),_xlpm.u&gt;0),_xlpm.u,
   IF(AND(ISNUMBER(_xlpm.q),_xlpm.q&gt;0,ISNUMBER(_xlpm.r),ISNUMBER(_xlpm.d),_xlpm.d&gt;=0,_xlpm.d&lt;1),
      _xlpm.r/(_xlpm.q*(1-_xlpm.d)),
      ""
   )
)
)</f>
        <v>909.94</v>
      </c>
      <c r="I194" s="5">
        <f>_xlfn.LET(
_xlpm.q,RawData!G194,
_xlpm.u,RawData!H194,
_xlpm.d,RawData!I194,
_xlpm.r,RawData!J194,
IF(AND(ISNUMBER(_xlpm.d),_xlpm.d&gt;=0,_xlpm.d&lt;1),_xlpm.d,
   IF(AND(ISNUMBER(_xlpm.q),_xlpm.q&gt;0,ISNUMBER(_xlpm.u),_xlpm.u&gt;0,ISNUMBER(_xlpm.r),_xlpm.r&gt;=0),
      1-(_xlpm.r/(_xlpm.q*_xlpm.u)),
      ""
   )
)
)</f>
        <v>0.05</v>
      </c>
      <c r="J194" s="4">
        <f>_xlfn.LET(
_xlpm.q,RawData!G194,
_xlpm.u,RawData!H194,
_xlpm.d,RawData!I194,
_xlpm.r,RawData!J194,
IF(AND(ISNUMBER(_xlpm.r),_xlpm.r&gt;=0),_xlpm.r,
   IF(AND(ISNUMBER(_xlpm.q),_xlpm.q&gt;0,ISNUMBER(_xlpm.u),_xlpm.u&gt;0,ISNUMBER(_xlpm.d),_xlpm.d&gt;=0,_xlpm.d&lt;1),
      _xlpm.q*_xlpm.u*(1-_xlpm.d),
      ""
   )
)
)</f>
        <v>864.44</v>
      </c>
      <c r="K194" s="4">
        <f>_xlfn.LET(
_xlpm.c,RawData!K194,
_xlpm.r,RawData!J194,
_xlpm.p,RawData!L194,
IF(AND(ISNUMBER(_xlpm.c),_xlpm.c&gt;=0),_xlpm.c,
   IF(AND(ISNUMBER(_xlpm.r),ISNUMBER(_xlpm.p)),
      _xlpm.r-_xlpm.p,
      ""
   )
)
)</f>
        <v>662.97</v>
      </c>
      <c r="L194" s="4">
        <f>_xlfn.LET(
_xlpm.p,RawData!L194,
_xlpm.r,RawData!J194,
_xlpm.c,RawData!K194,
IF(ISNUMBER(_xlpm.p),_xlpm.p,
IF(AND(ISNUMBER(_xlpm.r),ISNUMBER(_xlpm.c)),
_xlpm.r-_xlpm.c,
""
)
))</f>
        <v>201.47</v>
      </c>
    </row>
    <row r="195" spans="1:12" x14ac:dyDescent="0.35">
      <c r="A195" t="s">
        <v>231</v>
      </c>
      <c r="B195" s="7">
        <v>45808</v>
      </c>
      <c r="C195" t="str">
        <f>IF(RawData!C195="","Unknown",PROPER(TRIM(CLEAN(SUBSTITUTE(RawData!C195,CHAR(160)," ")))))</f>
        <v>East</v>
      </c>
      <c r="D195" t="str">
        <f>IF(RawData!D195="","Unknown",PROPER(TRIM(CLEAN(SUBSTITUTE(RawData!D195,CHAR(160)," ")))))</f>
        <v>Kolkata</v>
      </c>
      <c r="E195" t="str">
        <f>IF(RawData!E195="","Unknown",PROPER(TRIM(CLEAN(SUBSTITUTE(RawData!E195,CHAR(160)," ")))))</f>
        <v>Desk</v>
      </c>
      <c r="F195" t="str">
        <f>IF(RawData!F195="","Unknown",PROPER(TRIM(CLEAN(SUBSTITUTE(RawData!F195,CHAR(160)," ")))))</f>
        <v>Furniture</v>
      </c>
      <c r="G195">
        <f>_xlfn.LET(
_xlpm.q,RawData!G195,
_xlpm.u,RawData!H195,
_xlpm.d,RawData!I195,
_xlpm.r,RawData!J195,
IF(AND(ISNUMBER(_xlpm.q),_xlpm.q&gt;0),_xlpm.q,
   IF(AND(ISNUMBER(_xlpm.r),ISNUMBER(_xlpm.u),_xlpm.u&gt;0,ISNUMBER(_xlpm.d),_xlpm.d&gt;=0,_xlpm.d&lt;1),
      ROUND(_xlpm.r/(_xlpm.u*(1-_xlpm.d)),0),
      ""
   )
)
)</f>
        <v>7</v>
      </c>
      <c r="H195" s="4">
        <f>_xlfn.LET(
_xlpm.q,RawData!G195,
_xlpm.u,RawData!H195,
_xlpm.d,RawData!I195,
_xlpm.r,RawData!J195,
IF(AND(ISNUMBER(_xlpm.u),_xlpm.u&gt;0),_xlpm.u,
   IF(AND(ISNUMBER(_xlpm.q),_xlpm.q&gt;0,ISNUMBER(_xlpm.r),ISNUMBER(_xlpm.d),_xlpm.d&gt;=0,_xlpm.d&lt;1),
      _xlpm.r/(_xlpm.q*(1-_xlpm.d)),
      ""
   )
)
)</f>
        <v>233.65</v>
      </c>
      <c r="I195" s="5">
        <f>_xlfn.LET(
_xlpm.q,RawData!G195,
_xlpm.u,RawData!H195,
_xlpm.d,RawData!I195,
_xlpm.r,RawData!J195,
IF(AND(ISNUMBER(_xlpm.d),_xlpm.d&gt;=0,_xlpm.d&lt;1),_xlpm.d,
   IF(AND(ISNUMBER(_xlpm.q),_xlpm.q&gt;0,ISNUMBER(_xlpm.u),_xlpm.u&gt;0,ISNUMBER(_xlpm.r),_xlpm.r&gt;=0),
      1-(_xlpm.r/(_xlpm.q*_xlpm.u)),
      ""
   )
)
)</f>
        <v>0.02</v>
      </c>
      <c r="J195" s="4">
        <f>_xlfn.LET(
_xlpm.q,RawData!G195,
_xlpm.u,RawData!H195,
_xlpm.d,RawData!I195,
_xlpm.r,RawData!J195,
IF(AND(ISNUMBER(_xlpm.r),_xlpm.r&gt;=0),_xlpm.r,
   IF(AND(ISNUMBER(_xlpm.q),_xlpm.q&gt;0,ISNUMBER(_xlpm.u),_xlpm.u&gt;0,ISNUMBER(_xlpm.d),_xlpm.d&gt;=0,_xlpm.d&lt;1),
      _xlpm.q*_xlpm.u*(1-_xlpm.d),
      ""
   )
)
)</f>
        <v>1602.84</v>
      </c>
      <c r="K195" s="4">
        <f>_xlfn.LET(
_xlpm.c,RawData!K195,
_xlpm.r,RawData!J195,
_xlpm.p,RawData!L195,
IF(AND(ISNUMBER(_xlpm.c),_xlpm.c&gt;=0),_xlpm.c,
   IF(AND(ISNUMBER(_xlpm.r),ISNUMBER(_xlpm.p)),
      _xlpm.r-_xlpm.p,
      ""
   )
)
)</f>
        <v>958.35</v>
      </c>
      <c r="L195" s="4">
        <f>_xlfn.LET(
_xlpm.p,RawData!L195,
_xlpm.r,RawData!J195,
_xlpm.c,RawData!K195,
IF(ISNUMBER(_xlpm.p),_xlpm.p,
IF(AND(ISNUMBER(_xlpm.r),ISNUMBER(_xlpm.c)),
_xlpm.r-_xlpm.c,
""
)
))</f>
        <v>644.49</v>
      </c>
    </row>
    <row r="196" spans="1:12" x14ac:dyDescent="0.35">
      <c r="A196" t="s">
        <v>232</v>
      </c>
      <c r="B196" s="7">
        <v>45929</v>
      </c>
      <c r="C196" t="str">
        <f>IF(RawData!C196="","Unknown",PROPER(TRIM(CLEAN(SUBSTITUTE(RawData!C196,CHAR(160)," ")))))</f>
        <v>West</v>
      </c>
      <c r="D196" t="str">
        <f>IF(RawData!D196="","Unknown",PROPER(TRIM(CLEAN(SUBSTITUTE(RawData!D196,CHAR(160)," ")))))</f>
        <v>Mumbai</v>
      </c>
      <c r="E196" t="str">
        <f>IF(RawData!E196="","Unknown",PROPER(TRIM(CLEAN(SUBSTITUTE(RawData!E196,CHAR(160)," ")))))</f>
        <v>Pen Set</v>
      </c>
      <c r="F196" t="str">
        <f>IF(RawData!F196="","Unknown",PROPER(TRIM(CLEAN(SUBSTITUTE(RawData!F196,CHAR(160)," ")))))</f>
        <v>Office Supplies</v>
      </c>
      <c r="G196">
        <f>_xlfn.LET(
_xlpm.q,RawData!G196,
_xlpm.u,RawData!H196,
_xlpm.d,RawData!I196,
_xlpm.r,RawData!J196,
IF(AND(ISNUMBER(_xlpm.q),_xlpm.q&gt;0),_xlpm.q,
   IF(AND(ISNUMBER(_xlpm.r),ISNUMBER(_xlpm.u),_xlpm.u&gt;0,ISNUMBER(_xlpm.d),_xlpm.d&gt;=0,_xlpm.d&lt;1),
      ROUND(_xlpm.r/(_xlpm.u*(1-_xlpm.d)),0),
      ""
   )
)
)</f>
        <v>3</v>
      </c>
      <c r="H196" s="4">
        <f>_xlfn.LET(
_xlpm.q,RawData!G196,
_xlpm.u,RawData!H196,
_xlpm.d,RawData!I196,
_xlpm.r,RawData!J196,
IF(AND(ISNUMBER(_xlpm.u),_xlpm.u&gt;0),_xlpm.u,
   IF(AND(ISNUMBER(_xlpm.q),_xlpm.q&gt;0,ISNUMBER(_xlpm.r),ISNUMBER(_xlpm.d),_xlpm.d&gt;=0,_xlpm.d&lt;1),
      _xlpm.r/(_xlpm.q*(1-_xlpm.d)),
      ""
   )
)
)</f>
        <v>12.9</v>
      </c>
      <c r="I196" s="5">
        <f>_xlfn.LET(
_xlpm.q,RawData!G196,
_xlpm.u,RawData!H196,
_xlpm.d,RawData!I196,
_xlpm.r,RawData!J196,
IF(AND(ISNUMBER(_xlpm.d),_xlpm.d&gt;=0,_xlpm.d&lt;1),_xlpm.d,
   IF(AND(ISNUMBER(_xlpm.q),_xlpm.q&gt;0,ISNUMBER(_xlpm.u),_xlpm.u&gt;0,ISNUMBER(_xlpm.r),_xlpm.r&gt;=0),
      1-(_xlpm.r/(_xlpm.q*_xlpm.u)),
      ""
   )
)
)</f>
        <v>0.02</v>
      </c>
      <c r="J196" s="4">
        <f>_xlfn.LET(
_xlpm.q,RawData!G196,
_xlpm.u,RawData!H196,
_xlpm.d,RawData!I196,
_xlpm.r,RawData!J196,
IF(AND(ISNUMBER(_xlpm.r),_xlpm.r&gt;=0),_xlpm.r,
   IF(AND(ISNUMBER(_xlpm.q),_xlpm.q&gt;0,ISNUMBER(_xlpm.u),_xlpm.u&gt;0,ISNUMBER(_xlpm.d),_xlpm.d&gt;=0,_xlpm.d&lt;1),
      _xlpm.q*_xlpm.u*(1-_xlpm.d),
      ""
   )
)
)</f>
        <v>37.93</v>
      </c>
      <c r="K196" s="4">
        <f>_xlfn.LET(
_xlpm.c,RawData!K196,
_xlpm.r,RawData!J196,
_xlpm.p,RawData!L196,
IF(AND(ISNUMBER(_xlpm.c),_xlpm.c&gt;=0),_xlpm.c,
   IF(AND(ISNUMBER(_xlpm.r),ISNUMBER(_xlpm.p)),
      _xlpm.r-_xlpm.p,
      ""
   )
)
)</f>
        <v>29.12</v>
      </c>
      <c r="L196" s="4">
        <f>_xlfn.LET(
_xlpm.p,RawData!L196,
_xlpm.r,RawData!J196,
_xlpm.c,RawData!K196,
IF(ISNUMBER(_xlpm.p),_xlpm.p,
IF(AND(ISNUMBER(_xlpm.r),ISNUMBER(_xlpm.c)),
_xlpm.r-_xlpm.c,
""
)
))</f>
        <v>8.81</v>
      </c>
    </row>
    <row r="197" spans="1:12" x14ac:dyDescent="0.35">
      <c r="A197" t="s">
        <v>233</v>
      </c>
      <c r="B197" s="7">
        <v>45698</v>
      </c>
      <c r="C197" t="str">
        <f>IF(RawData!C197="","Unknown",PROPER(TRIM(CLEAN(SUBSTITUTE(RawData!C197,CHAR(160)," ")))))</f>
        <v>West</v>
      </c>
      <c r="D197" t="str">
        <f>IF(RawData!D197="","Unknown",PROPER(TRIM(CLEAN(SUBSTITUTE(RawData!D197,CHAR(160)," ")))))</f>
        <v>Ahmedabad</v>
      </c>
      <c r="E197" t="str">
        <f>IF(RawData!E197="","Unknown",PROPER(TRIM(CLEAN(SUBSTITUTE(RawData!E197,CHAR(160)," ")))))</f>
        <v>Pen Set</v>
      </c>
      <c r="F197" t="str">
        <f>IF(RawData!F197="","Unknown",PROPER(TRIM(CLEAN(SUBSTITUTE(RawData!F197,CHAR(160)," ")))))</f>
        <v>Office Supplies</v>
      </c>
      <c r="G197">
        <f>_xlfn.LET(
_xlpm.q,RawData!G197,
_xlpm.u,RawData!H197,
_xlpm.d,RawData!I197,
_xlpm.r,RawData!J197,
IF(AND(ISNUMBER(_xlpm.q),_xlpm.q&gt;0),_xlpm.q,
   IF(AND(ISNUMBER(_xlpm.r),ISNUMBER(_xlpm.u),_xlpm.u&gt;0,ISNUMBER(_xlpm.d),_xlpm.d&gt;=0,_xlpm.d&lt;1),
      ROUND(_xlpm.r/(_xlpm.u*(1-_xlpm.d)),0),
      ""
   )
)
)</f>
        <v>4</v>
      </c>
      <c r="H197" s="4">
        <f>_xlfn.LET(
_xlpm.q,RawData!G197,
_xlpm.u,RawData!H197,
_xlpm.d,RawData!I197,
_xlpm.r,RawData!J197,
IF(AND(ISNUMBER(_xlpm.u),_xlpm.u&gt;0),_xlpm.u,
   IF(AND(ISNUMBER(_xlpm.q),_xlpm.q&gt;0,ISNUMBER(_xlpm.r),ISNUMBER(_xlpm.d),_xlpm.d&gt;=0,_xlpm.d&lt;1),
      _xlpm.r/(_xlpm.q*(1-_xlpm.d)),
      ""
   )
)
)</f>
        <v>13.77</v>
      </c>
      <c r="I197" s="5">
        <f>_xlfn.LET(
_xlpm.q,RawData!G197,
_xlpm.u,RawData!H197,
_xlpm.d,RawData!I197,
_xlpm.r,RawData!J197,
IF(AND(ISNUMBER(_xlpm.d),_xlpm.d&gt;=0,_xlpm.d&lt;1),_xlpm.d,
   IF(AND(ISNUMBER(_xlpm.q),_xlpm.q&gt;0,ISNUMBER(_xlpm.u),_xlpm.u&gt;0,ISNUMBER(_xlpm.r),_xlpm.r&gt;=0),
      1-(_xlpm.r/(_xlpm.q*_xlpm.u)),
      ""
   )
)
)</f>
        <v>0.1</v>
      </c>
      <c r="J197" s="4">
        <f>_xlfn.LET(
_xlpm.q,RawData!G197,
_xlpm.u,RawData!H197,
_xlpm.d,RawData!I197,
_xlpm.r,RawData!J197,
IF(AND(ISNUMBER(_xlpm.r),_xlpm.r&gt;=0),_xlpm.r,
   IF(AND(ISNUMBER(_xlpm.q),_xlpm.q&gt;0,ISNUMBER(_xlpm.u),_xlpm.u&gt;0,ISNUMBER(_xlpm.d),_xlpm.d&gt;=0,_xlpm.d&lt;1),
      _xlpm.q*_xlpm.u*(1-_xlpm.d),
      ""
   )
)
)</f>
        <v>49.57</v>
      </c>
      <c r="K197" s="4">
        <f>_xlfn.LET(
_xlpm.c,RawData!K197,
_xlpm.r,RawData!J197,
_xlpm.p,RawData!L197,
IF(AND(ISNUMBER(_xlpm.c),_xlpm.c&gt;=0),_xlpm.c,
   IF(AND(ISNUMBER(_xlpm.r),ISNUMBER(_xlpm.p)),
      _xlpm.r-_xlpm.p,
      ""
   )
)
)</f>
        <v>32.79</v>
      </c>
      <c r="L197" s="4">
        <f>_xlfn.LET(
_xlpm.p,RawData!L197,
_xlpm.r,RawData!J197,
_xlpm.c,RawData!K197,
IF(ISNUMBER(_xlpm.p),_xlpm.p,
IF(AND(ISNUMBER(_xlpm.r),ISNUMBER(_xlpm.c)),
_xlpm.r-_xlpm.c,
""
)
))</f>
        <v>16.78</v>
      </c>
    </row>
    <row r="198" spans="1:12" x14ac:dyDescent="0.35">
      <c r="A198" t="s">
        <v>234</v>
      </c>
      <c r="B198" s="7">
        <v>45731</v>
      </c>
      <c r="C198" t="str">
        <f>IF(RawData!C198="","Unknown",PROPER(TRIM(CLEAN(SUBSTITUTE(RawData!C198,CHAR(160)," ")))))</f>
        <v>South</v>
      </c>
      <c r="D198" t="str">
        <f>IF(RawData!D198="","Unknown",PROPER(TRIM(CLEAN(SUBSTITUTE(RawData!D198,CHAR(160)," ")))))</f>
        <v>Chennai</v>
      </c>
      <c r="E198" t="str">
        <f>IF(RawData!E198="","Unknown",PROPER(TRIM(CLEAN(SUBSTITUTE(RawData!E198,CHAR(160)," ")))))</f>
        <v>Printer</v>
      </c>
      <c r="F198" t="str">
        <f>IF(RawData!F198="","Unknown",PROPER(TRIM(CLEAN(SUBSTITUTE(RawData!F198,CHAR(160)," ")))))</f>
        <v>Office Supplies</v>
      </c>
      <c r="G198">
        <f>_xlfn.LET(
_xlpm.q,RawData!G198,
_xlpm.u,RawData!H198,
_xlpm.d,RawData!I198,
_xlpm.r,RawData!J198,
IF(AND(ISNUMBER(_xlpm.q),_xlpm.q&gt;0),_xlpm.q,
   IF(AND(ISNUMBER(_xlpm.r),ISNUMBER(_xlpm.u),_xlpm.u&gt;0,ISNUMBER(_xlpm.d),_xlpm.d&gt;=0,_xlpm.d&lt;1),
      ROUND(_xlpm.r/(_xlpm.u*(1-_xlpm.d)),0),
      ""
   )
)
)</f>
        <v>5</v>
      </c>
      <c r="H198" s="4">
        <f>_xlfn.LET(
_xlpm.q,RawData!G198,
_xlpm.u,RawData!H198,
_xlpm.d,RawData!I198,
_xlpm.r,RawData!J198,
IF(AND(ISNUMBER(_xlpm.u),_xlpm.u&gt;0),_xlpm.u,
   IF(AND(ISNUMBER(_xlpm.q),_xlpm.q&gt;0,ISNUMBER(_xlpm.r),ISNUMBER(_xlpm.d),_xlpm.d&gt;=0,_xlpm.d&lt;1),
      _xlpm.r/(_xlpm.q*(1-_xlpm.d)),
      ""
   )
)
)</f>
        <v>153.86000000000001</v>
      </c>
      <c r="I198" s="5">
        <f>_xlfn.LET(
_xlpm.q,RawData!G198,
_xlpm.u,RawData!H198,
_xlpm.d,RawData!I198,
_xlpm.r,RawData!J198,
IF(AND(ISNUMBER(_xlpm.d),_xlpm.d&gt;=0,_xlpm.d&lt;1),_xlpm.d,
   IF(AND(ISNUMBER(_xlpm.q),_xlpm.q&gt;0,ISNUMBER(_xlpm.u),_xlpm.u&gt;0,ISNUMBER(_xlpm.r),_xlpm.r&gt;=0),
      1-(_xlpm.r/(_xlpm.q*_xlpm.u)),
      ""
   )
)
)</f>
        <v>0.1</v>
      </c>
      <c r="J198" s="4">
        <f>_xlfn.LET(
_xlpm.q,RawData!G198,
_xlpm.u,RawData!H198,
_xlpm.d,RawData!I198,
_xlpm.r,RawData!J198,
IF(AND(ISNUMBER(_xlpm.r),_xlpm.r&gt;=0),_xlpm.r,
   IF(AND(ISNUMBER(_xlpm.q),_xlpm.q&gt;0,ISNUMBER(_xlpm.u),_xlpm.u&gt;0,ISNUMBER(_xlpm.d),_xlpm.d&gt;=0,_xlpm.d&lt;1),
      _xlpm.q*_xlpm.u*(1-_xlpm.d),
      ""
   )
)
)</f>
        <v>692.37</v>
      </c>
      <c r="K198" s="4">
        <f>_xlfn.LET(
_xlpm.c,RawData!K198,
_xlpm.r,RawData!J198,
_xlpm.p,RawData!L198,
IF(AND(ISNUMBER(_xlpm.c),_xlpm.c&gt;=0),_xlpm.c,
   IF(AND(ISNUMBER(_xlpm.r),ISNUMBER(_xlpm.p)),
      _xlpm.r-_xlpm.p,
      ""
   )
)
)</f>
        <v>525.95000000000005</v>
      </c>
      <c r="L198" s="4">
        <f>_xlfn.LET(
_xlpm.p,RawData!L198,
_xlpm.r,RawData!J198,
_xlpm.c,RawData!K198,
IF(ISNUMBER(_xlpm.p),_xlpm.p,
IF(AND(ISNUMBER(_xlpm.r),ISNUMBER(_xlpm.c)),
_xlpm.r-_xlpm.c,
""
)
))</f>
        <v>166.42</v>
      </c>
    </row>
    <row r="199" spans="1:12" x14ac:dyDescent="0.35">
      <c r="A199" t="s">
        <v>235</v>
      </c>
      <c r="B199" s="7">
        <v>45999</v>
      </c>
      <c r="C199" t="str">
        <f>IF(RawData!C199="","Unknown",PROPER(TRIM(CLEAN(SUBSTITUTE(RawData!C199,CHAR(160)," ")))))</f>
        <v>North</v>
      </c>
      <c r="D199" t="str">
        <f>IF(RawData!D199="","Unknown",PROPER(TRIM(CLEAN(SUBSTITUTE(RawData!D199,CHAR(160)," ")))))</f>
        <v>Lucknow</v>
      </c>
      <c r="E199" t="str">
        <f>IF(RawData!E199="","Unknown",PROPER(TRIM(CLEAN(SUBSTITUTE(RawData!E199,CHAR(160)," ")))))</f>
        <v>Printer</v>
      </c>
      <c r="F199" t="str">
        <f>IF(RawData!F199="","Unknown",PROPER(TRIM(CLEAN(SUBSTITUTE(RawData!F199,CHAR(160)," ")))))</f>
        <v>Office Supplies</v>
      </c>
      <c r="G199">
        <f>_xlfn.LET(
_xlpm.q,RawData!G199,
_xlpm.u,RawData!H199,
_xlpm.d,RawData!I199,
_xlpm.r,RawData!J199,
IF(AND(ISNUMBER(_xlpm.q),_xlpm.q&gt;0),_xlpm.q,
   IF(AND(ISNUMBER(_xlpm.r),ISNUMBER(_xlpm.u),_xlpm.u&gt;0,ISNUMBER(_xlpm.d),_xlpm.d&gt;=0,_xlpm.d&lt;1),
      ROUND(_xlpm.r/(_xlpm.u*(1-_xlpm.d)),0),
      ""
   )
)
)</f>
        <v>5</v>
      </c>
      <c r="H199" s="4">
        <f>_xlfn.LET(
_xlpm.q,RawData!G199,
_xlpm.u,RawData!H199,
_xlpm.d,RawData!I199,
_xlpm.r,RawData!J199,
IF(AND(ISNUMBER(_xlpm.u),_xlpm.u&gt;0),_xlpm.u,
   IF(AND(ISNUMBER(_xlpm.q),_xlpm.q&gt;0,ISNUMBER(_xlpm.r),ISNUMBER(_xlpm.d),_xlpm.d&gt;=0,_xlpm.d&lt;1),
      _xlpm.r/(_xlpm.q*(1-_xlpm.d)),
      ""
   )
)
)</f>
        <v>152.36000000000001</v>
      </c>
      <c r="I199" s="5">
        <f>_xlfn.LET(
_xlpm.q,RawData!G199,
_xlpm.u,RawData!H199,
_xlpm.d,RawData!I199,
_xlpm.r,RawData!J199,
IF(AND(ISNUMBER(_xlpm.d),_xlpm.d&gt;=0,_xlpm.d&lt;1),_xlpm.d,
   IF(AND(ISNUMBER(_xlpm.q),_xlpm.q&gt;0,ISNUMBER(_xlpm.u),_xlpm.u&gt;0,ISNUMBER(_xlpm.r),_xlpm.r&gt;=0),
      1-(_xlpm.r/(_xlpm.q*_xlpm.u)),
      ""
   )
)
)</f>
        <v>0.2</v>
      </c>
      <c r="J199" s="4">
        <f>_xlfn.LET(
_xlpm.q,RawData!G199,
_xlpm.u,RawData!H199,
_xlpm.d,RawData!I199,
_xlpm.r,RawData!J199,
IF(AND(ISNUMBER(_xlpm.r),_xlpm.r&gt;=0),_xlpm.r,
   IF(AND(ISNUMBER(_xlpm.q),_xlpm.q&gt;0,ISNUMBER(_xlpm.u),_xlpm.u&gt;0,ISNUMBER(_xlpm.d),_xlpm.d&gt;=0,_xlpm.d&lt;1),
      _xlpm.q*_xlpm.u*(1-_xlpm.d),
      ""
   )
)
)</f>
        <v>609.44000000000005</v>
      </c>
      <c r="K199" s="4">
        <f>_xlfn.LET(
_xlpm.c,RawData!K199,
_xlpm.r,RawData!J199,
_xlpm.p,RawData!L199,
IF(AND(ISNUMBER(_xlpm.c),_xlpm.c&gt;=0),_xlpm.c,
   IF(AND(ISNUMBER(_xlpm.r),ISNUMBER(_xlpm.p)),
      _xlpm.r-_xlpm.p,
      ""
   )
)
)</f>
        <v>488.35</v>
      </c>
      <c r="L199" s="4">
        <f>_xlfn.LET(
_xlpm.p,RawData!L199,
_xlpm.r,RawData!J199,
_xlpm.c,RawData!K199,
IF(ISNUMBER(_xlpm.p),_xlpm.p,
IF(AND(ISNUMBER(_xlpm.r),ISNUMBER(_xlpm.c)),
_xlpm.r-_xlpm.c,
""
)
))</f>
        <v>121.09</v>
      </c>
    </row>
    <row r="200" spans="1:12" x14ac:dyDescent="0.35">
      <c r="A200" t="s">
        <v>236</v>
      </c>
      <c r="B200" s="7">
        <v>45738</v>
      </c>
      <c r="C200" t="str">
        <f>IF(RawData!C200="","Unknown",PROPER(TRIM(CLEAN(SUBSTITUTE(RawData!C200,CHAR(160)," ")))))</f>
        <v>North</v>
      </c>
      <c r="D200" t="str">
        <f>IF(RawData!D200="","Unknown",PROPER(TRIM(CLEAN(SUBSTITUTE(RawData!D200,CHAR(160)," ")))))</f>
        <v>Jaipur</v>
      </c>
      <c r="E200" t="str">
        <f>IF(RawData!E200="","Unknown",PROPER(TRIM(CLEAN(SUBSTITUTE(RawData!E200,CHAR(160)," ")))))</f>
        <v>Printer</v>
      </c>
      <c r="F200" t="str">
        <f>IF(RawData!F200="","Unknown",PROPER(TRIM(CLEAN(SUBSTITUTE(RawData!F200,CHAR(160)," ")))))</f>
        <v>Office Supplies</v>
      </c>
      <c r="G200">
        <f>_xlfn.LET(
_xlpm.q,RawData!G200,
_xlpm.u,RawData!H200,
_xlpm.d,RawData!I200,
_xlpm.r,RawData!J200,
IF(AND(ISNUMBER(_xlpm.q),_xlpm.q&gt;0),_xlpm.q,
   IF(AND(ISNUMBER(_xlpm.r),ISNUMBER(_xlpm.u),_xlpm.u&gt;0,ISNUMBER(_xlpm.d),_xlpm.d&gt;=0,_xlpm.d&lt;1),
      ROUND(_xlpm.r/(_xlpm.u*(1-_xlpm.d)),0),
      ""
   )
)
)</f>
        <v>6</v>
      </c>
      <c r="H200" s="4">
        <f>_xlfn.LET(
_xlpm.q,RawData!G200,
_xlpm.u,RawData!H200,
_xlpm.d,RawData!I200,
_xlpm.r,RawData!J200,
IF(AND(ISNUMBER(_xlpm.u),_xlpm.u&gt;0),_xlpm.u,
   IF(AND(ISNUMBER(_xlpm.q),_xlpm.q&gt;0,ISNUMBER(_xlpm.r),ISNUMBER(_xlpm.d),_xlpm.d&gt;=0,_xlpm.d&lt;1),
      _xlpm.r/(_xlpm.q*(1-_xlpm.d)),
      ""
   )
)
)</f>
        <v>177.2</v>
      </c>
      <c r="I200" s="5">
        <f>_xlfn.LET(
_xlpm.q,RawData!G200,
_xlpm.u,RawData!H200,
_xlpm.d,RawData!I200,
_xlpm.r,RawData!J200,
IF(AND(ISNUMBER(_xlpm.d),_xlpm.d&gt;=0,_xlpm.d&lt;1),_xlpm.d,
   IF(AND(ISNUMBER(_xlpm.q),_xlpm.q&gt;0,ISNUMBER(_xlpm.u),_xlpm.u&gt;0,ISNUMBER(_xlpm.r),_xlpm.r&gt;=0),
      1-(_xlpm.r/(_xlpm.q*_xlpm.u)),
      ""
   )
)
)</f>
        <v>0.15</v>
      </c>
      <c r="J200" s="4">
        <f>_xlfn.LET(
_xlpm.q,RawData!G200,
_xlpm.u,RawData!H200,
_xlpm.d,RawData!I200,
_xlpm.r,RawData!J200,
IF(AND(ISNUMBER(_xlpm.r),_xlpm.r&gt;=0),_xlpm.r,
   IF(AND(ISNUMBER(_xlpm.q),_xlpm.q&gt;0,ISNUMBER(_xlpm.u),_xlpm.u&gt;0,ISNUMBER(_xlpm.d),_xlpm.d&gt;=0,_xlpm.d&lt;1),
      _xlpm.q*_xlpm.u*(1-_xlpm.d),
      ""
   )
)
)</f>
        <v>903.72</v>
      </c>
      <c r="K200" s="4">
        <f>_xlfn.LET(
_xlpm.c,RawData!K200,
_xlpm.r,RawData!J200,
_xlpm.p,RawData!L200,
IF(AND(ISNUMBER(_xlpm.c),_xlpm.c&gt;=0),_xlpm.c,
   IF(AND(ISNUMBER(_xlpm.r),ISNUMBER(_xlpm.p)),
      _xlpm.r-_xlpm.p,
      ""
   )
)
)</f>
        <v>601.72</v>
      </c>
      <c r="L200" s="4">
        <f>_xlfn.LET(
_xlpm.p,RawData!L200,
_xlpm.r,RawData!J200,
_xlpm.c,RawData!K200,
IF(ISNUMBER(_xlpm.p),_xlpm.p,
IF(AND(ISNUMBER(_xlpm.r),ISNUMBER(_xlpm.c)),
_xlpm.r-_xlpm.c,
""
)
))</f>
        <v>302</v>
      </c>
    </row>
    <row r="201" spans="1:12" x14ac:dyDescent="0.35">
      <c r="A201" t="s">
        <v>237</v>
      </c>
      <c r="B201" s="7">
        <v>45985</v>
      </c>
      <c r="C201" t="str">
        <f>IF(RawData!C201="","Unknown",PROPER(TRIM(CLEAN(SUBSTITUTE(RawData!C201,CHAR(160)," ")))))</f>
        <v>West</v>
      </c>
      <c r="D201" t="str">
        <f>IF(RawData!D201="","Unknown",PROPER(TRIM(CLEAN(SUBSTITUTE(RawData!D201,CHAR(160)," ")))))</f>
        <v>Pune</v>
      </c>
      <c r="E201" t="str">
        <f>IF(RawData!E201="","Unknown",PROPER(TRIM(CLEAN(SUBSTITUTE(RawData!E201,CHAR(160)," ")))))</f>
        <v>Keyboard</v>
      </c>
      <c r="F201" t="str">
        <f>IF(RawData!F201="","Unknown",PROPER(TRIM(CLEAN(SUBSTITUTE(RawData!F201,CHAR(160)," ")))))</f>
        <v>Accessories</v>
      </c>
      <c r="G201">
        <f>_xlfn.LET(
_xlpm.q,RawData!G201,
_xlpm.u,RawData!H201,
_xlpm.d,RawData!I201,
_xlpm.r,RawData!J201,
IF(AND(ISNUMBER(_xlpm.q),_xlpm.q&gt;0),_xlpm.q,
   IF(AND(ISNUMBER(_xlpm.r),ISNUMBER(_xlpm.u),_xlpm.u&gt;0,ISNUMBER(_xlpm.d),_xlpm.d&gt;=0,_xlpm.d&lt;1),
      ROUND(_xlpm.r/(_xlpm.u*(1-_xlpm.d)),0),
      ""
   )
)
)</f>
        <v>5</v>
      </c>
      <c r="H201" s="4">
        <f>_xlfn.LET(
_xlpm.q,RawData!G201,
_xlpm.u,RawData!H201,
_xlpm.d,RawData!I201,
_xlpm.r,RawData!J201,
IF(AND(ISNUMBER(_xlpm.u),_xlpm.u&gt;0),_xlpm.u,
   IF(AND(ISNUMBER(_xlpm.q),_xlpm.q&gt;0,ISNUMBER(_xlpm.r),ISNUMBER(_xlpm.d),_xlpm.d&gt;=0,_xlpm.d&lt;1),
      _xlpm.r/(_xlpm.q*(1-_xlpm.d)),
      ""
   )
)
)</f>
        <v>37.630000000000003</v>
      </c>
      <c r="I201" s="5">
        <f>_xlfn.LET(
_xlpm.q,RawData!G201,
_xlpm.u,RawData!H201,
_xlpm.d,RawData!I201,
_xlpm.r,RawData!J201,
IF(AND(ISNUMBER(_xlpm.d),_xlpm.d&gt;=0,_xlpm.d&lt;1),_xlpm.d,
   IF(AND(ISNUMBER(_xlpm.q),_xlpm.q&gt;0,ISNUMBER(_xlpm.u),_xlpm.u&gt;0,ISNUMBER(_xlpm.r),_xlpm.r&gt;=0),
      1-(_xlpm.r/(_xlpm.q*_xlpm.u)),
      ""
   )
)
)</f>
        <v>0.1</v>
      </c>
      <c r="J201" s="4">
        <f>_xlfn.LET(
_xlpm.q,RawData!G201,
_xlpm.u,RawData!H201,
_xlpm.d,RawData!I201,
_xlpm.r,RawData!J201,
IF(AND(ISNUMBER(_xlpm.r),_xlpm.r&gt;=0),_xlpm.r,
   IF(AND(ISNUMBER(_xlpm.q),_xlpm.q&gt;0,ISNUMBER(_xlpm.u),_xlpm.u&gt;0,ISNUMBER(_xlpm.d),_xlpm.d&gt;=0,_xlpm.d&lt;1),
      _xlpm.q*_xlpm.u*(1-_xlpm.d),
      ""
   )
)
)</f>
        <v>169.34</v>
      </c>
      <c r="K201" s="4">
        <f>_xlfn.LET(
_xlpm.c,RawData!K201,
_xlpm.r,RawData!J201,
_xlpm.p,RawData!L201,
IF(AND(ISNUMBER(_xlpm.c),_xlpm.c&gt;=0),_xlpm.c,
   IF(AND(ISNUMBER(_xlpm.r),ISNUMBER(_xlpm.p)),
      _xlpm.r-_xlpm.p,
      ""
   )
)
)</f>
        <v>127.64</v>
      </c>
      <c r="L201" s="4">
        <f>_xlfn.LET(
_xlpm.p,RawData!L201,
_xlpm.r,RawData!J201,
_xlpm.c,RawData!K201,
IF(ISNUMBER(_xlpm.p),_xlpm.p,
IF(AND(ISNUMBER(_xlpm.r),ISNUMBER(_xlpm.c)),
_xlpm.r-_xlpm.c,
""
)
))</f>
        <v>41.7</v>
      </c>
    </row>
    <row r="202" spans="1:12" x14ac:dyDescent="0.35">
      <c r="A202" t="s">
        <v>238</v>
      </c>
      <c r="B202" s="7">
        <v>45759</v>
      </c>
      <c r="C202" t="str">
        <f>IF(RawData!C202="","Unknown",PROPER(TRIM(CLEAN(SUBSTITUTE(RawData!C202,CHAR(160)," ")))))</f>
        <v>West</v>
      </c>
      <c r="D202" t="str">
        <f>IF(RawData!D202="","Unknown",PROPER(TRIM(CLEAN(SUBSTITUTE(RawData!D202,CHAR(160)," ")))))</f>
        <v>Pune</v>
      </c>
      <c r="E202" t="str">
        <f>IF(RawData!E202="","Unknown",PROPER(TRIM(CLEAN(SUBSTITUTE(RawData!E202,CHAR(160)," ")))))</f>
        <v>Printer</v>
      </c>
      <c r="F202" t="str">
        <f>IF(RawData!F202="","Unknown",PROPER(TRIM(CLEAN(SUBSTITUTE(RawData!F202,CHAR(160)," ")))))</f>
        <v>Office Supplies</v>
      </c>
      <c r="G202">
        <f>_xlfn.LET(
_xlpm.q,RawData!G202,
_xlpm.u,RawData!H202,
_xlpm.d,RawData!I202,
_xlpm.r,RawData!J202,
IF(AND(ISNUMBER(_xlpm.q),_xlpm.q&gt;0),_xlpm.q,
   IF(AND(ISNUMBER(_xlpm.r),ISNUMBER(_xlpm.u),_xlpm.u&gt;0,ISNUMBER(_xlpm.d),_xlpm.d&gt;=0,_xlpm.d&lt;1),
      ROUND(_xlpm.r/(_xlpm.u*(1-_xlpm.d)),0),
      ""
   )
)
)</f>
        <v>2</v>
      </c>
      <c r="H202" s="4">
        <f>_xlfn.LET(
_xlpm.q,RawData!G202,
_xlpm.u,RawData!H202,
_xlpm.d,RawData!I202,
_xlpm.r,RawData!J202,
IF(AND(ISNUMBER(_xlpm.u),_xlpm.u&gt;0),_xlpm.u,
   IF(AND(ISNUMBER(_xlpm.q),_xlpm.q&gt;0,ISNUMBER(_xlpm.r),ISNUMBER(_xlpm.d),_xlpm.d&gt;=0,_xlpm.d&lt;1),
      _xlpm.r/(_xlpm.q*(1-_xlpm.d)),
      ""
   )
)
)</f>
        <v>140.94999999999999</v>
      </c>
      <c r="I202" s="5">
        <f>_xlfn.LET(
_xlpm.q,RawData!G202,
_xlpm.u,RawData!H202,
_xlpm.d,RawData!I202,
_xlpm.r,RawData!J202,
IF(AND(ISNUMBER(_xlpm.d),_xlpm.d&gt;=0,_xlpm.d&lt;1),_xlpm.d,
   IF(AND(ISNUMBER(_xlpm.q),_xlpm.q&gt;0,ISNUMBER(_xlpm.u),_xlpm.u&gt;0,ISNUMBER(_xlpm.r),_xlpm.r&gt;=0),
      1-(_xlpm.r/(_xlpm.q*_xlpm.u)),
      ""
   )
)
)</f>
        <v>0.02</v>
      </c>
      <c r="J202" s="4">
        <f>_xlfn.LET(
_xlpm.q,RawData!G202,
_xlpm.u,RawData!H202,
_xlpm.d,RawData!I202,
_xlpm.r,RawData!J202,
IF(AND(ISNUMBER(_xlpm.r),_xlpm.r&gt;=0),_xlpm.r,
   IF(AND(ISNUMBER(_xlpm.q),_xlpm.q&gt;0,ISNUMBER(_xlpm.u),_xlpm.u&gt;0,ISNUMBER(_xlpm.d),_xlpm.d&gt;=0,_xlpm.d&lt;1),
      _xlpm.q*_xlpm.u*(1-_xlpm.d),
      ""
   )
)
)</f>
        <v>276.26</v>
      </c>
      <c r="K202" s="4">
        <f>_xlfn.LET(
_xlpm.c,RawData!K202,
_xlpm.r,RawData!J202,
_xlpm.p,RawData!L202,
IF(AND(ISNUMBER(_xlpm.c),_xlpm.c&gt;=0),_xlpm.c,
   IF(AND(ISNUMBER(_xlpm.r),ISNUMBER(_xlpm.p)),
      _xlpm.r-_xlpm.p,
      ""
   )
)
)</f>
        <v>219.26</v>
      </c>
      <c r="L202" s="4">
        <f>_xlfn.LET(
_xlpm.p,RawData!L202,
_xlpm.r,RawData!J202,
_xlpm.c,RawData!K202,
IF(ISNUMBER(_xlpm.p),_xlpm.p,
IF(AND(ISNUMBER(_xlpm.r),ISNUMBER(_xlpm.c)),
_xlpm.r-_xlpm.c,
""
)
))</f>
        <v>57</v>
      </c>
    </row>
    <row r="203" spans="1:12" x14ac:dyDescent="0.35">
      <c r="A203" t="s">
        <v>239</v>
      </c>
      <c r="B203" s="7">
        <v>45950</v>
      </c>
      <c r="C203" t="str">
        <f>IF(RawData!C203="","Unknown",PROPER(TRIM(CLEAN(SUBSTITUTE(RawData!C203,CHAR(160)," ")))))</f>
        <v>East</v>
      </c>
      <c r="D203" t="str">
        <f>IF(RawData!D203="","Unknown",PROPER(TRIM(CLEAN(SUBSTITUTE(RawData!D203,CHAR(160)," ")))))</f>
        <v>Bhubaneswar</v>
      </c>
      <c r="E203" t="str">
        <f>IF(RawData!E203="","Unknown",PROPER(TRIM(CLEAN(SUBSTITUTE(RawData!E203,CHAR(160)," ")))))</f>
        <v>Pen Set</v>
      </c>
      <c r="F203" t="str">
        <f>IF(RawData!F203="","Unknown",PROPER(TRIM(CLEAN(SUBSTITUTE(RawData!F203,CHAR(160)," ")))))</f>
        <v>Office Supplies</v>
      </c>
      <c r="G203">
        <f>_xlfn.LET(
_xlpm.q,RawData!G203,
_xlpm.u,RawData!H203,
_xlpm.d,RawData!I203,
_xlpm.r,RawData!J203,
IF(AND(ISNUMBER(_xlpm.q),_xlpm.q&gt;0),_xlpm.q,
   IF(AND(ISNUMBER(_xlpm.r),ISNUMBER(_xlpm.u),_xlpm.u&gt;0,ISNUMBER(_xlpm.d),_xlpm.d&gt;=0,_xlpm.d&lt;1),
      ROUND(_xlpm.r/(_xlpm.u*(1-_xlpm.d)),0),
      ""
   )
)
)</f>
        <v>5</v>
      </c>
      <c r="H203" s="4">
        <f>_xlfn.LET(
_xlpm.q,RawData!G203,
_xlpm.u,RawData!H203,
_xlpm.d,RawData!I203,
_xlpm.r,RawData!J203,
IF(AND(ISNUMBER(_xlpm.u),_xlpm.u&gt;0),_xlpm.u,
   IF(AND(ISNUMBER(_xlpm.q),_xlpm.q&gt;0,ISNUMBER(_xlpm.r),ISNUMBER(_xlpm.d),_xlpm.d&gt;=0,_xlpm.d&lt;1),
      _xlpm.r/(_xlpm.q*(1-_xlpm.d)),
      ""
   )
)
)</f>
        <v>12.02</v>
      </c>
      <c r="I203" s="5">
        <f>_xlfn.LET(
_xlpm.q,RawData!G203,
_xlpm.u,RawData!H203,
_xlpm.d,RawData!I203,
_xlpm.r,RawData!J203,
IF(AND(ISNUMBER(_xlpm.d),_xlpm.d&gt;=0,_xlpm.d&lt;1),_xlpm.d,
   IF(AND(ISNUMBER(_xlpm.q),_xlpm.q&gt;0,ISNUMBER(_xlpm.u),_xlpm.u&gt;0,ISNUMBER(_xlpm.r),_xlpm.r&gt;=0),
      1-(_xlpm.r/(_xlpm.q*_xlpm.u)),
      ""
   )
)
)</f>
        <v>0.2</v>
      </c>
      <c r="J203" s="4">
        <f>_xlfn.LET(
_xlpm.q,RawData!G203,
_xlpm.u,RawData!H203,
_xlpm.d,RawData!I203,
_xlpm.r,RawData!J203,
IF(AND(ISNUMBER(_xlpm.r),_xlpm.r&gt;=0),_xlpm.r,
   IF(AND(ISNUMBER(_xlpm.q),_xlpm.q&gt;0,ISNUMBER(_xlpm.u),_xlpm.u&gt;0,ISNUMBER(_xlpm.d),_xlpm.d&gt;=0,_xlpm.d&lt;1),
      _xlpm.q*_xlpm.u*(1-_xlpm.d),
      ""
   )
)
)</f>
        <v>48.08</v>
      </c>
      <c r="K203" s="4">
        <f>_xlfn.LET(
_xlpm.c,RawData!K203,
_xlpm.r,RawData!J203,
_xlpm.p,RawData!L203,
IF(AND(ISNUMBER(_xlpm.c),_xlpm.c&gt;=0),_xlpm.c,
   IF(AND(ISNUMBER(_xlpm.r),ISNUMBER(_xlpm.p)),
      _xlpm.r-_xlpm.p,
      ""
   )
)
)</f>
        <v>37.17</v>
      </c>
      <c r="L203" s="4">
        <f>_xlfn.LET(
_xlpm.p,RawData!L203,
_xlpm.r,RawData!J203,
_xlpm.c,RawData!K203,
IF(ISNUMBER(_xlpm.p),_xlpm.p,
IF(AND(ISNUMBER(_xlpm.r),ISNUMBER(_xlpm.c)),
_xlpm.r-_xlpm.c,
""
)
))</f>
        <v>10.91</v>
      </c>
    </row>
    <row r="204" spans="1:12" x14ac:dyDescent="0.35">
      <c r="A204" t="s">
        <v>240</v>
      </c>
      <c r="B204" s="7">
        <v>45669</v>
      </c>
      <c r="C204" t="str">
        <f>IF(RawData!C204="","Unknown",PROPER(TRIM(CLEAN(SUBSTITUTE(RawData!C204,CHAR(160)," ")))))</f>
        <v>West</v>
      </c>
      <c r="D204" t="str">
        <f>IF(RawData!D204="","Unknown",PROPER(TRIM(CLEAN(SUBSTITUTE(RawData!D204,CHAR(160)," ")))))</f>
        <v>Ahmedabad</v>
      </c>
      <c r="E204" t="str">
        <f>IF(RawData!E204="","Unknown",PROPER(TRIM(CLEAN(SUBSTITUTE(RawData!E204,CHAR(160)," ")))))</f>
        <v>Office Chair</v>
      </c>
      <c r="F204" t="str">
        <f>IF(RawData!F204="","Unknown",PROPER(TRIM(CLEAN(SUBSTITUTE(RawData!F204,CHAR(160)," ")))))</f>
        <v>Furniture</v>
      </c>
      <c r="G204">
        <f>_xlfn.LET(
_xlpm.q,RawData!G204,
_xlpm.u,RawData!H204,
_xlpm.d,RawData!I204,
_xlpm.r,RawData!J204,
IF(AND(ISNUMBER(_xlpm.q),_xlpm.q&gt;0),_xlpm.q,
   IF(AND(ISNUMBER(_xlpm.r),ISNUMBER(_xlpm.u),_xlpm.u&gt;0,ISNUMBER(_xlpm.d),_xlpm.d&gt;=0,_xlpm.d&lt;1),
      ROUND(_xlpm.r/(_xlpm.u*(1-_xlpm.d)),0),
      ""
   )
)
)</f>
        <v>1</v>
      </c>
      <c r="H204" s="4">
        <f>_xlfn.LET(
_xlpm.q,RawData!G204,
_xlpm.u,RawData!H204,
_xlpm.d,RawData!I204,
_xlpm.r,RawData!J204,
IF(AND(ISNUMBER(_xlpm.u),_xlpm.u&gt;0),_xlpm.u,
   IF(AND(ISNUMBER(_xlpm.q),_xlpm.q&gt;0,ISNUMBER(_xlpm.r),ISNUMBER(_xlpm.d),_xlpm.d&gt;=0,_xlpm.d&lt;1),
      _xlpm.r/(_xlpm.q*(1-_xlpm.d)),
      ""
   )
)
)</f>
        <v>170.28</v>
      </c>
      <c r="I204" s="5">
        <f>_xlfn.LET(
_xlpm.q,RawData!G204,
_xlpm.u,RawData!H204,
_xlpm.d,RawData!I204,
_xlpm.r,RawData!J204,
IF(AND(ISNUMBER(_xlpm.d),_xlpm.d&gt;=0,_xlpm.d&lt;1),_xlpm.d,
   IF(AND(ISNUMBER(_xlpm.q),_xlpm.q&gt;0,ISNUMBER(_xlpm.u),_xlpm.u&gt;0,ISNUMBER(_xlpm.r),_xlpm.r&gt;=0),
      1-(_xlpm.r/(_xlpm.q*_xlpm.u)),
      ""
   )
)
)</f>
        <v>0.15</v>
      </c>
      <c r="J204" s="4">
        <f>_xlfn.LET(
_xlpm.q,RawData!G204,
_xlpm.u,RawData!H204,
_xlpm.d,RawData!I204,
_xlpm.r,RawData!J204,
IF(AND(ISNUMBER(_xlpm.r),_xlpm.r&gt;=0),_xlpm.r,
   IF(AND(ISNUMBER(_xlpm.q),_xlpm.q&gt;0,ISNUMBER(_xlpm.u),_xlpm.u&gt;0,ISNUMBER(_xlpm.d),_xlpm.d&gt;=0,_xlpm.d&lt;1),
      _xlpm.q*_xlpm.u*(1-_xlpm.d),
      ""
   )
)
)</f>
        <v>144.74</v>
      </c>
      <c r="K204" s="4">
        <f>_xlfn.LET(
_xlpm.c,RawData!K204,
_xlpm.r,RawData!J204,
_xlpm.p,RawData!L204,
IF(AND(ISNUMBER(_xlpm.c),_xlpm.c&gt;=0),_xlpm.c,
   IF(AND(ISNUMBER(_xlpm.r),ISNUMBER(_xlpm.p)),
      _xlpm.r-_xlpm.p,
      ""
   )
)
)</f>
        <v>114.6</v>
      </c>
      <c r="L204" s="4">
        <f>_xlfn.LET(
_xlpm.p,RawData!L204,
_xlpm.r,RawData!J204,
_xlpm.c,RawData!K204,
IF(ISNUMBER(_xlpm.p),_xlpm.p,
IF(AND(ISNUMBER(_xlpm.r),ISNUMBER(_xlpm.c)),
_xlpm.r-_xlpm.c,
""
)
))</f>
        <v>30.14</v>
      </c>
    </row>
    <row r="205" spans="1:12" x14ac:dyDescent="0.35">
      <c r="A205" t="s">
        <v>241</v>
      </c>
      <c r="B205" s="7">
        <v>45683</v>
      </c>
      <c r="C205" t="str">
        <f>IF(RawData!C205="","Unknown",PROPER(TRIM(CLEAN(SUBSTITUTE(RawData!C205,CHAR(160)," ")))))</f>
        <v>West</v>
      </c>
      <c r="D205" t="str">
        <f>IF(RawData!D205="","Unknown",PROPER(TRIM(CLEAN(SUBSTITUTE(RawData!D205,CHAR(160)," ")))))</f>
        <v>Pune</v>
      </c>
      <c r="E205" t="str">
        <f>IF(RawData!E205="","Unknown",PROPER(TRIM(CLEAN(SUBSTITUTE(RawData!E205,CHAR(160)," ")))))</f>
        <v>Office Chair</v>
      </c>
      <c r="F205" t="str">
        <f>IF(RawData!F205="","Unknown",PROPER(TRIM(CLEAN(SUBSTITUTE(RawData!F205,CHAR(160)," ")))))</f>
        <v>Furniture</v>
      </c>
      <c r="G205">
        <f>_xlfn.LET(
_xlpm.q,RawData!G205,
_xlpm.u,RawData!H205,
_xlpm.d,RawData!I205,
_xlpm.r,RawData!J205,
IF(AND(ISNUMBER(_xlpm.q),_xlpm.q&gt;0),_xlpm.q,
   IF(AND(ISNUMBER(_xlpm.r),ISNUMBER(_xlpm.u),_xlpm.u&gt;0,ISNUMBER(_xlpm.d),_xlpm.d&gt;=0,_xlpm.d&lt;1),
      ROUND(_xlpm.r/(_xlpm.u*(1-_xlpm.d)),0),
      ""
   )
)
)</f>
        <v>4</v>
      </c>
      <c r="H205" s="4">
        <f>_xlfn.LET(
_xlpm.q,RawData!G205,
_xlpm.u,RawData!H205,
_xlpm.d,RawData!I205,
_xlpm.r,RawData!J205,
IF(AND(ISNUMBER(_xlpm.u),_xlpm.u&gt;0),_xlpm.u,
   IF(AND(ISNUMBER(_xlpm.q),_xlpm.q&gt;0,ISNUMBER(_xlpm.r),ISNUMBER(_xlpm.d),_xlpm.d&gt;=0,_xlpm.d&lt;1),
      _xlpm.r/(_xlpm.q*(1-_xlpm.d)),
      ""
   )
)
)</f>
        <v>174.02</v>
      </c>
      <c r="I205" s="5">
        <f>_xlfn.LET(
_xlpm.q,RawData!G205,
_xlpm.u,RawData!H205,
_xlpm.d,RawData!I205,
_xlpm.r,RawData!J205,
IF(AND(ISNUMBER(_xlpm.d),_xlpm.d&gt;=0,_xlpm.d&lt;1),_xlpm.d,
   IF(AND(ISNUMBER(_xlpm.q),_xlpm.q&gt;0,ISNUMBER(_xlpm.u),_xlpm.u&gt;0,ISNUMBER(_xlpm.r),_xlpm.r&gt;=0),
      1-(_xlpm.r/(_xlpm.q*_xlpm.u)),
      ""
   )
)
)</f>
        <v>0.15</v>
      </c>
      <c r="J205" s="4">
        <f>_xlfn.LET(
_xlpm.q,RawData!G205,
_xlpm.u,RawData!H205,
_xlpm.d,RawData!I205,
_xlpm.r,RawData!J205,
IF(AND(ISNUMBER(_xlpm.r),_xlpm.r&gt;=0),_xlpm.r,
   IF(AND(ISNUMBER(_xlpm.q),_xlpm.q&gt;0,ISNUMBER(_xlpm.u),_xlpm.u&gt;0,ISNUMBER(_xlpm.d),_xlpm.d&gt;=0,_xlpm.d&lt;1),
      _xlpm.q*_xlpm.u*(1-_xlpm.d),
      ""
   )
)
)</f>
        <v>591.66999999999996</v>
      </c>
      <c r="K205" s="4">
        <f>_xlfn.LET(
_xlpm.c,RawData!K205,
_xlpm.r,RawData!J205,
_xlpm.p,RawData!L205,
IF(AND(ISNUMBER(_xlpm.c),_xlpm.c&gt;=0),_xlpm.c,
   IF(AND(ISNUMBER(_xlpm.r),ISNUMBER(_xlpm.p)),
      _xlpm.r-_xlpm.p,
      ""
   )
)
)</f>
        <v>327.14999999999998</v>
      </c>
      <c r="L205" s="4">
        <f>_xlfn.LET(
_xlpm.p,RawData!L205,
_xlpm.r,RawData!J205,
_xlpm.c,RawData!K205,
IF(ISNUMBER(_xlpm.p),_xlpm.p,
IF(AND(ISNUMBER(_xlpm.r),ISNUMBER(_xlpm.c)),
_xlpm.r-_xlpm.c,
""
)
))</f>
        <v>264.52</v>
      </c>
    </row>
    <row r="206" spans="1:12" x14ac:dyDescent="0.35">
      <c r="A206" t="s">
        <v>242</v>
      </c>
      <c r="B206" s="7">
        <v>45770</v>
      </c>
      <c r="C206" t="str">
        <f>IF(RawData!C206="","Unknown",PROPER(TRIM(CLEAN(SUBSTITUTE(RawData!C206,CHAR(160)," ")))))</f>
        <v>South</v>
      </c>
      <c r="D206" t="str">
        <f>IF(RawData!D206="","Unknown",PROPER(TRIM(CLEAN(SUBSTITUTE(RawData!D206,CHAR(160)," ")))))</f>
        <v>Bengaluru</v>
      </c>
      <c r="E206" t="str">
        <f>IF(RawData!E206="","Unknown",PROPER(TRIM(CLEAN(SUBSTITUTE(RawData!E206,CHAR(160)," ")))))</f>
        <v>Pen Set</v>
      </c>
      <c r="F206" t="str">
        <f>IF(RawData!F206="","Unknown",PROPER(TRIM(CLEAN(SUBSTITUTE(RawData!F206,CHAR(160)," ")))))</f>
        <v>Office Supplies</v>
      </c>
      <c r="G206">
        <f>_xlfn.LET(
_xlpm.q,RawData!G206,
_xlpm.u,RawData!H206,
_xlpm.d,RawData!I206,
_xlpm.r,RawData!J206,
IF(AND(ISNUMBER(_xlpm.q),_xlpm.q&gt;0),_xlpm.q,
   IF(AND(ISNUMBER(_xlpm.r),ISNUMBER(_xlpm.u),_xlpm.u&gt;0,ISNUMBER(_xlpm.d),_xlpm.d&gt;=0,_xlpm.d&lt;1),
      ROUND(_xlpm.r/(_xlpm.u*(1-_xlpm.d)),0),
      ""
   )
)
)</f>
        <v>5</v>
      </c>
      <c r="H206" s="4">
        <f>_xlfn.LET(
_xlpm.q,RawData!G206,
_xlpm.u,RawData!H206,
_xlpm.d,RawData!I206,
_xlpm.r,RawData!J206,
IF(AND(ISNUMBER(_xlpm.u),_xlpm.u&gt;0),_xlpm.u,
   IF(AND(ISNUMBER(_xlpm.q),_xlpm.q&gt;0,ISNUMBER(_xlpm.r),ISNUMBER(_xlpm.d),_xlpm.d&gt;=0,_xlpm.d&lt;1),
      _xlpm.r/(_xlpm.q*(1-_xlpm.d)),
      ""
   )
)
)</f>
        <v>13.46</v>
      </c>
      <c r="I206" s="5">
        <f>_xlfn.LET(
_xlpm.q,RawData!G206,
_xlpm.u,RawData!H206,
_xlpm.d,RawData!I206,
_xlpm.r,RawData!J206,
IF(AND(ISNUMBER(_xlpm.d),_xlpm.d&gt;=0,_xlpm.d&lt;1),_xlpm.d,
   IF(AND(ISNUMBER(_xlpm.q),_xlpm.q&gt;0,ISNUMBER(_xlpm.u),_xlpm.u&gt;0,ISNUMBER(_xlpm.r),_xlpm.r&gt;=0),
      1-(_xlpm.r/(_xlpm.q*_xlpm.u)),
      ""
   )
)
)</f>
        <v>0.2</v>
      </c>
      <c r="J206" s="4">
        <f>_xlfn.LET(
_xlpm.q,RawData!G206,
_xlpm.u,RawData!H206,
_xlpm.d,RawData!I206,
_xlpm.r,RawData!J206,
IF(AND(ISNUMBER(_xlpm.r),_xlpm.r&gt;=0),_xlpm.r,
   IF(AND(ISNUMBER(_xlpm.q),_xlpm.q&gt;0,ISNUMBER(_xlpm.u),_xlpm.u&gt;0,ISNUMBER(_xlpm.d),_xlpm.d&gt;=0,_xlpm.d&lt;1),
      _xlpm.q*_xlpm.u*(1-_xlpm.d),
      ""
   )
)
)</f>
        <v>53.84</v>
      </c>
      <c r="K206" s="4">
        <f>_xlfn.LET(
_xlpm.c,RawData!K206,
_xlpm.r,RawData!J206,
_xlpm.p,RawData!L206,
IF(AND(ISNUMBER(_xlpm.c),_xlpm.c&gt;=0),_xlpm.c,
   IF(AND(ISNUMBER(_xlpm.r),ISNUMBER(_xlpm.p)),
      _xlpm.r-_xlpm.p,
      ""
   )
)
)</f>
        <v>30.94</v>
      </c>
      <c r="L206" s="4">
        <f>_xlfn.LET(
_xlpm.p,RawData!L206,
_xlpm.r,RawData!J206,
_xlpm.c,RawData!K206,
IF(ISNUMBER(_xlpm.p),_xlpm.p,
IF(AND(ISNUMBER(_xlpm.r),ISNUMBER(_xlpm.c)),
_xlpm.r-_xlpm.c,
""
)
))</f>
        <v>22.9</v>
      </c>
    </row>
    <row r="207" spans="1:12" x14ac:dyDescent="0.35">
      <c r="A207" t="s">
        <v>243</v>
      </c>
      <c r="B207" s="7">
        <v>45995</v>
      </c>
      <c r="C207" t="str">
        <f>IF(RawData!C207="","Unknown",PROPER(TRIM(CLEAN(SUBSTITUTE(RawData!C207,CHAR(160)," ")))))</f>
        <v>South</v>
      </c>
      <c r="D207" t="str">
        <f>IF(RawData!D207="","Unknown",PROPER(TRIM(CLEAN(SUBSTITUTE(RawData!D207,CHAR(160)," ")))))</f>
        <v>Bengaluru</v>
      </c>
      <c r="E207" t="str">
        <f>IF(RawData!E207="","Unknown",PROPER(TRIM(CLEAN(SUBSTITUTE(RawData!E207,CHAR(160)," ")))))</f>
        <v>Backpack</v>
      </c>
      <c r="F207" t="str">
        <f>IF(RawData!F207="","Unknown",PROPER(TRIM(CLEAN(SUBSTITUTE(RawData!F207,CHAR(160)," ")))))</f>
        <v>Accessories</v>
      </c>
      <c r="G207">
        <f>_xlfn.LET(
_xlpm.q,RawData!G207,
_xlpm.u,RawData!H207,
_xlpm.d,RawData!I207,
_xlpm.r,RawData!J207,
IF(AND(ISNUMBER(_xlpm.q),_xlpm.q&gt;0),_xlpm.q,
   IF(AND(ISNUMBER(_xlpm.r),ISNUMBER(_xlpm.u),_xlpm.u&gt;0,ISNUMBER(_xlpm.d),_xlpm.d&gt;=0,_xlpm.d&lt;1),
      ROUND(_xlpm.r/(_xlpm.u*(1-_xlpm.d)),0),
      ""
   )
)
)</f>
        <v>2</v>
      </c>
      <c r="H207" s="4">
        <f>_xlfn.LET(
_xlpm.q,RawData!G207,
_xlpm.u,RawData!H207,
_xlpm.d,RawData!I207,
_xlpm.r,RawData!J207,
IF(AND(ISNUMBER(_xlpm.u),_xlpm.u&gt;0),_xlpm.u,
   IF(AND(ISNUMBER(_xlpm.q),_xlpm.q&gt;0,ISNUMBER(_xlpm.r),ISNUMBER(_xlpm.d),_xlpm.d&gt;=0,_xlpm.d&lt;1),
      _xlpm.r/(_xlpm.q*(1-_xlpm.d)),
      ""
   )
)
)</f>
        <v>42.56</v>
      </c>
      <c r="I207" s="5">
        <f>_xlfn.LET(
_xlpm.q,RawData!G207,
_xlpm.u,RawData!H207,
_xlpm.d,RawData!I207,
_xlpm.r,RawData!J207,
IF(AND(ISNUMBER(_xlpm.d),_xlpm.d&gt;=0,_xlpm.d&lt;1),_xlpm.d,
   IF(AND(ISNUMBER(_xlpm.q),_xlpm.q&gt;0,ISNUMBER(_xlpm.u),_xlpm.u&gt;0,ISNUMBER(_xlpm.r),_xlpm.r&gt;=0),
      1-(_xlpm.r/(_xlpm.q*_xlpm.u)),
      ""
   )
)
)</f>
        <v>0.2</v>
      </c>
      <c r="J207" s="4">
        <f>_xlfn.LET(
_xlpm.q,RawData!G207,
_xlpm.u,RawData!H207,
_xlpm.d,RawData!I207,
_xlpm.r,RawData!J207,
IF(AND(ISNUMBER(_xlpm.r),_xlpm.r&gt;=0),_xlpm.r,
   IF(AND(ISNUMBER(_xlpm.q),_xlpm.q&gt;0,ISNUMBER(_xlpm.u),_xlpm.u&gt;0,ISNUMBER(_xlpm.d),_xlpm.d&gt;=0,_xlpm.d&lt;1),
      _xlpm.q*_xlpm.u*(1-_xlpm.d),
      ""
   )
)
)</f>
        <v>68.099999999999994</v>
      </c>
      <c r="K207" s="4">
        <f>_xlfn.LET(
_xlpm.c,RawData!K207,
_xlpm.r,RawData!J207,
_xlpm.p,RawData!L207,
IF(AND(ISNUMBER(_xlpm.c),_xlpm.c&gt;=0),_xlpm.c,
   IF(AND(ISNUMBER(_xlpm.r),ISNUMBER(_xlpm.p)),
      _xlpm.r-_xlpm.p,
      ""
   )
)
)</f>
        <v>54.92</v>
      </c>
      <c r="L207" s="4">
        <f>_xlfn.LET(
_xlpm.p,RawData!L207,
_xlpm.r,RawData!J207,
_xlpm.c,RawData!K207,
IF(ISNUMBER(_xlpm.p),_xlpm.p,
IF(AND(ISNUMBER(_xlpm.r),ISNUMBER(_xlpm.c)),
_xlpm.r-_xlpm.c,
""
)
))</f>
        <v>13.18</v>
      </c>
    </row>
    <row r="208" spans="1:12" x14ac:dyDescent="0.35">
      <c r="A208" t="s">
        <v>244</v>
      </c>
      <c r="B208" s="7">
        <v>45678</v>
      </c>
      <c r="C208" t="str">
        <f>IF(RawData!C208="","Unknown",PROPER(TRIM(CLEAN(SUBSTITUTE(RawData!C208,CHAR(160)," ")))))</f>
        <v>East</v>
      </c>
      <c r="D208" t="str">
        <f>IF(RawData!D208="","Unknown",PROPER(TRIM(CLEAN(SUBSTITUTE(RawData!D208,CHAR(160)," ")))))</f>
        <v>Bhubaneswar</v>
      </c>
      <c r="E208" t="str">
        <f>IF(RawData!E208="","Unknown",PROPER(TRIM(CLEAN(SUBSTITUTE(RawData!E208,CHAR(160)," ")))))</f>
        <v>Printer</v>
      </c>
      <c r="F208" t="str">
        <f>IF(RawData!F208="","Unknown",PROPER(TRIM(CLEAN(SUBSTITUTE(RawData!F208,CHAR(160)," ")))))</f>
        <v>Office Supplies</v>
      </c>
      <c r="G208">
        <f>_xlfn.LET(
_xlpm.q,RawData!G208,
_xlpm.u,RawData!H208,
_xlpm.d,RawData!I208,
_xlpm.r,RawData!J208,
IF(AND(ISNUMBER(_xlpm.q),_xlpm.q&gt;0),_xlpm.q,
   IF(AND(ISNUMBER(_xlpm.r),ISNUMBER(_xlpm.u),_xlpm.u&gt;0,ISNUMBER(_xlpm.d),_xlpm.d&gt;=0,_xlpm.d&lt;1),
      ROUND(_xlpm.r/(_xlpm.u*(1-_xlpm.d)),0),
      ""
   )
)
)</f>
        <v>1</v>
      </c>
      <c r="H208" s="4">
        <f>_xlfn.LET(
_xlpm.q,RawData!G208,
_xlpm.u,RawData!H208,
_xlpm.d,RawData!I208,
_xlpm.r,RawData!J208,
IF(AND(ISNUMBER(_xlpm.u),_xlpm.u&gt;0),_xlpm.u,
   IF(AND(ISNUMBER(_xlpm.q),_xlpm.q&gt;0,ISNUMBER(_xlpm.r),ISNUMBER(_xlpm.d),_xlpm.d&gt;=0,_xlpm.d&lt;1),
      _xlpm.r/(_xlpm.q*(1-_xlpm.d)),
      ""
   )
)
)</f>
        <v>181.63</v>
      </c>
      <c r="I208" s="5">
        <f>_xlfn.LET(
_xlpm.q,RawData!G208,
_xlpm.u,RawData!H208,
_xlpm.d,RawData!I208,
_xlpm.r,RawData!J208,
IF(AND(ISNUMBER(_xlpm.d),_xlpm.d&gt;=0,_xlpm.d&lt;1),_xlpm.d,
   IF(AND(ISNUMBER(_xlpm.q),_xlpm.q&gt;0,ISNUMBER(_xlpm.u),_xlpm.u&gt;0,ISNUMBER(_xlpm.r),_xlpm.r&gt;=0),
      1-(_xlpm.r/(_xlpm.q*_xlpm.u)),
      ""
   )
)
)</f>
        <v>0.15</v>
      </c>
      <c r="J208" s="4">
        <f>_xlfn.LET(
_xlpm.q,RawData!G208,
_xlpm.u,RawData!H208,
_xlpm.d,RawData!I208,
_xlpm.r,RawData!J208,
IF(AND(ISNUMBER(_xlpm.r),_xlpm.r&gt;=0),_xlpm.r,
   IF(AND(ISNUMBER(_xlpm.q),_xlpm.q&gt;0,ISNUMBER(_xlpm.u),_xlpm.u&gt;0,ISNUMBER(_xlpm.d),_xlpm.d&gt;=0,_xlpm.d&lt;1),
      _xlpm.q*_xlpm.u*(1-_xlpm.d),
      ""
   )
)
)</f>
        <v>154.38999999999999</v>
      </c>
      <c r="K208" s="4">
        <f>_xlfn.LET(
_xlpm.c,RawData!K208,
_xlpm.r,RawData!J208,
_xlpm.p,RawData!L208,
IF(AND(ISNUMBER(_xlpm.c),_xlpm.c&gt;=0),_xlpm.c,
   IF(AND(ISNUMBER(_xlpm.r),ISNUMBER(_xlpm.p)),
      _xlpm.r-_xlpm.p,
      ""
   )
)
)</f>
        <v>108.82</v>
      </c>
      <c r="L208" s="4">
        <f>_xlfn.LET(
_xlpm.p,RawData!L208,
_xlpm.r,RawData!J208,
_xlpm.c,RawData!K208,
IF(ISNUMBER(_xlpm.p),_xlpm.p,
IF(AND(ISNUMBER(_xlpm.r),ISNUMBER(_xlpm.c)),
_xlpm.r-_xlpm.c,
""
)
))</f>
        <v>45.57</v>
      </c>
    </row>
    <row r="209" spans="1:12" x14ac:dyDescent="0.35">
      <c r="A209" t="s">
        <v>245</v>
      </c>
      <c r="B209" s="7">
        <v>45725</v>
      </c>
      <c r="C209" t="str">
        <f>IF(RawData!C209="","Unknown",PROPER(TRIM(CLEAN(SUBSTITUTE(RawData!C209,CHAR(160)," ")))))</f>
        <v>North</v>
      </c>
      <c r="D209" t="str">
        <f>IF(RawData!D209="","Unknown",PROPER(TRIM(CLEAN(SUBSTITUTE(RawData!D209,CHAR(160)," ")))))</f>
        <v>Jaipur</v>
      </c>
      <c r="E209" t="str">
        <f>IF(RawData!E209="","Unknown",PROPER(TRIM(CLEAN(SUBSTITUTE(RawData!E209,CHAR(160)," ")))))</f>
        <v>Office Chair</v>
      </c>
      <c r="F209" t="str">
        <f>IF(RawData!F209="","Unknown",PROPER(TRIM(CLEAN(SUBSTITUTE(RawData!F209,CHAR(160)," ")))))</f>
        <v>Furniture</v>
      </c>
      <c r="G209">
        <f>_xlfn.LET(
_xlpm.q,RawData!G209,
_xlpm.u,RawData!H209,
_xlpm.d,RawData!I209,
_xlpm.r,RawData!J209,
IF(AND(ISNUMBER(_xlpm.q),_xlpm.q&gt;0),_xlpm.q,
   IF(AND(ISNUMBER(_xlpm.r),ISNUMBER(_xlpm.u),_xlpm.u&gt;0,ISNUMBER(_xlpm.d),_xlpm.d&gt;=0,_xlpm.d&lt;1),
      ROUND(_xlpm.r/(_xlpm.u*(1-_xlpm.d)),0),
      ""
   )
)
)</f>
        <v>6</v>
      </c>
      <c r="H209" s="4">
        <f>_xlfn.LET(
_xlpm.q,RawData!G209,
_xlpm.u,RawData!H209,
_xlpm.d,RawData!I209,
_xlpm.r,RawData!J209,
IF(AND(ISNUMBER(_xlpm.u),_xlpm.u&gt;0),_xlpm.u,
   IF(AND(ISNUMBER(_xlpm.q),_xlpm.q&gt;0,ISNUMBER(_xlpm.r),ISNUMBER(_xlpm.d),_xlpm.d&gt;=0,_xlpm.d&lt;1),
      _xlpm.r/(_xlpm.q*(1-_xlpm.d)),
      ""
   )
)
)</f>
        <v>187.12</v>
      </c>
      <c r="I209" s="5">
        <f>_xlfn.LET(
_xlpm.q,RawData!G209,
_xlpm.u,RawData!H209,
_xlpm.d,RawData!I209,
_xlpm.r,RawData!J209,
IF(AND(ISNUMBER(_xlpm.d),_xlpm.d&gt;=0,_xlpm.d&lt;1),_xlpm.d,
   IF(AND(ISNUMBER(_xlpm.q),_xlpm.q&gt;0,ISNUMBER(_xlpm.u),_xlpm.u&gt;0,ISNUMBER(_xlpm.r),_xlpm.r&gt;=0),
      1-(_xlpm.r/(_xlpm.q*_xlpm.u)),
      ""
   )
)
)</f>
        <v>0.2</v>
      </c>
      <c r="J209" s="4">
        <f>_xlfn.LET(
_xlpm.q,RawData!G209,
_xlpm.u,RawData!H209,
_xlpm.d,RawData!I209,
_xlpm.r,RawData!J209,
IF(AND(ISNUMBER(_xlpm.r),_xlpm.r&gt;=0),_xlpm.r,
   IF(AND(ISNUMBER(_xlpm.q),_xlpm.q&gt;0,ISNUMBER(_xlpm.u),_xlpm.u&gt;0,ISNUMBER(_xlpm.d),_xlpm.d&gt;=0,_xlpm.d&lt;1),
      _xlpm.q*_xlpm.u*(1-_xlpm.d),
      ""
   )
)
)</f>
        <v>898.18</v>
      </c>
      <c r="K209" s="4">
        <f>_xlfn.LET(
_xlpm.c,RawData!K209,
_xlpm.r,RawData!J209,
_xlpm.p,RawData!L209,
IF(AND(ISNUMBER(_xlpm.c),_xlpm.c&gt;=0),_xlpm.c,
   IF(AND(ISNUMBER(_xlpm.r),ISNUMBER(_xlpm.p)),
      _xlpm.r-_xlpm.p,
      ""
   )
)
)</f>
        <v>602.75</v>
      </c>
      <c r="L209" s="4">
        <f>_xlfn.LET(
_xlpm.p,RawData!L209,
_xlpm.r,RawData!J209,
_xlpm.c,RawData!K209,
IF(ISNUMBER(_xlpm.p),_xlpm.p,
IF(AND(ISNUMBER(_xlpm.r),ISNUMBER(_xlpm.c)),
_xlpm.r-_xlpm.c,
""
)
))</f>
        <v>295.43</v>
      </c>
    </row>
    <row r="210" spans="1:12" x14ac:dyDescent="0.35">
      <c r="A210" t="s">
        <v>246</v>
      </c>
      <c r="B210" s="7">
        <v>45747</v>
      </c>
      <c r="C210" t="str">
        <f>IF(RawData!C210="","Unknown",PROPER(TRIM(CLEAN(SUBSTITUTE(RawData!C210,CHAR(160)," ")))))</f>
        <v>South</v>
      </c>
      <c r="D210" t="str">
        <f>IF(RawData!D210="","Unknown",PROPER(TRIM(CLEAN(SUBSTITUTE(RawData!D210,CHAR(160)," ")))))</f>
        <v>Bengaluru</v>
      </c>
      <c r="E210" t="str">
        <f>IF(RawData!E210="","Unknown",PROPER(TRIM(CLEAN(SUBSTITUTE(RawData!E210,CHAR(160)," ")))))</f>
        <v>Headphones</v>
      </c>
      <c r="F210" t="str">
        <f>IF(RawData!F210="","Unknown",PROPER(TRIM(CLEAN(SUBSTITUTE(RawData!F210,CHAR(160)," ")))))</f>
        <v>Electronics</v>
      </c>
      <c r="G210">
        <f>_xlfn.LET(
_xlpm.q,RawData!G210,
_xlpm.u,RawData!H210,
_xlpm.d,RawData!I210,
_xlpm.r,RawData!J210,
IF(AND(ISNUMBER(_xlpm.q),_xlpm.q&gt;0),_xlpm.q,
   IF(AND(ISNUMBER(_xlpm.r),ISNUMBER(_xlpm.u),_xlpm.u&gt;0,ISNUMBER(_xlpm.d),_xlpm.d&gt;=0,_xlpm.d&lt;1),
      ROUND(_xlpm.r/(_xlpm.u*(1-_xlpm.d)),0),
      ""
   )
)
)</f>
        <v>9</v>
      </c>
      <c r="H210" s="4">
        <f>_xlfn.LET(
_xlpm.q,RawData!G210,
_xlpm.u,RawData!H210,
_xlpm.d,RawData!I210,
_xlpm.r,RawData!J210,
IF(AND(ISNUMBER(_xlpm.u),_xlpm.u&gt;0),_xlpm.u,
   IF(AND(ISNUMBER(_xlpm.q),_xlpm.q&gt;0,ISNUMBER(_xlpm.r),ISNUMBER(_xlpm.d),_xlpm.d&gt;=0,_xlpm.d&lt;1),
      _xlpm.r/(_xlpm.q*(1-_xlpm.d)),
      ""
   )
)
)</f>
        <v>75.040000000000006</v>
      </c>
      <c r="I210" s="5">
        <f>_xlfn.LET(
_xlpm.q,RawData!G210,
_xlpm.u,RawData!H210,
_xlpm.d,RawData!I210,
_xlpm.r,RawData!J210,
IF(AND(ISNUMBER(_xlpm.d),_xlpm.d&gt;=0,_xlpm.d&lt;1),_xlpm.d,
   IF(AND(ISNUMBER(_xlpm.q),_xlpm.q&gt;0,ISNUMBER(_xlpm.u),_xlpm.u&gt;0,ISNUMBER(_xlpm.r),_xlpm.r&gt;=0),
      1-(_xlpm.r/(_xlpm.q*_xlpm.u)),
      ""
   )
)
)</f>
        <v>0.05</v>
      </c>
      <c r="J210" s="4">
        <f>_xlfn.LET(
_xlpm.q,RawData!G210,
_xlpm.u,RawData!H210,
_xlpm.d,RawData!I210,
_xlpm.r,RawData!J210,
IF(AND(ISNUMBER(_xlpm.r),_xlpm.r&gt;=0),_xlpm.r,
   IF(AND(ISNUMBER(_xlpm.q),_xlpm.q&gt;0,ISNUMBER(_xlpm.u),_xlpm.u&gt;0,ISNUMBER(_xlpm.d),_xlpm.d&gt;=0,_xlpm.d&lt;1),
      _xlpm.q*_xlpm.u*(1-_xlpm.d),
      ""
   )
)
)</f>
        <v>641.59</v>
      </c>
      <c r="K210" s="4">
        <f>_xlfn.LET(
_xlpm.c,RawData!K210,
_xlpm.r,RawData!J210,
_xlpm.p,RawData!L210,
IF(AND(ISNUMBER(_xlpm.c),_xlpm.c&gt;=0),_xlpm.c,
   IF(AND(ISNUMBER(_xlpm.r),ISNUMBER(_xlpm.p)),
      _xlpm.r-_xlpm.p,
      ""
   )
)
)</f>
        <v>409.81</v>
      </c>
      <c r="L210" s="4">
        <f>_xlfn.LET(
_xlpm.p,RawData!L210,
_xlpm.r,RawData!J210,
_xlpm.c,RawData!K210,
IF(ISNUMBER(_xlpm.p),_xlpm.p,
IF(AND(ISNUMBER(_xlpm.r),ISNUMBER(_xlpm.c)),
_xlpm.r-_xlpm.c,
""
)
))</f>
        <v>231.78</v>
      </c>
    </row>
    <row r="211" spans="1:12" x14ac:dyDescent="0.35">
      <c r="A211" t="s">
        <v>247</v>
      </c>
      <c r="B211" s="7">
        <v>45914</v>
      </c>
      <c r="C211" t="str">
        <f>IF(RawData!C211="","Unknown",PROPER(TRIM(CLEAN(SUBSTITUTE(RawData!C211,CHAR(160)," ")))))</f>
        <v>East</v>
      </c>
      <c r="D211" t="str">
        <f>IF(RawData!D211="","Unknown",PROPER(TRIM(CLEAN(SUBSTITUTE(RawData!D211,CHAR(160)," ")))))</f>
        <v>Bhubaneswar</v>
      </c>
      <c r="E211" t="str">
        <f>IF(RawData!E211="","Unknown",PROPER(TRIM(CLEAN(SUBSTITUTE(RawData!E211,CHAR(160)," ")))))</f>
        <v>Headphones</v>
      </c>
      <c r="F211" t="str">
        <f>IF(RawData!F211="","Unknown",PROPER(TRIM(CLEAN(SUBSTITUTE(RawData!F211,CHAR(160)," ")))))</f>
        <v>Electronics</v>
      </c>
      <c r="G211">
        <f>_xlfn.LET(
_xlpm.q,RawData!G211,
_xlpm.u,RawData!H211,
_xlpm.d,RawData!I211,
_xlpm.r,RawData!J211,
IF(AND(ISNUMBER(_xlpm.q),_xlpm.q&gt;0),_xlpm.q,
   IF(AND(ISNUMBER(_xlpm.r),ISNUMBER(_xlpm.u),_xlpm.u&gt;0,ISNUMBER(_xlpm.d),_xlpm.d&gt;=0,_xlpm.d&lt;1),
      ROUND(_xlpm.r/(_xlpm.u*(1-_xlpm.d)),0),
      ""
   )
)
)</f>
        <v>5</v>
      </c>
      <c r="H211" s="4">
        <f>_xlfn.LET(
_xlpm.q,RawData!G211,
_xlpm.u,RawData!H211,
_xlpm.d,RawData!I211,
_xlpm.r,RawData!J211,
IF(AND(ISNUMBER(_xlpm.u),_xlpm.u&gt;0),_xlpm.u,
   IF(AND(ISNUMBER(_xlpm.q),_xlpm.q&gt;0,ISNUMBER(_xlpm.r),ISNUMBER(_xlpm.d),_xlpm.d&gt;=0,_xlpm.d&lt;1),
      _xlpm.r/(_xlpm.q*(1-_xlpm.d)),
      ""
   )
)
)</f>
        <v>84.14</v>
      </c>
      <c r="I211" s="5">
        <f>_xlfn.LET(
_xlpm.q,RawData!G211,
_xlpm.u,RawData!H211,
_xlpm.d,RawData!I211,
_xlpm.r,RawData!J211,
IF(AND(ISNUMBER(_xlpm.d),_xlpm.d&gt;=0,_xlpm.d&lt;1),_xlpm.d,
   IF(AND(ISNUMBER(_xlpm.q),_xlpm.q&gt;0,ISNUMBER(_xlpm.u),_xlpm.u&gt;0,ISNUMBER(_xlpm.r),_xlpm.r&gt;=0),
      1-(_xlpm.r/(_xlpm.q*_xlpm.u)),
      ""
   )
)
)</f>
        <v>0.1</v>
      </c>
      <c r="J211" s="4">
        <f>_xlfn.LET(
_xlpm.q,RawData!G211,
_xlpm.u,RawData!H211,
_xlpm.d,RawData!I211,
_xlpm.r,RawData!J211,
IF(AND(ISNUMBER(_xlpm.r),_xlpm.r&gt;=0),_xlpm.r,
   IF(AND(ISNUMBER(_xlpm.q),_xlpm.q&gt;0,ISNUMBER(_xlpm.u),_xlpm.u&gt;0,ISNUMBER(_xlpm.d),_xlpm.d&gt;=0,_xlpm.d&lt;1),
      _xlpm.q*_xlpm.u*(1-_xlpm.d),
      ""
   )
)
)</f>
        <v>378.63</v>
      </c>
      <c r="K211" s="4">
        <f>_xlfn.LET(
_xlpm.c,RawData!K211,
_xlpm.r,RawData!J211,
_xlpm.p,RawData!L211,
IF(AND(ISNUMBER(_xlpm.c),_xlpm.c&gt;=0),_xlpm.c,
   IF(AND(ISNUMBER(_xlpm.r),ISNUMBER(_xlpm.p)),
      _xlpm.r-_xlpm.p,
      ""
   )
)
)</f>
        <v>285.16000000000003</v>
      </c>
      <c r="L211" s="4">
        <f>_xlfn.LET(
_xlpm.p,RawData!L211,
_xlpm.r,RawData!J211,
_xlpm.c,RawData!K211,
IF(ISNUMBER(_xlpm.p),_xlpm.p,
IF(AND(ISNUMBER(_xlpm.r),ISNUMBER(_xlpm.c)),
_xlpm.r-_xlpm.c,
""
)
))</f>
        <v>93.47</v>
      </c>
    </row>
    <row r="212" spans="1:12" x14ac:dyDescent="0.35">
      <c r="A212" t="s">
        <v>248</v>
      </c>
      <c r="B212" s="7">
        <v>45831</v>
      </c>
      <c r="C212" t="str">
        <f>IF(RawData!C212="","Unknown",PROPER(TRIM(CLEAN(SUBSTITUTE(RawData!C212,CHAR(160)," ")))))</f>
        <v>North</v>
      </c>
      <c r="D212" t="str">
        <f>IF(RawData!D212="","Unknown",PROPER(TRIM(CLEAN(SUBSTITUTE(RawData!D212,CHAR(160)," ")))))</f>
        <v>Delhi</v>
      </c>
      <c r="E212" t="str">
        <f>IF(RawData!E212="","Unknown",PROPER(TRIM(CLEAN(SUBSTITUTE(RawData!E212,CHAR(160)," ")))))</f>
        <v>Printer</v>
      </c>
      <c r="F212" t="str">
        <f>IF(RawData!F212="","Unknown",PROPER(TRIM(CLEAN(SUBSTITUTE(RawData!F212,CHAR(160)," ")))))</f>
        <v>Office Supplies</v>
      </c>
      <c r="G212">
        <f>_xlfn.LET(
_xlpm.q,RawData!G212,
_xlpm.u,RawData!H212,
_xlpm.d,RawData!I212,
_xlpm.r,RawData!J212,
IF(AND(ISNUMBER(_xlpm.q),_xlpm.q&gt;0),_xlpm.q,
   IF(AND(ISNUMBER(_xlpm.r),ISNUMBER(_xlpm.u),_xlpm.u&gt;0,ISNUMBER(_xlpm.d),_xlpm.d&gt;=0,_xlpm.d&lt;1),
      ROUND(_xlpm.r/(_xlpm.u*(1-_xlpm.d)),0),
      ""
   )
)
)</f>
        <v>2</v>
      </c>
      <c r="H212" s="4">
        <f>_xlfn.LET(
_xlpm.q,RawData!G212,
_xlpm.u,RawData!H212,
_xlpm.d,RawData!I212,
_xlpm.r,RawData!J212,
IF(AND(ISNUMBER(_xlpm.u),_xlpm.u&gt;0),_xlpm.u,
   IF(AND(ISNUMBER(_xlpm.q),_xlpm.q&gt;0,ISNUMBER(_xlpm.r),ISNUMBER(_xlpm.d),_xlpm.d&gt;=0,_xlpm.d&lt;1),
      _xlpm.r/(_xlpm.q*(1-_xlpm.d)),
      ""
   )
)
)</f>
        <v>174</v>
      </c>
      <c r="I212" s="5">
        <f>_xlfn.LET(
_xlpm.q,RawData!G212,
_xlpm.u,RawData!H212,
_xlpm.d,RawData!I212,
_xlpm.r,RawData!J212,
IF(AND(ISNUMBER(_xlpm.d),_xlpm.d&gt;=0,_xlpm.d&lt;1),_xlpm.d,
   IF(AND(ISNUMBER(_xlpm.q),_xlpm.q&gt;0,ISNUMBER(_xlpm.u),_xlpm.u&gt;0,ISNUMBER(_xlpm.r),_xlpm.r&gt;=0),
      1-(_xlpm.r/(_xlpm.q*_xlpm.u)),
      ""
   )
)
)</f>
        <v>0.02</v>
      </c>
      <c r="J212" s="4">
        <f>_xlfn.LET(
_xlpm.q,RawData!G212,
_xlpm.u,RawData!H212,
_xlpm.d,RawData!I212,
_xlpm.r,RawData!J212,
IF(AND(ISNUMBER(_xlpm.r),_xlpm.r&gt;=0),_xlpm.r,
   IF(AND(ISNUMBER(_xlpm.q),_xlpm.q&gt;0,ISNUMBER(_xlpm.u),_xlpm.u&gt;0,ISNUMBER(_xlpm.d),_xlpm.d&gt;=0,_xlpm.d&lt;1),
      _xlpm.q*_xlpm.u*(1-_xlpm.d),
      ""
   )
)
)</f>
        <v>341.04</v>
      </c>
      <c r="K212" s="4">
        <f>_xlfn.LET(
_xlpm.c,RawData!K212,
_xlpm.r,RawData!J212,
_xlpm.p,RawData!L212,
IF(AND(ISNUMBER(_xlpm.c),_xlpm.c&gt;=0),_xlpm.c,
   IF(AND(ISNUMBER(_xlpm.r),ISNUMBER(_xlpm.p)),
      _xlpm.r-_xlpm.p,
      ""
   )
)
)</f>
        <v>260.27999999999997</v>
      </c>
      <c r="L212" s="4">
        <f>_xlfn.LET(
_xlpm.p,RawData!L212,
_xlpm.r,RawData!J212,
_xlpm.c,RawData!K212,
IF(ISNUMBER(_xlpm.p),_xlpm.p,
IF(AND(ISNUMBER(_xlpm.r),ISNUMBER(_xlpm.c)),
_xlpm.r-_xlpm.c,
""
)
))</f>
        <v>80.760000000000005</v>
      </c>
    </row>
    <row r="213" spans="1:12" x14ac:dyDescent="0.35">
      <c r="A213" t="s">
        <v>249</v>
      </c>
      <c r="B213" s="7">
        <v>46004</v>
      </c>
      <c r="C213" t="str">
        <f>IF(RawData!C213="","Unknown",PROPER(TRIM(CLEAN(SUBSTITUTE(RawData!C213,CHAR(160)," ")))))</f>
        <v>West</v>
      </c>
      <c r="D213" t="str">
        <f>IF(RawData!D213="","Unknown",PROPER(TRIM(CLEAN(SUBSTITUTE(RawData!D213,CHAR(160)," ")))))</f>
        <v>Pune</v>
      </c>
      <c r="E213" t="str">
        <f>IF(RawData!E213="","Unknown",PROPER(TRIM(CLEAN(SUBSTITUTE(RawData!E213,CHAR(160)," ")))))</f>
        <v>Notebook</v>
      </c>
      <c r="F213" t="str">
        <f>IF(RawData!F213="","Unknown",PROPER(TRIM(CLEAN(SUBSTITUTE(RawData!F213,CHAR(160)," ")))))</f>
        <v>Office Supplies</v>
      </c>
      <c r="G213">
        <f>_xlfn.LET(
_xlpm.q,RawData!G213,
_xlpm.u,RawData!H213,
_xlpm.d,RawData!I213,
_xlpm.r,RawData!J213,
IF(AND(ISNUMBER(_xlpm.q),_xlpm.q&gt;0),_xlpm.q,
   IF(AND(ISNUMBER(_xlpm.r),ISNUMBER(_xlpm.u),_xlpm.u&gt;0,ISNUMBER(_xlpm.d),_xlpm.d&gt;=0,_xlpm.d&lt;1),
      ROUND(_xlpm.r/(_xlpm.u*(1-_xlpm.d)),0),
      ""
   )
)
)</f>
        <v>6</v>
      </c>
      <c r="H213" s="4">
        <f>_xlfn.LET(
_xlpm.q,RawData!G213,
_xlpm.u,RawData!H213,
_xlpm.d,RawData!I213,
_xlpm.r,RawData!J213,
IF(AND(ISNUMBER(_xlpm.u),_xlpm.u&gt;0),_xlpm.u,
   IF(AND(ISNUMBER(_xlpm.q),_xlpm.q&gt;0,ISNUMBER(_xlpm.r),ISNUMBER(_xlpm.d),_xlpm.d&gt;=0,_xlpm.d&lt;1),
      _xlpm.r/(_xlpm.q*(1-_xlpm.d)),
      ""
   )
)
)</f>
        <v>7.02</v>
      </c>
      <c r="I213" s="5">
        <f>_xlfn.LET(
_xlpm.q,RawData!G213,
_xlpm.u,RawData!H213,
_xlpm.d,RawData!I213,
_xlpm.r,RawData!J213,
IF(AND(ISNUMBER(_xlpm.d),_xlpm.d&gt;=0,_xlpm.d&lt;1),_xlpm.d,
   IF(AND(ISNUMBER(_xlpm.q),_xlpm.q&gt;0,ISNUMBER(_xlpm.u),_xlpm.u&gt;0,ISNUMBER(_xlpm.r),_xlpm.r&gt;=0),
      1-(_xlpm.r/(_xlpm.q*_xlpm.u)),
      ""
   )
)
)</f>
        <v>0</v>
      </c>
      <c r="J213" s="4">
        <f>_xlfn.LET(
_xlpm.q,RawData!G213,
_xlpm.u,RawData!H213,
_xlpm.d,RawData!I213,
_xlpm.r,RawData!J213,
IF(AND(ISNUMBER(_xlpm.r),_xlpm.r&gt;=0),_xlpm.r,
   IF(AND(ISNUMBER(_xlpm.q),_xlpm.q&gt;0,ISNUMBER(_xlpm.u),_xlpm.u&gt;0,ISNUMBER(_xlpm.d),_xlpm.d&gt;=0,_xlpm.d&lt;1),
      _xlpm.q*_xlpm.u*(1-_xlpm.d),
      ""
   )
)
)</f>
        <v>42.12</v>
      </c>
      <c r="K213" s="4">
        <f>_xlfn.LET(
_xlpm.c,RawData!K213,
_xlpm.r,RawData!J213,
_xlpm.p,RawData!L213,
IF(AND(ISNUMBER(_xlpm.c),_xlpm.c&gt;=0),_xlpm.c,
   IF(AND(ISNUMBER(_xlpm.r),ISNUMBER(_xlpm.p)),
      _xlpm.r-_xlpm.p,
      ""
   )
)
)</f>
        <v>28.79</v>
      </c>
      <c r="L213" s="4">
        <f>_xlfn.LET(
_xlpm.p,RawData!L213,
_xlpm.r,RawData!J213,
_xlpm.c,RawData!K213,
IF(ISNUMBER(_xlpm.p),_xlpm.p,
IF(AND(ISNUMBER(_xlpm.r),ISNUMBER(_xlpm.c)),
_xlpm.r-_xlpm.c,
""
)
))</f>
        <v>13.33</v>
      </c>
    </row>
    <row r="214" spans="1:12" x14ac:dyDescent="0.35">
      <c r="A214" t="s">
        <v>250</v>
      </c>
      <c r="B214" s="7">
        <v>45665</v>
      </c>
      <c r="C214" t="str">
        <f>IF(RawData!C214="","Unknown",PROPER(TRIM(CLEAN(SUBSTITUTE(RawData!C214,CHAR(160)," ")))))</f>
        <v>East</v>
      </c>
      <c r="D214" t="str">
        <f>IF(RawData!D214="","Unknown",PROPER(TRIM(CLEAN(SUBSTITUTE(RawData!D214,CHAR(160)," ")))))</f>
        <v>Bhubaneswar</v>
      </c>
      <c r="E214" t="str">
        <f>IF(RawData!E214="","Unknown",PROPER(TRIM(CLEAN(SUBSTITUTE(RawData!E214,CHAR(160)," ")))))</f>
        <v>Notebook</v>
      </c>
      <c r="F214" t="str">
        <f>IF(RawData!F214="","Unknown",PROPER(TRIM(CLEAN(SUBSTITUTE(RawData!F214,CHAR(160)," ")))))</f>
        <v>Office Supplies</v>
      </c>
      <c r="G214">
        <f>_xlfn.LET(
_xlpm.q,RawData!G214,
_xlpm.u,RawData!H214,
_xlpm.d,RawData!I214,
_xlpm.r,RawData!J214,
IF(AND(ISNUMBER(_xlpm.q),_xlpm.q&gt;0),_xlpm.q,
   IF(AND(ISNUMBER(_xlpm.r),ISNUMBER(_xlpm.u),_xlpm.u&gt;0,ISNUMBER(_xlpm.d),_xlpm.d&gt;=0,_xlpm.d&lt;1),
      ROUND(_xlpm.r/(_xlpm.u*(1-_xlpm.d)),0),
      ""
   )
)
)</f>
        <v>2</v>
      </c>
      <c r="H214" s="4">
        <f>_xlfn.LET(
_xlpm.q,RawData!G214,
_xlpm.u,RawData!H214,
_xlpm.d,RawData!I214,
_xlpm.r,RawData!J214,
IF(AND(ISNUMBER(_xlpm.u),_xlpm.u&gt;0),_xlpm.u,
   IF(AND(ISNUMBER(_xlpm.q),_xlpm.q&gt;0,ISNUMBER(_xlpm.r),ISNUMBER(_xlpm.d),_xlpm.d&gt;=0,_xlpm.d&lt;1),
      _xlpm.r/(_xlpm.q*(1-_xlpm.d)),
      ""
   )
)
)</f>
        <v>6.94</v>
      </c>
      <c r="I214" s="5">
        <f>_xlfn.LET(
_xlpm.q,RawData!G214,
_xlpm.u,RawData!H214,
_xlpm.d,RawData!I214,
_xlpm.r,RawData!J214,
IF(AND(ISNUMBER(_xlpm.d),_xlpm.d&gt;=0,_xlpm.d&lt;1),_xlpm.d,
   IF(AND(ISNUMBER(_xlpm.q),_xlpm.q&gt;0,ISNUMBER(_xlpm.u),_xlpm.u&gt;0,ISNUMBER(_xlpm.r),_xlpm.r&gt;=0),
      1-(_xlpm.r/(_xlpm.q*_xlpm.u)),
      ""
   )
)
)</f>
        <v>0.1</v>
      </c>
      <c r="J214" s="4">
        <f>_xlfn.LET(
_xlpm.q,RawData!G214,
_xlpm.u,RawData!H214,
_xlpm.d,RawData!I214,
_xlpm.r,RawData!J214,
IF(AND(ISNUMBER(_xlpm.r),_xlpm.r&gt;=0),_xlpm.r,
   IF(AND(ISNUMBER(_xlpm.q),_xlpm.q&gt;0,ISNUMBER(_xlpm.u),_xlpm.u&gt;0,ISNUMBER(_xlpm.d),_xlpm.d&gt;=0,_xlpm.d&lt;1),
      _xlpm.q*_xlpm.u*(1-_xlpm.d),
      ""
   )
)
)</f>
        <v>12.49</v>
      </c>
      <c r="K214" s="4">
        <f>_xlfn.LET(
_xlpm.c,RawData!K214,
_xlpm.r,RawData!J214,
_xlpm.p,RawData!L214,
IF(AND(ISNUMBER(_xlpm.c),_xlpm.c&gt;=0),_xlpm.c,
   IF(AND(ISNUMBER(_xlpm.r),ISNUMBER(_xlpm.p)),
      _xlpm.r-_xlpm.p,
      ""
   )
)
)</f>
        <v>8.7200000000000006</v>
      </c>
      <c r="L214" s="4">
        <f>_xlfn.LET(
_xlpm.p,RawData!L214,
_xlpm.r,RawData!J214,
_xlpm.c,RawData!K214,
IF(ISNUMBER(_xlpm.p),_xlpm.p,
IF(AND(ISNUMBER(_xlpm.r),ISNUMBER(_xlpm.c)),
_xlpm.r-_xlpm.c,
""
)
))</f>
        <v>3.77</v>
      </c>
    </row>
    <row r="215" spans="1:12" x14ac:dyDescent="0.35">
      <c r="A215" t="s">
        <v>251</v>
      </c>
      <c r="B215" s="7">
        <v>46002</v>
      </c>
      <c r="C215" t="str">
        <f>IF(RawData!C215="","Unknown",PROPER(TRIM(CLEAN(SUBSTITUTE(RawData!C215,CHAR(160)," ")))))</f>
        <v>East</v>
      </c>
      <c r="D215" t="str">
        <f>IF(RawData!D215="","Unknown",PROPER(TRIM(CLEAN(SUBSTITUTE(RawData!D215,CHAR(160)," ")))))</f>
        <v>Bhubaneswar</v>
      </c>
      <c r="E215" t="str">
        <f>IF(RawData!E215="","Unknown",PROPER(TRIM(CLEAN(SUBSTITUTE(RawData!E215,CHAR(160)," ")))))</f>
        <v>Pen Set</v>
      </c>
      <c r="F215" t="str">
        <f>IF(RawData!F215="","Unknown",PROPER(TRIM(CLEAN(SUBSTITUTE(RawData!F215,CHAR(160)," ")))))</f>
        <v>Office Supplies</v>
      </c>
      <c r="G215">
        <f>_xlfn.LET(
_xlpm.q,RawData!G215,
_xlpm.u,RawData!H215,
_xlpm.d,RawData!I215,
_xlpm.r,RawData!J215,
IF(AND(ISNUMBER(_xlpm.q),_xlpm.q&gt;0),_xlpm.q,
   IF(AND(ISNUMBER(_xlpm.r),ISNUMBER(_xlpm.u),_xlpm.u&gt;0,ISNUMBER(_xlpm.d),_xlpm.d&gt;=0,_xlpm.d&lt;1),
      ROUND(_xlpm.r/(_xlpm.u*(1-_xlpm.d)),0),
      ""
   )
)
)</f>
        <v>7</v>
      </c>
      <c r="H215" s="4">
        <f>_xlfn.LET(
_xlpm.q,RawData!G215,
_xlpm.u,RawData!H215,
_xlpm.d,RawData!I215,
_xlpm.r,RawData!J215,
IF(AND(ISNUMBER(_xlpm.u),_xlpm.u&gt;0),_xlpm.u,
   IF(AND(ISNUMBER(_xlpm.q),_xlpm.q&gt;0,ISNUMBER(_xlpm.r),ISNUMBER(_xlpm.d),_xlpm.d&gt;=0,_xlpm.d&lt;1),
      _xlpm.r/(_xlpm.q*(1-_xlpm.d)),
      ""
   )
)
)</f>
        <v>11.79</v>
      </c>
      <c r="I215" s="5">
        <f>_xlfn.LET(
_xlpm.q,RawData!G215,
_xlpm.u,RawData!H215,
_xlpm.d,RawData!I215,
_xlpm.r,RawData!J215,
IF(AND(ISNUMBER(_xlpm.d),_xlpm.d&gt;=0,_xlpm.d&lt;1),_xlpm.d,
   IF(AND(ISNUMBER(_xlpm.q),_xlpm.q&gt;0,ISNUMBER(_xlpm.u),_xlpm.u&gt;0,ISNUMBER(_xlpm.r),_xlpm.r&gt;=0),
      1-(_xlpm.r/(_xlpm.q*_xlpm.u)),
      ""
   )
)
)</f>
        <v>0.2</v>
      </c>
      <c r="J215" s="4">
        <f>_xlfn.LET(
_xlpm.q,RawData!G215,
_xlpm.u,RawData!H215,
_xlpm.d,RawData!I215,
_xlpm.r,RawData!J215,
IF(AND(ISNUMBER(_xlpm.r),_xlpm.r&gt;=0),_xlpm.r,
   IF(AND(ISNUMBER(_xlpm.q),_xlpm.q&gt;0,ISNUMBER(_xlpm.u),_xlpm.u&gt;0,ISNUMBER(_xlpm.d),_xlpm.d&gt;=0,_xlpm.d&lt;1),
      _xlpm.q*_xlpm.u*(1-_xlpm.d),
      ""
   )
)
)</f>
        <v>66.02</v>
      </c>
      <c r="K215" s="4">
        <f>_xlfn.LET(
_xlpm.c,RawData!K215,
_xlpm.r,RawData!J215,
_xlpm.p,RawData!L215,
IF(AND(ISNUMBER(_xlpm.c),_xlpm.c&gt;=0),_xlpm.c,
   IF(AND(ISNUMBER(_xlpm.r),ISNUMBER(_xlpm.p)),
      _xlpm.r-_xlpm.p,
      ""
   )
)
)</f>
        <v>52.13</v>
      </c>
      <c r="L215" s="4">
        <f>_xlfn.LET(
_xlpm.p,RawData!L215,
_xlpm.r,RawData!J215,
_xlpm.c,RawData!K215,
IF(ISNUMBER(_xlpm.p),_xlpm.p,
IF(AND(ISNUMBER(_xlpm.r),ISNUMBER(_xlpm.c)),
_xlpm.r-_xlpm.c,
""
)
))</f>
        <v>13.89</v>
      </c>
    </row>
    <row r="216" spans="1:12" x14ac:dyDescent="0.35">
      <c r="A216" t="s">
        <v>252</v>
      </c>
      <c r="B216" s="7">
        <v>45713</v>
      </c>
      <c r="C216" t="str">
        <f>IF(RawData!C216="","Unknown",PROPER(TRIM(CLEAN(SUBSTITUTE(RawData!C216,CHAR(160)," ")))))</f>
        <v>South</v>
      </c>
      <c r="D216" t="str">
        <f>IF(RawData!D216="","Unknown",PROPER(TRIM(CLEAN(SUBSTITUTE(RawData!D216,CHAR(160)," ")))))</f>
        <v>Bengaluru</v>
      </c>
      <c r="E216" t="str">
        <f>IF(RawData!E216="","Unknown",PROPER(TRIM(CLEAN(SUBSTITUTE(RawData!E216,CHAR(160)," ")))))</f>
        <v>Printer</v>
      </c>
      <c r="F216" t="str">
        <f>IF(RawData!F216="","Unknown",PROPER(TRIM(CLEAN(SUBSTITUTE(RawData!F216,CHAR(160)," ")))))</f>
        <v>Office Supplies</v>
      </c>
      <c r="G216">
        <f>_xlfn.LET(
_xlpm.q,RawData!G216,
_xlpm.u,RawData!H216,
_xlpm.d,RawData!I216,
_xlpm.r,RawData!J216,
IF(AND(ISNUMBER(_xlpm.q),_xlpm.q&gt;0),_xlpm.q,
   IF(AND(ISNUMBER(_xlpm.r),ISNUMBER(_xlpm.u),_xlpm.u&gt;0,ISNUMBER(_xlpm.d),_xlpm.d&gt;=0,_xlpm.d&lt;1),
      ROUND(_xlpm.r/(_xlpm.u*(1-_xlpm.d)),0),
      ""
   )
)
)</f>
        <v>1</v>
      </c>
      <c r="H216" s="4">
        <f>_xlfn.LET(
_xlpm.q,RawData!G216,
_xlpm.u,RawData!H216,
_xlpm.d,RawData!I216,
_xlpm.r,RawData!J216,
IF(AND(ISNUMBER(_xlpm.u),_xlpm.u&gt;0),_xlpm.u,
   IF(AND(ISNUMBER(_xlpm.q),_xlpm.q&gt;0,ISNUMBER(_xlpm.r),ISNUMBER(_xlpm.d),_xlpm.d&gt;=0,_xlpm.d&lt;1),
      _xlpm.r/(_xlpm.q*(1-_xlpm.d)),
      ""
   )
)
)</f>
        <v>152.84</v>
      </c>
      <c r="I216" s="5">
        <f>_xlfn.LET(
_xlpm.q,RawData!G216,
_xlpm.u,RawData!H216,
_xlpm.d,RawData!I216,
_xlpm.r,RawData!J216,
IF(AND(ISNUMBER(_xlpm.d),_xlpm.d&gt;=0,_xlpm.d&lt;1),_xlpm.d,
   IF(AND(ISNUMBER(_xlpm.q),_xlpm.q&gt;0,ISNUMBER(_xlpm.u),_xlpm.u&gt;0,ISNUMBER(_xlpm.r),_xlpm.r&gt;=0),
      1-(_xlpm.r/(_xlpm.q*_xlpm.u)),
      ""
   )
)
)</f>
        <v>0.15</v>
      </c>
      <c r="J216" s="4">
        <f>_xlfn.LET(
_xlpm.q,RawData!G216,
_xlpm.u,RawData!H216,
_xlpm.d,RawData!I216,
_xlpm.r,RawData!J216,
IF(AND(ISNUMBER(_xlpm.r),_xlpm.r&gt;=0),_xlpm.r,
   IF(AND(ISNUMBER(_xlpm.q),_xlpm.q&gt;0,ISNUMBER(_xlpm.u),_xlpm.u&gt;0,ISNUMBER(_xlpm.d),_xlpm.d&gt;=0,_xlpm.d&lt;1),
      _xlpm.q*_xlpm.u*(1-_xlpm.d),
      ""
   )
)
)</f>
        <v>129.91</v>
      </c>
      <c r="K216" s="4">
        <f>_xlfn.LET(
_xlpm.c,RawData!K216,
_xlpm.r,RawData!J216,
_xlpm.p,RawData!L216,
IF(AND(ISNUMBER(_xlpm.c),_xlpm.c&gt;=0),_xlpm.c,
   IF(AND(ISNUMBER(_xlpm.r),ISNUMBER(_xlpm.p)),
      _xlpm.r-_xlpm.p,
      ""
   )
)
)</f>
        <v>75.56</v>
      </c>
      <c r="L216" s="4">
        <f>_xlfn.LET(
_xlpm.p,RawData!L216,
_xlpm.r,RawData!J216,
_xlpm.c,RawData!K216,
IF(ISNUMBER(_xlpm.p),_xlpm.p,
IF(AND(ISNUMBER(_xlpm.r),ISNUMBER(_xlpm.c)),
_xlpm.r-_xlpm.c,
""
)
))</f>
        <v>54.35</v>
      </c>
    </row>
    <row r="217" spans="1:12" x14ac:dyDescent="0.35">
      <c r="A217" t="s">
        <v>253</v>
      </c>
      <c r="B217" s="7">
        <v>45825</v>
      </c>
      <c r="C217" t="str">
        <f>IF(RawData!C217="","Unknown",PROPER(TRIM(CLEAN(SUBSTITUTE(RawData!C217,CHAR(160)," ")))))</f>
        <v>South</v>
      </c>
      <c r="D217" t="str">
        <f>IF(RawData!D217="","Unknown",PROPER(TRIM(CLEAN(SUBSTITUTE(RawData!D217,CHAR(160)," ")))))</f>
        <v>Chennai</v>
      </c>
      <c r="E217" t="str">
        <f>IF(RawData!E217="","Unknown",PROPER(TRIM(CLEAN(SUBSTITUTE(RawData!E217,CHAR(160)," ")))))</f>
        <v>Backpack</v>
      </c>
      <c r="F217" t="str">
        <f>IF(RawData!F217="","Unknown",PROPER(TRIM(CLEAN(SUBSTITUTE(RawData!F217,CHAR(160)," ")))))</f>
        <v>Accessories</v>
      </c>
      <c r="G217">
        <f>_xlfn.LET(
_xlpm.q,RawData!G217,
_xlpm.u,RawData!H217,
_xlpm.d,RawData!I217,
_xlpm.r,RawData!J217,
IF(AND(ISNUMBER(_xlpm.q),_xlpm.q&gt;0),_xlpm.q,
   IF(AND(ISNUMBER(_xlpm.r),ISNUMBER(_xlpm.u),_xlpm.u&gt;0,ISNUMBER(_xlpm.d),_xlpm.d&gt;=0,_xlpm.d&lt;1),
      ROUND(_xlpm.r/(_xlpm.u*(1-_xlpm.d)),0),
      ""
   )
)
)</f>
        <v>2</v>
      </c>
      <c r="H217" s="4">
        <f>_xlfn.LET(
_xlpm.q,RawData!G217,
_xlpm.u,RawData!H217,
_xlpm.d,RawData!I217,
_xlpm.r,RawData!J217,
IF(AND(ISNUMBER(_xlpm.u),_xlpm.u&gt;0),_xlpm.u,
   IF(AND(ISNUMBER(_xlpm.q),_xlpm.q&gt;0,ISNUMBER(_xlpm.r),ISNUMBER(_xlpm.d),_xlpm.d&gt;=0,_xlpm.d&lt;1),
      _xlpm.r/(_xlpm.q*(1-_xlpm.d)),
      ""
   )
)
)</f>
        <v>40.18</v>
      </c>
      <c r="I217" s="5">
        <f>_xlfn.LET(
_xlpm.q,RawData!G217,
_xlpm.u,RawData!H217,
_xlpm.d,RawData!I217,
_xlpm.r,RawData!J217,
IF(AND(ISNUMBER(_xlpm.d),_xlpm.d&gt;=0,_xlpm.d&lt;1),_xlpm.d,
   IF(AND(ISNUMBER(_xlpm.q),_xlpm.q&gt;0,ISNUMBER(_xlpm.u),_xlpm.u&gt;0,ISNUMBER(_xlpm.r),_xlpm.r&gt;=0),
      1-(_xlpm.r/(_xlpm.q*_xlpm.u)),
      ""
   )
)
)</f>
        <v>0.2</v>
      </c>
      <c r="J217" s="4">
        <f>_xlfn.LET(
_xlpm.q,RawData!G217,
_xlpm.u,RawData!H217,
_xlpm.d,RawData!I217,
_xlpm.r,RawData!J217,
IF(AND(ISNUMBER(_xlpm.r),_xlpm.r&gt;=0),_xlpm.r,
   IF(AND(ISNUMBER(_xlpm.q),_xlpm.q&gt;0,ISNUMBER(_xlpm.u),_xlpm.u&gt;0,ISNUMBER(_xlpm.d),_xlpm.d&gt;=0,_xlpm.d&lt;1),
      _xlpm.q*_xlpm.u*(1-_xlpm.d),
      ""
   )
)
)</f>
        <v>64.290000000000006</v>
      </c>
      <c r="K217" s="4">
        <f>_xlfn.LET(
_xlpm.c,RawData!K217,
_xlpm.r,RawData!J217,
_xlpm.p,RawData!L217,
IF(AND(ISNUMBER(_xlpm.c),_xlpm.c&gt;=0),_xlpm.c,
   IF(AND(ISNUMBER(_xlpm.r),ISNUMBER(_xlpm.p)),
      _xlpm.r-_xlpm.p,
      ""
   )
)
)</f>
        <v>48.58</v>
      </c>
      <c r="L217" s="4">
        <f>_xlfn.LET(
_xlpm.p,RawData!L217,
_xlpm.r,RawData!J217,
_xlpm.c,RawData!K217,
IF(ISNUMBER(_xlpm.p),_xlpm.p,
IF(AND(ISNUMBER(_xlpm.r),ISNUMBER(_xlpm.c)),
_xlpm.r-_xlpm.c,
""
)
))</f>
        <v>15.71</v>
      </c>
    </row>
    <row r="218" spans="1:12" x14ac:dyDescent="0.35">
      <c r="A218" t="s">
        <v>254</v>
      </c>
      <c r="B218" s="7">
        <v>46016</v>
      </c>
      <c r="C218" t="str">
        <f>IF(RawData!C218="","Unknown",PROPER(TRIM(CLEAN(SUBSTITUTE(RawData!C218,CHAR(160)," ")))))</f>
        <v>East</v>
      </c>
      <c r="D218" t="str">
        <f>IF(RawData!D218="","Unknown",PROPER(TRIM(CLEAN(SUBSTITUTE(RawData!D218,CHAR(160)," ")))))</f>
        <v>Kolkata</v>
      </c>
      <c r="E218" t="str">
        <f>IF(RawData!E218="","Unknown",PROPER(TRIM(CLEAN(SUBSTITUTE(RawData!E218,CHAR(160)," ")))))</f>
        <v>Backpack</v>
      </c>
      <c r="F218" t="str">
        <f>IF(RawData!F218="","Unknown",PROPER(TRIM(CLEAN(SUBSTITUTE(RawData!F218,CHAR(160)," ")))))</f>
        <v>Accessories</v>
      </c>
      <c r="G218">
        <f>_xlfn.LET(
_xlpm.q,RawData!G218,
_xlpm.u,RawData!H218,
_xlpm.d,RawData!I218,
_xlpm.r,RawData!J218,
IF(AND(ISNUMBER(_xlpm.q),_xlpm.q&gt;0),_xlpm.q,
   IF(AND(ISNUMBER(_xlpm.r),ISNUMBER(_xlpm.u),_xlpm.u&gt;0,ISNUMBER(_xlpm.d),_xlpm.d&gt;=0,_xlpm.d&lt;1),
      ROUND(_xlpm.r/(_xlpm.u*(1-_xlpm.d)),0),
      ""
   )
)
)</f>
        <v>7</v>
      </c>
      <c r="H218" s="4">
        <f>_xlfn.LET(
_xlpm.q,RawData!G218,
_xlpm.u,RawData!H218,
_xlpm.d,RawData!I218,
_xlpm.r,RawData!J218,
IF(AND(ISNUMBER(_xlpm.u),_xlpm.u&gt;0),_xlpm.u,
   IF(AND(ISNUMBER(_xlpm.q),_xlpm.q&gt;0,ISNUMBER(_xlpm.r),ISNUMBER(_xlpm.d),_xlpm.d&gt;=0,_xlpm.d&lt;1),
      _xlpm.r/(_xlpm.q*(1-_xlpm.d)),
      ""
   )
)
)</f>
        <v>46.6</v>
      </c>
      <c r="I218" s="5">
        <f>_xlfn.LET(
_xlpm.q,RawData!G218,
_xlpm.u,RawData!H218,
_xlpm.d,RawData!I218,
_xlpm.r,RawData!J218,
IF(AND(ISNUMBER(_xlpm.d),_xlpm.d&gt;=0,_xlpm.d&lt;1),_xlpm.d,
   IF(AND(ISNUMBER(_xlpm.q),_xlpm.q&gt;0,ISNUMBER(_xlpm.u),_xlpm.u&gt;0,ISNUMBER(_xlpm.r),_xlpm.r&gt;=0),
      1-(_xlpm.r/(_xlpm.q*_xlpm.u)),
      ""
   )
)
)</f>
        <v>0</v>
      </c>
      <c r="J218" s="4">
        <f>_xlfn.LET(
_xlpm.q,RawData!G218,
_xlpm.u,RawData!H218,
_xlpm.d,RawData!I218,
_xlpm.r,RawData!J218,
IF(AND(ISNUMBER(_xlpm.r),_xlpm.r&gt;=0),_xlpm.r,
   IF(AND(ISNUMBER(_xlpm.q),_xlpm.q&gt;0,ISNUMBER(_xlpm.u),_xlpm.u&gt;0,ISNUMBER(_xlpm.d),_xlpm.d&gt;=0,_xlpm.d&lt;1),
      _xlpm.q*_xlpm.u*(1-_xlpm.d),
      ""
   )
)
)</f>
        <v>326.2</v>
      </c>
      <c r="K218" s="4">
        <f>_xlfn.LET(
_xlpm.c,RawData!K218,
_xlpm.r,RawData!J218,
_xlpm.p,RawData!L218,
IF(AND(ISNUMBER(_xlpm.c),_xlpm.c&gt;=0),_xlpm.c,
   IF(AND(ISNUMBER(_xlpm.r),ISNUMBER(_xlpm.p)),
      _xlpm.r-_xlpm.p,
      ""
   )
)
)</f>
        <v>188.32</v>
      </c>
      <c r="L218" s="4">
        <f>_xlfn.LET(
_xlpm.p,RawData!L218,
_xlpm.r,RawData!J218,
_xlpm.c,RawData!K218,
IF(ISNUMBER(_xlpm.p),_xlpm.p,
IF(AND(ISNUMBER(_xlpm.r),ISNUMBER(_xlpm.c)),
_xlpm.r-_xlpm.c,
""
)
))</f>
        <v>137.88</v>
      </c>
    </row>
    <row r="219" spans="1:12" x14ac:dyDescent="0.35">
      <c r="A219" t="s">
        <v>255</v>
      </c>
      <c r="B219" s="7">
        <v>45681</v>
      </c>
      <c r="C219" t="str">
        <f>IF(RawData!C219="","Unknown",PROPER(TRIM(CLEAN(SUBSTITUTE(RawData!C219,CHAR(160)," ")))))</f>
        <v>North</v>
      </c>
      <c r="D219" t="str">
        <f>IF(RawData!D219="","Unknown",PROPER(TRIM(CLEAN(SUBSTITUTE(RawData!D219,CHAR(160)," ")))))</f>
        <v>Delhi</v>
      </c>
      <c r="E219" t="str">
        <f>IF(RawData!E219="","Unknown",PROPER(TRIM(CLEAN(SUBSTITUTE(RawData!E219,CHAR(160)," ")))))</f>
        <v>Office Chair</v>
      </c>
      <c r="F219" t="str">
        <f>IF(RawData!F219="","Unknown",PROPER(TRIM(CLEAN(SUBSTITUTE(RawData!F219,CHAR(160)," ")))))</f>
        <v>Furniture</v>
      </c>
      <c r="G219">
        <f>_xlfn.LET(
_xlpm.q,RawData!G219,
_xlpm.u,RawData!H219,
_xlpm.d,RawData!I219,
_xlpm.r,RawData!J219,
IF(AND(ISNUMBER(_xlpm.q),_xlpm.q&gt;0),_xlpm.q,
   IF(AND(ISNUMBER(_xlpm.r),ISNUMBER(_xlpm.u),_xlpm.u&gt;0,ISNUMBER(_xlpm.d),_xlpm.d&gt;=0,_xlpm.d&lt;1),
      ROUND(_xlpm.r/(_xlpm.u*(1-_xlpm.d)),0),
      ""
   )
)
)</f>
        <v>8</v>
      </c>
      <c r="H219" s="4">
        <f>_xlfn.LET(
_xlpm.q,RawData!G219,
_xlpm.u,RawData!H219,
_xlpm.d,RawData!I219,
_xlpm.r,RawData!J219,
IF(AND(ISNUMBER(_xlpm.u),_xlpm.u&gt;0),_xlpm.u,
   IF(AND(ISNUMBER(_xlpm.q),_xlpm.q&gt;0,ISNUMBER(_xlpm.r),ISNUMBER(_xlpm.d),_xlpm.d&gt;=0,_xlpm.d&lt;1),
      _xlpm.r/(_xlpm.q*(1-_xlpm.d)),
      ""
   )
)
)</f>
        <v>157.54</v>
      </c>
      <c r="I219" s="5">
        <f>_xlfn.LET(
_xlpm.q,RawData!G219,
_xlpm.u,RawData!H219,
_xlpm.d,RawData!I219,
_xlpm.r,RawData!J219,
IF(AND(ISNUMBER(_xlpm.d),_xlpm.d&gt;=0,_xlpm.d&lt;1),_xlpm.d,
   IF(AND(ISNUMBER(_xlpm.q),_xlpm.q&gt;0,ISNUMBER(_xlpm.u),_xlpm.u&gt;0,ISNUMBER(_xlpm.r),_xlpm.r&gt;=0),
      1-(_xlpm.r/(_xlpm.q*_xlpm.u)),
      ""
   )
)
)</f>
        <v>0</v>
      </c>
      <c r="J219" s="4">
        <f>_xlfn.LET(
_xlpm.q,RawData!G219,
_xlpm.u,RawData!H219,
_xlpm.d,RawData!I219,
_xlpm.r,RawData!J219,
IF(AND(ISNUMBER(_xlpm.r),_xlpm.r&gt;=0),_xlpm.r,
   IF(AND(ISNUMBER(_xlpm.q),_xlpm.q&gt;0,ISNUMBER(_xlpm.u),_xlpm.u&gt;0,ISNUMBER(_xlpm.d),_xlpm.d&gt;=0,_xlpm.d&lt;1),
      _xlpm.q*_xlpm.u*(1-_xlpm.d),
      ""
   )
)
)</f>
        <v>1260.32</v>
      </c>
      <c r="K219" s="4">
        <f>_xlfn.LET(
_xlpm.c,RawData!K219,
_xlpm.r,RawData!J219,
_xlpm.p,RawData!L219,
IF(AND(ISNUMBER(_xlpm.c),_xlpm.c&gt;=0),_xlpm.c,
   IF(AND(ISNUMBER(_xlpm.r),ISNUMBER(_xlpm.p)),
      _xlpm.r-_xlpm.p,
      ""
   )
)
)</f>
        <v>931.71</v>
      </c>
      <c r="L219" s="4">
        <f>_xlfn.LET(
_xlpm.p,RawData!L219,
_xlpm.r,RawData!J219,
_xlpm.c,RawData!K219,
IF(ISNUMBER(_xlpm.p),_xlpm.p,
IF(AND(ISNUMBER(_xlpm.r),ISNUMBER(_xlpm.c)),
_xlpm.r-_xlpm.c,
""
)
))</f>
        <v>328.61</v>
      </c>
    </row>
    <row r="220" spans="1:12" x14ac:dyDescent="0.35">
      <c r="A220" t="s">
        <v>256</v>
      </c>
      <c r="B220" s="7">
        <v>45778</v>
      </c>
      <c r="C220" t="str">
        <f>IF(RawData!C220="","Unknown",PROPER(TRIM(CLEAN(SUBSTITUTE(RawData!C220,CHAR(160)," ")))))</f>
        <v>South</v>
      </c>
      <c r="D220" t="str">
        <f>IF(RawData!D220="","Unknown",PROPER(TRIM(CLEAN(SUBSTITUTE(RawData!D220,CHAR(160)," ")))))</f>
        <v>Bengaluru</v>
      </c>
      <c r="E220" t="str">
        <f>IF(RawData!E220="","Unknown",PROPER(TRIM(CLEAN(SUBSTITUTE(RawData!E220,CHAR(160)," ")))))</f>
        <v>Bookshelf</v>
      </c>
      <c r="F220" t="str">
        <f>IF(RawData!F220="","Unknown",PROPER(TRIM(CLEAN(SUBSTITUTE(RawData!F220,CHAR(160)," ")))))</f>
        <v>Furniture</v>
      </c>
      <c r="G220">
        <f>_xlfn.LET(
_xlpm.q,RawData!G220,
_xlpm.u,RawData!H220,
_xlpm.d,RawData!I220,
_xlpm.r,RawData!J220,
IF(AND(ISNUMBER(_xlpm.q),_xlpm.q&gt;0),_xlpm.q,
   IF(AND(ISNUMBER(_xlpm.r),ISNUMBER(_xlpm.u),_xlpm.u&gt;0,ISNUMBER(_xlpm.d),_xlpm.d&gt;=0,_xlpm.d&lt;1),
      ROUND(_xlpm.r/(_xlpm.u*(1-_xlpm.d)),0),
      ""
   )
)
)</f>
        <v>8</v>
      </c>
      <c r="H220" s="4">
        <f>_xlfn.LET(
_xlpm.q,RawData!G220,
_xlpm.u,RawData!H220,
_xlpm.d,RawData!I220,
_xlpm.r,RawData!J220,
IF(AND(ISNUMBER(_xlpm.u),_xlpm.u&gt;0),_xlpm.u,
   IF(AND(ISNUMBER(_xlpm.q),_xlpm.q&gt;0,ISNUMBER(_xlpm.r),ISNUMBER(_xlpm.d),_xlpm.d&gt;=0,_xlpm.d&lt;1),
      _xlpm.r/(_xlpm.q*(1-_xlpm.d)),
      ""
   )
)
)</f>
        <v>122.06</v>
      </c>
      <c r="I220" s="5">
        <f>_xlfn.LET(
_xlpm.q,RawData!G220,
_xlpm.u,RawData!H220,
_xlpm.d,RawData!I220,
_xlpm.r,RawData!J220,
IF(AND(ISNUMBER(_xlpm.d),_xlpm.d&gt;=0,_xlpm.d&lt;1),_xlpm.d,
   IF(AND(ISNUMBER(_xlpm.q),_xlpm.q&gt;0,ISNUMBER(_xlpm.u),_xlpm.u&gt;0,ISNUMBER(_xlpm.r),_xlpm.r&gt;=0),
      1-(_xlpm.r/(_xlpm.q*_xlpm.u)),
      ""
   )
)
)</f>
        <v>0.05</v>
      </c>
      <c r="J220" s="4">
        <f>_xlfn.LET(
_xlpm.q,RawData!G220,
_xlpm.u,RawData!H220,
_xlpm.d,RawData!I220,
_xlpm.r,RawData!J220,
IF(AND(ISNUMBER(_xlpm.r),_xlpm.r&gt;=0),_xlpm.r,
   IF(AND(ISNUMBER(_xlpm.q),_xlpm.q&gt;0,ISNUMBER(_xlpm.u),_xlpm.u&gt;0,ISNUMBER(_xlpm.d),_xlpm.d&gt;=0,_xlpm.d&lt;1),
      _xlpm.q*_xlpm.u*(1-_xlpm.d),
      ""
   )
)
)</f>
        <v>927.66</v>
      </c>
      <c r="K220" s="4">
        <f>_xlfn.LET(
_xlpm.c,RawData!K220,
_xlpm.r,RawData!J220,
_xlpm.p,RawData!L220,
IF(AND(ISNUMBER(_xlpm.c),_xlpm.c&gt;=0),_xlpm.c,
   IF(AND(ISNUMBER(_xlpm.r),ISNUMBER(_xlpm.p)),
      _xlpm.r-_xlpm.p,
      ""
   )
)
)</f>
        <v>716.06</v>
      </c>
      <c r="L220" s="4">
        <f>_xlfn.LET(
_xlpm.p,RawData!L220,
_xlpm.r,RawData!J220,
_xlpm.c,RawData!K220,
IF(ISNUMBER(_xlpm.p),_xlpm.p,
IF(AND(ISNUMBER(_xlpm.r),ISNUMBER(_xlpm.c)),
_xlpm.r-_xlpm.c,
""
)
))</f>
        <v>211.6</v>
      </c>
    </row>
    <row r="221" spans="1:12" x14ac:dyDescent="0.35">
      <c r="A221" t="s">
        <v>257</v>
      </c>
      <c r="B221" s="7">
        <v>46014</v>
      </c>
      <c r="C221" t="str">
        <f>IF(RawData!C221="","Unknown",PROPER(TRIM(CLEAN(SUBSTITUTE(RawData!C221,CHAR(160)," ")))))</f>
        <v>West</v>
      </c>
      <c r="D221" t="str">
        <f>IF(RawData!D221="","Unknown",PROPER(TRIM(CLEAN(SUBSTITUTE(RawData!D221,CHAR(160)," ")))))</f>
        <v>Ahmedabad</v>
      </c>
      <c r="E221" t="str">
        <f>IF(RawData!E221="","Unknown",PROPER(TRIM(CLEAN(SUBSTITUTE(RawData!E221,CHAR(160)," ")))))</f>
        <v>Pen Set</v>
      </c>
      <c r="F221" t="str">
        <f>IF(RawData!F221="","Unknown",PROPER(TRIM(CLEAN(SUBSTITUTE(RawData!F221,CHAR(160)," ")))))</f>
        <v>Office Supplies</v>
      </c>
      <c r="G221">
        <f>_xlfn.LET(
_xlpm.q,RawData!G221,
_xlpm.u,RawData!H221,
_xlpm.d,RawData!I221,
_xlpm.r,RawData!J221,
IF(AND(ISNUMBER(_xlpm.q),_xlpm.q&gt;0),_xlpm.q,
   IF(AND(ISNUMBER(_xlpm.r),ISNUMBER(_xlpm.u),_xlpm.u&gt;0,ISNUMBER(_xlpm.d),_xlpm.d&gt;=0,_xlpm.d&lt;1),
      ROUND(_xlpm.r/(_xlpm.u*(1-_xlpm.d)),0),
      ""
   )
)
)</f>
        <v>3</v>
      </c>
      <c r="H221" s="4">
        <f>_xlfn.LET(
_xlpm.q,RawData!G221,
_xlpm.u,RawData!H221,
_xlpm.d,RawData!I221,
_xlpm.r,RawData!J221,
IF(AND(ISNUMBER(_xlpm.u),_xlpm.u&gt;0),_xlpm.u,
   IF(AND(ISNUMBER(_xlpm.q),_xlpm.q&gt;0,ISNUMBER(_xlpm.r),ISNUMBER(_xlpm.d),_xlpm.d&gt;=0,_xlpm.d&lt;1),
      _xlpm.r/(_xlpm.q*(1-_xlpm.d)),
      ""
   )
)
)</f>
        <v>12.74</v>
      </c>
      <c r="I221" s="5">
        <f>_xlfn.LET(
_xlpm.q,RawData!G221,
_xlpm.u,RawData!H221,
_xlpm.d,RawData!I221,
_xlpm.r,RawData!J221,
IF(AND(ISNUMBER(_xlpm.d),_xlpm.d&gt;=0,_xlpm.d&lt;1),_xlpm.d,
   IF(AND(ISNUMBER(_xlpm.q),_xlpm.q&gt;0,ISNUMBER(_xlpm.u),_xlpm.u&gt;0,ISNUMBER(_xlpm.r),_xlpm.r&gt;=0),
      1-(_xlpm.r/(_xlpm.q*_xlpm.u)),
      ""
   )
)
)</f>
        <v>0.1</v>
      </c>
      <c r="J221" s="4">
        <f>_xlfn.LET(
_xlpm.q,RawData!G221,
_xlpm.u,RawData!H221,
_xlpm.d,RawData!I221,
_xlpm.r,RawData!J221,
IF(AND(ISNUMBER(_xlpm.r),_xlpm.r&gt;=0),_xlpm.r,
   IF(AND(ISNUMBER(_xlpm.q),_xlpm.q&gt;0,ISNUMBER(_xlpm.u),_xlpm.u&gt;0,ISNUMBER(_xlpm.d),_xlpm.d&gt;=0,_xlpm.d&lt;1),
      _xlpm.q*_xlpm.u*(1-_xlpm.d),
      ""
   )
)
)</f>
        <v>34.4</v>
      </c>
      <c r="K221" s="4">
        <f>_xlfn.LET(
_xlpm.c,RawData!K221,
_xlpm.r,RawData!J221,
_xlpm.p,RawData!L221,
IF(AND(ISNUMBER(_xlpm.c),_xlpm.c&gt;=0),_xlpm.c,
   IF(AND(ISNUMBER(_xlpm.r),ISNUMBER(_xlpm.p)),
      _xlpm.r-_xlpm.p,
      ""
   )
)
)</f>
        <v>19.68</v>
      </c>
      <c r="L221" s="4">
        <f>_xlfn.LET(
_xlpm.p,RawData!L221,
_xlpm.r,RawData!J221,
_xlpm.c,RawData!K221,
IF(ISNUMBER(_xlpm.p),_xlpm.p,
IF(AND(ISNUMBER(_xlpm.r),ISNUMBER(_xlpm.c)),
_xlpm.r-_xlpm.c,
""
)
))</f>
        <v>14.72</v>
      </c>
    </row>
    <row r="222" spans="1:12" x14ac:dyDescent="0.35">
      <c r="A222" t="s">
        <v>258</v>
      </c>
      <c r="B222" s="7">
        <v>45708</v>
      </c>
      <c r="C222" t="str">
        <f>IF(RawData!C222="","Unknown",PROPER(TRIM(CLEAN(SUBSTITUTE(RawData!C222,CHAR(160)," ")))))</f>
        <v>West</v>
      </c>
      <c r="D222" t="str">
        <f>IF(RawData!D222="","Unknown",PROPER(TRIM(CLEAN(SUBSTITUTE(RawData!D222,CHAR(160)," ")))))</f>
        <v>Mumbai</v>
      </c>
      <c r="E222" t="str">
        <f>IF(RawData!E222="","Unknown",PROPER(TRIM(CLEAN(SUBSTITUTE(RawData!E222,CHAR(160)," ")))))</f>
        <v>Pen Set</v>
      </c>
      <c r="F222" t="str">
        <f>IF(RawData!F222="","Unknown",PROPER(TRIM(CLEAN(SUBSTITUTE(RawData!F222,CHAR(160)," ")))))</f>
        <v>Office Supplies</v>
      </c>
      <c r="G222">
        <f>_xlfn.LET(
_xlpm.q,RawData!G222,
_xlpm.u,RawData!H222,
_xlpm.d,RawData!I222,
_xlpm.r,RawData!J222,
IF(AND(ISNUMBER(_xlpm.q),_xlpm.q&gt;0),_xlpm.q,
   IF(AND(ISNUMBER(_xlpm.r),ISNUMBER(_xlpm.u),_xlpm.u&gt;0,ISNUMBER(_xlpm.d),_xlpm.d&gt;=0,_xlpm.d&lt;1),
      ROUND(_xlpm.r/(_xlpm.u*(1-_xlpm.d)),0),
      ""
   )
)
)</f>
        <v>7</v>
      </c>
      <c r="H222" s="4">
        <f>_xlfn.LET(
_xlpm.q,RawData!G222,
_xlpm.u,RawData!H222,
_xlpm.d,RawData!I222,
_xlpm.r,RawData!J222,
IF(AND(ISNUMBER(_xlpm.u),_xlpm.u&gt;0),_xlpm.u,
   IF(AND(ISNUMBER(_xlpm.q),_xlpm.q&gt;0,ISNUMBER(_xlpm.r),ISNUMBER(_xlpm.d),_xlpm.d&gt;=0,_xlpm.d&lt;1),
      _xlpm.r/(_xlpm.q*(1-_xlpm.d)),
      ""
   )
)
)</f>
        <v>10.51</v>
      </c>
      <c r="I222" s="5">
        <f>_xlfn.LET(
_xlpm.q,RawData!G222,
_xlpm.u,RawData!H222,
_xlpm.d,RawData!I222,
_xlpm.r,RawData!J222,
IF(AND(ISNUMBER(_xlpm.d),_xlpm.d&gt;=0,_xlpm.d&lt;1),_xlpm.d,
   IF(AND(ISNUMBER(_xlpm.q),_xlpm.q&gt;0,ISNUMBER(_xlpm.u),_xlpm.u&gt;0,ISNUMBER(_xlpm.r),_xlpm.r&gt;=0),
      1-(_xlpm.r/(_xlpm.q*_xlpm.u)),
      ""
   )
)
)</f>
        <v>0.05</v>
      </c>
      <c r="J222" s="4">
        <f>_xlfn.LET(
_xlpm.q,RawData!G222,
_xlpm.u,RawData!H222,
_xlpm.d,RawData!I222,
_xlpm.r,RawData!J222,
IF(AND(ISNUMBER(_xlpm.r),_xlpm.r&gt;=0),_xlpm.r,
   IF(AND(ISNUMBER(_xlpm.q),_xlpm.q&gt;0,ISNUMBER(_xlpm.u),_xlpm.u&gt;0,ISNUMBER(_xlpm.d),_xlpm.d&gt;=0,_xlpm.d&lt;1),
      _xlpm.q*_xlpm.u*(1-_xlpm.d),
      ""
   )
)
)</f>
        <v>69.89</v>
      </c>
      <c r="K222" s="4">
        <f>_xlfn.LET(
_xlpm.c,RawData!K222,
_xlpm.r,RawData!J222,
_xlpm.p,RawData!L222,
IF(AND(ISNUMBER(_xlpm.c),_xlpm.c&gt;=0),_xlpm.c,
   IF(AND(ISNUMBER(_xlpm.r),ISNUMBER(_xlpm.p)),
      _xlpm.r-_xlpm.p,
      ""
   )
)
)</f>
        <v>57.06</v>
      </c>
      <c r="L222" s="4">
        <f>_xlfn.LET(
_xlpm.p,RawData!L222,
_xlpm.r,RawData!J222,
_xlpm.c,RawData!K222,
IF(ISNUMBER(_xlpm.p),_xlpm.p,
IF(AND(ISNUMBER(_xlpm.r),ISNUMBER(_xlpm.c)),
_xlpm.r-_xlpm.c,
""
)
))</f>
        <v>12.83</v>
      </c>
    </row>
    <row r="223" spans="1:12" x14ac:dyDescent="0.35">
      <c r="A223" t="s">
        <v>259</v>
      </c>
      <c r="B223" s="7">
        <v>46011</v>
      </c>
      <c r="C223" t="str">
        <f>IF(RawData!C223="","Unknown",PROPER(TRIM(CLEAN(SUBSTITUTE(RawData!C223,CHAR(160)," ")))))</f>
        <v>East</v>
      </c>
      <c r="D223" t="str">
        <f>IF(RawData!D223="","Unknown",PROPER(TRIM(CLEAN(SUBSTITUTE(RawData!D223,CHAR(160)," ")))))</f>
        <v>Kolkata</v>
      </c>
      <c r="E223" t="str">
        <f>IF(RawData!E223="","Unknown",PROPER(TRIM(CLEAN(SUBSTITUTE(RawData!E223,CHAR(160)," ")))))</f>
        <v>Monitor</v>
      </c>
      <c r="F223" t="str">
        <f>IF(RawData!F223="","Unknown",PROPER(TRIM(CLEAN(SUBSTITUTE(RawData!F223,CHAR(160)," ")))))</f>
        <v>Electronics</v>
      </c>
      <c r="G223">
        <f>_xlfn.LET(
_xlpm.q,RawData!G223,
_xlpm.u,RawData!H223,
_xlpm.d,RawData!I223,
_xlpm.r,RawData!J223,
IF(AND(ISNUMBER(_xlpm.q),_xlpm.q&gt;0),_xlpm.q,
   IF(AND(ISNUMBER(_xlpm.r),ISNUMBER(_xlpm.u),_xlpm.u&gt;0,ISNUMBER(_xlpm.d),_xlpm.d&gt;=0,_xlpm.d&lt;1),
      ROUND(_xlpm.r/(_xlpm.u*(1-_xlpm.d)),0),
      ""
   )
)
)</f>
        <v>8</v>
      </c>
      <c r="H223" s="4">
        <f>_xlfn.LET(
_xlpm.q,RawData!G223,
_xlpm.u,RawData!H223,
_xlpm.d,RawData!I223,
_xlpm.r,RawData!J223,
IF(AND(ISNUMBER(_xlpm.u),_xlpm.u&gt;0),_xlpm.u,
   IF(AND(ISNUMBER(_xlpm.q),_xlpm.q&gt;0,ISNUMBER(_xlpm.r),ISNUMBER(_xlpm.d),_xlpm.d&gt;=0,_xlpm.d&lt;1),
      _xlpm.r/(_xlpm.q*(1-_xlpm.d)),
      ""
   )
)
)</f>
        <v>211.7</v>
      </c>
      <c r="I223" s="5">
        <f>_xlfn.LET(
_xlpm.q,RawData!G223,
_xlpm.u,RawData!H223,
_xlpm.d,RawData!I223,
_xlpm.r,RawData!J223,
IF(AND(ISNUMBER(_xlpm.d),_xlpm.d&gt;=0,_xlpm.d&lt;1),_xlpm.d,
   IF(AND(ISNUMBER(_xlpm.q),_xlpm.q&gt;0,ISNUMBER(_xlpm.u),_xlpm.u&gt;0,ISNUMBER(_xlpm.r),_xlpm.r&gt;=0),
      1-(_xlpm.r/(_xlpm.q*_xlpm.u)),
      ""
   )
)
)</f>
        <v>0.1</v>
      </c>
      <c r="J223" s="4">
        <f>_xlfn.LET(
_xlpm.q,RawData!G223,
_xlpm.u,RawData!H223,
_xlpm.d,RawData!I223,
_xlpm.r,RawData!J223,
IF(AND(ISNUMBER(_xlpm.r),_xlpm.r&gt;=0),_xlpm.r,
   IF(AND(ISNUMBER(_xlpm.q),_xlpm.q&gt;0,ISNUMBER(_xlpm.u),_xlpm.u&gt;0,ISNUMBER(_xlpm.d),_xlpm.d&gt;=0,_xlpm.d&lt;1),
      _xlpm.q*_xlpm.u*(1-_xlpm.d),
      ""
   )
)
)</f>
        <v>1524.24</v>
      </c>
      <c r="K223" s="4">
        <f>_xlfn.LET(
_xlpm.c,RawData!K223,
_xlpm.r,RawData!J223,
_xlpm.p,RawData!L223,
IF(AND(ISNUMBER(_xlpm.c),_xlpm.c&gt;=0),_xlpm.c,
   IF(AND(ISNUMBER(_xlpm.r),ISNUMBER(_xlpm.p)),
      _xlpm.r-_xlpm.p,
      ""
   )
)
)</f>
        <v>990.87</v>
      </c>
      <c r="L223" s="4">
        <f>_xlfn.LET(
_xlpm.p,RawData!L223,
_xlpm.r,RawData!J223,
_xlpm.c,RawData!K223,
IF(ISNUMBER(_xlpm.p),_xlpm.p,
IF(AND(ISNUMBER(_xlpm.r),ISNUMBER(_xlpm.c)),
_xlpm.r-_xlpm.c,
""
)
))</f>
        <v>533.37</v>
      </c>
    </row>
    <row r="224" spans="1:12" x14ac:dyDescent="0.35">
      <c r="A224" t="s">
        <v>260</v>
      </c>
      <c r="B224" s="7">
        <v>45843</v>
      </c>
      <c r="C224" t="str">
        <f>IF(RawData!C224="","Unknown",PROPER(TRIM(CLEAN(SUBSTITUTE(RawData!C224,CHAR(160)," ")))))</f>
        <v>North</v>
      </c>
      <c r="D224" t="str">
        <f>IF(RawData!D224="","Unknown",PROPER(TRIM(CLEAN(SUBSTITUTE(RawData!D224,CHAR(160)," ")))))</f>
        <v>Lucknow</v>
      </c>
      <c r="E224" t="str">
        <f>IF(RawData!E224="","Unknown",PROPER(TRIM(CLEAN(SUBSTITUTE(RawData!E224,CHAR(160)," ")))))</f>
        <v>Backpack</v>
      </c>
      <c r="F224" t="str">
        <f>IF(RawData!F224="","Unknown",PROPER(TRIM(CLEAN(SUBSTITUTE(RawData!F224,CHAR(160)," ")))))</f>
        <v>Accessories</v>
      </c>
      <c r="G224">
        <f>_xlfn.LET(
_xlpm.q,RawData!G224,
_xlpm.u,RawData!H224,
_xlpm.d,RawData!I224,
_xlpm.r,RawData!J224,
IF(AND(ISNUMBER(_xlpm.q),_xlpm.q&gt;0),_xlpm.q,
   IF(AND(ISNUMBER(_xlpm.r),ISNUMBER(_xlpm.u),_xlpm.u&gt;0,ISNUMBER(_xlpm.d),_xlpm.d&gt;=0,_xlpm.d&lt;1),
      ROUND(_xlpm.r/(_xlpm.u*(1-_xlpm.d)),0),
      ""
   )
)
)</f>
        <v>6</v>
      </c>
      <c r="H224" s="4">
        <f>_xlfn.LET(
_xlpm.q,RawData!G224,
_xlpm.u,RawData!H224,
_xlpm.d,RawData!I224,
_xlpm.r,RawData!J224,
IF(AND(ISNUMBER(_xlpm.u),_xlpm.u&gt;0),_xlpm.u,
   IF(AND(ISNUMBER(_xlpm.q),_xlpm.q&gt;0,ISNUMBER(_xlpm.r),ISNUMBER(_xlpm.d),_xlpm.d&gt;=0,_xlpm.d&lt;1),
      _xlpm.r/(_xlpm.q*(1-_xlpm.d)),
      ""
   )
)
)</f>
        <v>49.22</v>
      </c>
      <c r="I224" s="5">
        <f>_xlfn.LET(
_xlpm.q,RawData!G224,
_xlpm.u,RawData!H224,
_xlpm.d,RawData!I224,
_xlpm.r,RawData!J224,
IF(AND(ISNUMBER(_xlpm.d),_xlpm.d&gt;=0,_xlpm.d&lt;1),_xlpm.d,
   IF(AND(ISNUMBER(_xlpm.q),_xlpm.q&gt;0,ISNUMBER(_xlpm.u),_xlpm.u&gt;0,ISNUMBER(_xlpm.r),_xlpm.r&gt;=0),
      1-(_xlpm.r/(_xlpm.q*_xlpm.u)),
      ""
   )
)
)</f>
        <v>0.15</v>
      </c>
      <c r="J224" s="4">
        <f>_xlfn.LET(
_xlpm.q,RawData!G224,
_xlpm.u,RawData!H224,
_xlpm.d,RawData!I224,
_xlpm.r,RawData!J224,
IF(AND(ISNUMBER(_xlpm.r),_xlpm.r&gt;=0),_xlpm.r,
   IF(AND(ISNUMBER(_xlpm.q),_xlpm.q&gt;0,ISNUMBER(_xlpm.u),_xlpm.u&gt;0,ISNUMBER(_xlpm.d),_xlpm.d&gt;=0,_xlpm.d&lt;1),
      _xlpm.q*_xlpm.u*(1-_xlpm.d),
      ""
   )
)
)</f>
        <v>251.02</v>
      </c>
      <c r="K224" s="4">
        <f>_xlfn.LET(
_xlpm.c,RawData!K224,
_xlpm.r,RawData!J224,
_xlpm.p,RawData!L224,
IF(AND(ISNUMBER(_xlpm.c),_xlpm.c&gt;=0),_xlpm.c,
   IF(AND(ISNUMBER(_xlpm.r),ISNUMBER(_xlpm.p)),
      _xlpm.r-_xlpm.p,
      ""
   )
)
)</f>
        <v>202.26</v>
      </c>
      <c r="L224" s="4">
        <f>_xlfn.LET(
_xlpm.p,RawData!L224,
_xlpm.r,RawData!J224,
_xlpm.c,RawData!K224,
IF(ISNUMBER(_xlpm.p),_xlpm.p,
IF(AND(ISNUMBER(_xlpm.r),ISNUMBER(_xlpm.c)),
_xlpm.r-_xlpm.c,
""
)
))</f>
        <v>48.76</v>
      </c>
    </row>
    <row r="225" spans="1:12" x14ac:dyDescent="0.35">
      <c r="A225" t="s">
        <v>261</v>
      </c>
      <c r="B225" s="7">
        <v>45841</v>
      </c>
      <c r="C225" t="str">
        <f>IF(RawData!C225="","Unknown",PROPER(TRIM(CLEAN(SUBSTITUTE(RawData!C225,CHAR(160)," ")))))</f>
        <v>North</v>
      </c>
      <c r="D225" t="str">
        <f>IF(RawData!D225="","Unknown",PROPER(TRIM(CLEAN(SUBSTITUTE(RawData!D225,CHAR(160)," ")))))</f>
        <v>Delhi</v>
      </c>
      <c r="E225" t="str">
        <f>IF(RawData!E225="","Unknown",PROPER(TRIM(CLEAN(SUBSTITUTE(RawData!E225,CHAR(160)," ")))))</f>
        <v>Bookshelf</v>
      </c>
      <c r="F225" t="str">
        <f>IF(RawData!F225="","Unknown",PROPER(TRIM(CLEAN(SUBSTITUTE(RawData!F225,CHAR(160)," ")))))</f>
        <v>Furniture</v>
      </c>
      <c r="G225">
        <f>_xlfn.LET(
_xlpm.q,RawData!G225,
_xlpm.u,RawData!H225,
_xlpm.d,RawData!I225,
_xlpm.r,RawData!J225,
IF(AND(ISNUMBER(_xlpm.q),_xlpm.q&gt;0),_xlpm.q,
   IF(AND(ISNUMBER(_xlpm.r),ISNUMBER(_xlpm.u),_xlpm.u&gt;0,ISNUMBER(_xlpm.d),_xlpm.d&gt;=0,_xlpm.d&lt;1),
      ROUND(_xlpm.r/(_xlpm.u*(1-_xlpm.d)),0),
      ""
   )
)
)</f>
        <v>5</v>
      </c>
      <c r="H225" s="4">
        <f>_xlfn.LET(
_xlpm.q,RawData!G225,
_xlpm.u,RawData!H225,
_xlpm.d,RawData!I225,
_xlpm.r,RawData!J225,
IF(AND(ISNUMBER(_xlpm.u),_xlpm.u&gt;0),_xlpm.u,
   IF(AND(ISNUMBER(_xlpm.q),_xlpm.q&gt;0,ISNUMBER(_xlpm.r),ISNUMBER(_xlpm.d),_xlpm.d&gt;=0,_xlpm.d&lt;1),
      _xlpm.r/(_xlpm.q*(1-_xlpm.d)),
      ""
   )
)
)</f>
        <v>160.41</v>
      </c>
      <c r="I225" s="5">
        <f>_xlfn.LET(
_xlpm.q,RawData!G225,
_xlpm.u,RawData!H225,
_xlpm.d,RawData!I225,
_xlpm.r,RawData!J225,
IF(AND(ISNUMBER(_xlpm.d),_xlpm.d&gt;=0,_xlpm.d&lt;1),_xlpm.d,
   IF(AND(ISNUMBER(_xlpm.q),_xlpm.q&gt;0,ISNUMBER(_xlpm.u),_xlpm.u&gt;0,ISNUMBER(_xlpm.r),_xlpm.r&gt;=0),
      1-(_xlpm.r/(_xlpm.q*_xlpm.u)),
      ""
   )
)
)</f>
        <v>0.02</v>
      </c>
      <c r="J225" s="4">
        <f>_xlfn.LET(
_xlpm.q,RawData!G225,
_xlpm.u,RawData!H225,
_xlpm.d,RawData!I225,
_xlpm.r,RawData!J225,
IF(AND(ISNUMBER(_xlpm.r),_xlpm.r&gt;=0),_xlpm.r,
   IF(AND(ISNUMBER(_xlpm.q),_xlpm.q&gt;0,ISNUMBER(_xlpm.u),_xlpm.u&gt;0,ISNUMBER(_xlpm.d),_xlpm.d&gt;=0,_xlpm.d&lt;1),
      _xlpm.q*_xlpm.u*(1-_xlpm.d),
      ""
   )
)
)</f>
        <v>786.01</v>
      </c>
      <c r="K225" s="4">
        <f>_xlfn.LET(
_xlpm.c,RawData!K225,
_xlpm.r,RawData!J225,
_xlpm.p,RawData!L225,
IF(AND(ISNUMBER(_xlpm.c),_xlpm.c&gt;=0),_xlpm.c,
   IF(AND(ISNUMBER(_xlpm.r),ISNUMBER(_xlpm.p)),
      _xlpm.r-_xlpm.p,
      ""
   )
)
)</f>
        <v>592.19000000000005</v>
      </c>
      <c r="L225" s="4">
        <f>_xlfn.LET(
_xlpm.p,RawData!L225,
_xlpm.r,RawData!J225,
_xlpm.c,RawData!K225,
IF(ISNUMBER(_xlpm.p),_xlpm.p,
IF(AND(ISNUMBER(_xlpm.r),ISNUMBER(_xlpm.c)),
_xlpm.r-_xlpm.c,
""
)
))</f>
        <v>193.82</v>
      </c>
    </row>
    <row r="226" spans="1:12" x14ac:dyDescent="0.35">
      <c r="A226" t="s">
        <v>262</v>
      </c>
      <c r="B226" s="7">
        <v>45890</v>
      </c>
      <c r="C226" t="str">
        <f>IF(RawData!C226="","Unknown",PROPER(TRIM(CLEAN(SUBSTITUTE(RawData!C226,CHAR(160)," ")))))</f>
        <v>North</v>
      </c>
      <c r="D226" t="str">
        <f>IF(RawData!D226="","Unknown",PROPER(TRIM(CLEAN(SUBSTITUTE(RawData!D226,CHAR(160)," ")))))</f>
        <v>Lucknow</v>
      </c>
      <c r="E226" t="str">
        <f>IF(RawData!E226="","Unknown",PROPER(TRIM(CLEAN(SUBSTITUTE(RawData!E226,CHAR(160)," ")))))</f>
        <v>Backpack</v>
      </c>
      <c r="F226" t="str">
        <f>IF(RawData!F226="","Unknown",PROPER(TRIM(CLEAN(SUBSTITUTE(RawData!F226,CHAR(160)," ")))))</f>
        <v>Accessories</v>
      </c>
      <c r="G226">
        <f>_xlfn.LET(
_xlpm.q,RawData!G226,
_xlpm.u,RawData!H226,
_xlpm.d,RawData!I226,
_xlpm.r,RawData!J226,
IF(AND(ISNUMBER(_xlpm.q),_xlpm.q&gt;0),_xlpm.q,
   IF(AND(ISNUMBER(_xlpm.r),ISNUMBER(_xlpm.u),_xlpm.u&gt;0,ISNUMBER(_xlpm.d),_xlpm.d&gt;=0,_xlpm.d&lt;1),
      ROUND(_xlpm.r/(_xlpm.u*(1-_xlpm.d)),0),
      ""
   )
)
)</f>
        <v>4</v>
      </c>
      <c r="H226" s="4">
        <f>_xlfn.LET(
_xlpm.q,RawData!G226,
_xlpm.u,RawData!H226,
_xlpm.d,RawData!I226,
_xlpm.r,RawData!J226,
IF(AND(ISNUMBER(_xlpm.u),_xlpm.u&gt;0),_xlpm.u,
   IF(AND(ISNUMBER(_xlpm.q),_xlpm.q&gt;0,ISNUMBER(_xlpm.r),ISNUMBER(_xlpm.d),_xlpm.d&gt;=0,_xlpm.d&lt;1),
      _xlpm.r/(_xlpm.q*(1-_xlpm.d)),
      ""
   )
)
)</f>
        <v>43.33</v>
      </c>
      <c r="I226" s="5">
        <f>_xlfn.LET(
_xlpm.q,RawData!G226,
_xlpm.u,RawData!H226,
_xlpm.d,RawData!I226,
_xlpm.r,RawData!J226,
IF(AND(ISNUMBER(_xlpm.d),_xlpm.d&gt;=0,_xlpm.d&lt;1),_xlpm.d,
   IF(AND(ISNUMBER(_xlpm.q),_xlpm.q&gt;0,ISNUMBER(_xlpm.u),_xlpm.u&gt;0,ISNUMBER(_xlpm.r),_xlpm.r&gt;=0),
      1-(_xlpm.r/(_xlpm.q*_xlpm.u)),
      ""
   )
)
)</f>
        <v>0.2</v>
      </c>
      <c r="J226" s="4">
        <f>_xlfn.LET(
_xlpm.q,RawData!G226,
_xlpm.u,RawData!H226,
_xlpm.d,RawData!I226,
_xlpm.r,RawData!J226,
IF(AND(ISNUMBER(_xlpm.r),_xlpm.r&gt;=0),_xlpm.r,
   IF(AND(ISNUMBER(_xlpm.q),_xlpm.q&gt;0,ISNUMBER(_xlpm.u),_xlpm.u&gt;0,ISNUMBER(_xlpm.d),_xlpm.d&gt;=0,_xlpm.d&lt;1),
      _xlpm.q*_xlpm.u*(1-_xlpm.d),
      ""
   )
)
)</f>
        <v>138.66</v>
      </c>
      <c r="K226" s="4">
        <f>_xlfn.LET(
_xlpm.c,RawData!K226,
_xlpm.r,RawData!J226,
_xlpm.p,RawData!L226,
IF(AND(ISNUMBER(_xlpm.c),_xlpm.c&gt;=0),_xlpm.c,
   IF(AND(ISNUMBER(_xlpm.r),ISNUMBER(_xlpm.p)),
      _xlpm.r-_xlpm.p,
      ""
   )
)
)</f>
        <v>79.39</v>
      </c>
      <c r="L226" s="4">
        <f>_xlfn.LET(
_xlpm.p,RawData!L226,
_xlpm.r,RawData!J226,
_xlpm.c,RawData!K226,
IF(ISNUMBER(_xlpm.p),_xlpm.p,
IF(AND(ISNUMBER(_xlpm.r),ISNUMBER(_xlpm.c)),
_xlpm.r-_xlpm.c,
""
)
))</f>
        <v>59.27</v>
      </c>
    </row>
    <row r="227" spans="1:12" x14ac:dyDescent="0.35">
      <c r="A227" t="s">
        <v>263</v>
      </c>
      <c r="B227" s="7">
        <v>45963</v>
      </c>
      <c r="C227" t="str">
        <f>IF(RawData!C227="","Unknown",PROPER(TRIM(CLEAN(SUBSTITUTE(RawData!C227,CHAR(160)," ")))))</f>
        <v>North</v>
      </c>
      <c r="D227" t="str">
        <f>IF(RawData!D227="","Unknown",PROPER(TRIM(CLEAN(SUBSTITUTE(RawData!D227,CHAR(160)," ")))))</f>
        <v>Delhi</v>
      </c>
      <c r="E227" t="str">
        <f>IF(RawData!E227="","Unknown",PROPER(TRIM(CLEAN(SUBSTITUTE(RawData!E227,CHAR(160)," ")))))</f>
        <v>Laptop</v>
      </c>
      <c r="F227" t="str">
        <f>IF(RawData!F227="","Unknown",PROPER(TRIM(CLEAN(SUBSTITUTE(RawData!F227,CHAR(160)," ")))))</f>
        <v>Electronics</v>
      </c>
      <c r="G227">
        <f>_xlfn.LET(
_xlpm.q,RawData!G227,
_xlpm.u,RawData!H227,
_xlpm.d,RawData!I227,
_xlpm.r,RawData!J227,
IF(AND(ISNUMBER(_xlpm.q),_xlpm.q&gt;0),_xlpm.q,
   IF(AND(ISNUMBER(_xlpm.r),ISNUMBER(_xlpm.u),_xlpm.u&gt;0,ISNUMBER(_xlpm.d),_xlpm.d&gt;=0,_xlpm.d&lt;1),
      ROUND(_xlpm.r/(_xlpm.u*(1-_xlpm.d)),0),
      ""
   )
)
)</f>
        <v>6</v>
      </c>
      <c r="H227" s="4">
        <f>_xlfn.LET(
_xlpm.q,RawData!G227,
_xlpm.u,RawData!H227,
_xlpm.d,RawData!I227,
_xlpm.r,RawData!J227,
IF(AND(ISNUMBER(_xlpm.u),_xlpm.u&gt;0),_xlpm.u,
   IF(AND(ISNUMBER(_xlpm.q),_xlpm.q&gt;0,ISNUMBER(_xlpm.r),ISNUMBER(_xlpm.d),_xlpm.d&gt;=0,_xlpm.d&lt;1),
      _xlpm.r/(_xlpm.q*(1-_xlpm.d)),
      ""
   )
)
)</f>
        <v>920.67</v>
      </c>
      <c r="I227" s="5">
        <f>_xlfn.LET(
_xlpm.q,RawData!G227,
_xlpm.u,RawData!H227,
_xlpm.d,RawData!I227,
_xlpm.r,RawData!J227,
IF(AND(ISNUMBER(_xlpm.d),_xlpm.d&gt;=0,_xlpm.d&lt;1),_xlpm.d,
   IF(AND(ISNUMBER(_xlpm.q),_xlpm.q&gt;0,ISNUMBER(_xlpm.u),_xlpm.u&gt;0,ISNUMBER(_xlpm.r),_xlpm.r&gt;=0),
      1-(_xlpm.r/(_xlpm.q*_xlpm.u)),
      ""
   )
)
)</f>
        <v>0.02</v>
      </c>
      <c r="J227" s="4">
        <f>_xlfn.LET(
_xlpm.q,RawData!G227,
_xlpm.u,RawData!H227,
_xlpm.d,RawData!I227,
_xlpm.r,RawData!J227,
IF(AND(ISNUMBER(_xlpm.r),_xlpm.r&gt;=0),_xlpm.r,
   IF(AND(ISNUMBER(_xlpm.q),_xlpm.q&gt;0,ISNUMBER(_xlpm.u),_xlpm.u&gt;0,ISNUMBER(_xlpm.d),_xlpm.d&gt;=0,_xlpm.d&lt;1),
      _xlpm.q*_xlpm.u*(1-_xlpm.d),
      ""
   )
)
)</f>
        <v>5413.54</v>
      </c>
      <c r="K227" s="4">
        <f>_xlfn.LET(
_xlpm.c,RawData!K227,
_xlpm.r,RawData!J227,
_xlpm.p,RawData!L227,
IF(AND(ISNUMBER(_xlpm.c),_xlpm.c&gt;=0),_xlpm.c,
   IF(AND(ISNUMBER(_xlpm.r),ISNUMBER(_xlpm.p)),
      _xlpm.r-_xlpm.p,
      ""
   )
)
)</f>
        <v>3793.64</v>
      </c>
      <c r="L227" s="4">
        <f>_xlfn.LET(
_xlpm.p,RawData!L227,
_xlpm.r,RawData!J227,
_xlpm.c,RawData!K227,
IF(ISNUMBER(_xlpm.p),_xlpm.p,
IF(AND(ISNUMBER(_xlpm.r),ISNUMBER(_xlpm.c)),
_xlpm.r-_xlpm.c,
""
)
))</f>
        <v>1619.9</v>
      </c>
    </row>
    <row r="228" spans="1:12" x14ac:dyDescent="0.35">
      <c r="A228" t="s">
        <v>264</v>
      </c>
      <c r="B228" s="7">
        <v>45947</v>
      </c>
      <c r="C228" t="str">
        <f>IF(RawData!C228="","Unknown",PROPER(TRIM(CLEAN(SUBSTITUTE(RawData!C228,CHAR(160)," ")))))</f>
        <v>South</v>
      </c>
      <c r="D228" t="str">
        <f>IF(RawData!D228="","Unknown",PROPER(TRIM(CLEAN(SUBSTITUTE(RawData!D228,CHAR(160)," ")))))</f>
        <v>Bengaluru</v>
      </c>
      <c r="E228" t="str">
        <f>IF(RawData!E228="","Unknown",PROPER(TRIM(CLEAN(SUBSTITUTE(RawData!E228,CHAR(160)," ")))))</f>
        <v>Smartphone</v>
      </c>
      <c r="F228" t="str">
        <f>IF(RawData!F228="","Unknown",PROPER(TRIM(CLEAN(SUBSTITUTE(RawData!F228,CHAR(160)," ")))))</f>
        <v>Electronics</v>
      </c>
      <c r="G228">
        <f>_xlfn.LET(
_xlpm.q,RawData!G228,
_xlpm.u,RawData!H228,
_xlpm.d,RawData!I228,
_xlpm.r,RawData!J228,
IF(AND(ISNUMBER(_xlpm.q),_xlpm.q&gt;0),_xlpm.q,
   IF(AND(ISNUMBER(_xlpm.r),ISNUMBER(_xlpm.u),_xlpm.u&gt;0,ISNUMBER(_xlpm.d),_xlpm.d&gt;=0,_xlpm.d&lt;1),
      ROUND(_xlpm.r/(_xlpm.u*(1-_xlpm.d)),0),
      ""
   )
)
)</f>
        <v>9</v>
      </c>
      <c r="H228" s="4">
        <f>_xlfn.LET(
_xlpm.q,RawData!G228,
_xlpm.u,RawData!H228,
_xlpm.d,RawData!I228,
_xlpm.r,RawData!J228,
IF(AND(ISNUMBER(_xlpm.u),_xlpm.u&gt;0),_xlpm.u,
   IF(AND(ISNUMBER(_xlpm.q),_xlpm.q&gt;0,ISNUMBER(_xlpm.r),ISNUMBER(_xlpm.d),_xlpm.d&gt;=0,_xlpm.d&lt;1),
      _xlpm.r/(_xlpm.q*(1-_xlpm.d)),
      ""
   )
)
)</f>
        <v>537.5</v>
      </c>
      <c r="I228" s="5">
        <f>_xlfn.LET(
_xlpm.q,RawData!G228,
_xlpm.u,RawData!H228,
_xlpm.d,RawData!I228,
_xlpm.r,RawData!J228,
IF(AND(ISNUMBER(_xlpm.d),_xlpm.d&gt;=0,_xlpm.d&lt;1),_xlpm.d,
   IF(AND(ISNUMBER(_xlpm.q),_xlpm.q&gt;0,ISNUMBER(_xlpm.u),_xlpm.u&gt;0,ISNUMBER(_xlpm.r),_xlpm.r&gt;=0),
      1-(_xlpm.r/(_xlpm.q*_xlpm.u)),
      ""
   )
)
)</f>
        <v>0.02</v>
      </c>
      <c r="J228" s="4">
        <f>_xlfn.LET(
_xlpm.q,RawData!G228,
_xlpm.u,RawData!H228,
_xlpm.d,RawData!I228,
_xlpm.r,RawData!J228,
IF(AND(ISNUMBER(_xlpm.r),_xlpm.r&gt;=0),_xlpm.r,
   IF(AND(ISNUMBER(_xlpm.q),_xlpm.q&gt;0,ISNUMBER(_xlpm.u),_xlpm.u&gt;0,ISNUMBER(_xlpm.d),_xlpm.d&gt;=0,_xlpm.d&lt;1),
      _xlpm.q*_xlpm.u*(1-_xlpm.d),
      ""
   )
)
)</f>
        <v>4740.75</v>
      </c>
      <c r="K228" s="4">
        <f>_xlfn.LET(
_xlpm.c,RawData!K228,
_xlpm.r,RawData!J228,
_xlpm.p,RawData!L228,
IF(AND(ISNUMBER(_xlpm.c),_xlpm.c&gt;=0),_xlpm.c,
   IF(AND(ISNUMBER(_xlpm.r),ISNUMBER(_xlpm.p)),
      _xlpm.r-_xlpm.p,
      ""
   )
)
)</f>
        <v>3767.55</v>
      </c>
      <c r="L228" s="4">
        <f>_xlfn.LET(
_xlpm.p,RawData!L228,
_xlpm.r,RawData!J228,
_xlpm.c,RawData!K228,
IF(ISNUMBER(_xlpm.p),_xlpm.p,
IF(AND(ISNUMBER(_xlpm.r),ISNUMBER(_xlpm.c)),
_xlpm.r-_xlpm.c,
""
)
))</f>
        <v>973.2</v>
      </c>
    </row>
    <row r="229" spans="1:12" x14ac:dyDescent="0.35">
      <c r="A229" t="s">
        <v>265</v>
      </c>
      <c r="B229" s="7">
        <v>45768</v>
      </c>
      <c r="C229" t="str">
        <f>IF(RawData!C229="","Unknown",PROPER(TRIM(CLEAN(SUBSTITUTE(RawData!C229,CHAR(160)," ")))))</f>
        <v>South</v>
      </c>
      <c r="D229" t="str">
        <f>IF(RawData!D229="","Unknown",PROPER(TRIM(CLEAN(SUBSTITUTE(RawData!D229,CHAR(160)," ")))))</f>
        <v>Hyderabad</v>
      </c>
      <c r="E229" t="str">
        <f>IF(RawData!E229="","Unknown",PROPER(TRIM(CLEAN(SUBSTITUTE(RawData!E229,CHAR(160)," ")))))</f>
        <v>Desk</v>
      </c>
      <c r="F229" t="str">
        <f>IF(RawData!F229="","Unknown",PROPER(TRIM(CLEAN(SUBSTITUTE(RawData!F229,CHAR(160)," ")))))</f>
        <v>Furniture</v>
      </c>
      <c r="G229">
        <f>_xlfn.LET(
_xlpm.q,RawData!G229,
_xlpm.u,RawData!H229,
_xlpm.d,RawData!I229,
_xlpm.r,RawData!J229,
IF(AND(ISNUMBER(_xlpm.q),_xlpm.q&gt;0),_xlpm.q,
   IF(AND(ISNUMBER(_xlpm.r),ISNUMBER(_xlpm.u),_xlpm.u&gt;0,ISNUMBER(_xlpm.d),_xlpm.d&gt;=0,_xlpm.d&lt;1),
      ROUND(_xlpm.r/(_xlpm.u*(1-_xlpm.d)),0),
      ""
   )
)
)</f>
        <v>3</v>
      </c>
      <c r="H229" s="4">
        <f>_xlfn.LET(
_xlpm.q,RawData!G229,
_xlpm.u,RawData!H229,
_xlpm.d,RawData!I229,
_xlpm.r,RawData!J229,
IF(AND(ISNUMBER(_xlpm.u),_xlpm.u&gt;0),_xlpm.u,
   IF(AND(ISNUMBER(_xlpm.q),_xlpm.q&gt;0,ISNUMBER(_xlpm.r),ISNUMBER(_xlpm.d),_xlpm.d&gt;=0,_xlpm.d&lt;1),
      _xlpm.r/(_xlpm.q*(1-_xlpm.d)),
      ""
   )
)
)</f>
        <v>220.84</v>
      </c>
      <c r="I229" s="5">
        <f>_xlfn.LET(
_xlpm.q,RawData!G229,
_xlpm.u,RawData!H229,
_xlpm.d,RawData!I229,
_xlpm.r,RawData!J229,
IF(AND(ISNUMBER(_xlpm.d),_xlpm.d&gt;=0,_xlpm.d&lt;1),_xlpm.d,
   IF(AND(ISNUMBER(_xlpm.q),_xlpm.q&gt;0,ISNUMBER(_xlpm.u),_xlpm.u&gt;0,ISNUMBER(_xlpm.r),_xlpm.r&gt;=0),
      1-(_xlpm.r/(_xlpm.q*_xlpm.u)),
      ""
   )
)
)</f>
        <v>0.15</v>
      </c>
      <c r="J229" s="4">
        <f>_xlfn.LET(
_xlpm.q,RawData!G229,
_xlpm.u,RawData!H229,
_xlpm.d,RawData!I229,
_xlpm.r,RawData!J229,
IF(AND(ISNUMBER(_xlpm.r),_xlpm.r&gt;=0),_xlpm.r,
   IF(AND(ISNUMBER(_xlpm.q),_xlpm.q&gt;0,ISNUMBER(_xlpm.u),_xlpm.u&gt;0,ISNUMBER(_xlpm.d),_xlpm.d&gt;=0,_xlpm.d&lt;1),
      _xlpm.q*_xlpm.u*(1-_xlpm.d),
      ""
   )
)
)</f>
        <v>563.14</v>
      </c>
      <c r="K229" s="4">
        <f>_xlfn.LET(
_xlpm.c,RawData!K229,
_xlpm.r,RawData!J229,
_xlpm.p,RawData!L229,
IF(AND(ISNUMBER(_xlpm.c),_xlpm.c&gt;=0),_xlpm.c,
   IF(AND(ISNUMBER(_xlpm.r),ISNUMBER(_xlpm.p)),
      _xlpm.r-_xlpm.p,
      ""
   )
)
)</f>
        <v>384.63</v>
      </c>
      <c r="L229" s="4">
        <f>_xlfn.LET(
_xlpm.p,RawData!L229,
_xlpm.r,RawData!J229,
_xlpm.c,RawData!K229,
IF(ISNUMBER(_xlpm.p),_xlpm.p,
IF(AND(ISNUMBER(_xlpm.r),ISNUMBER(_xlpm.c)),
_xlpm.r-_xlpm.c,
""
)
))</f>
        <v>178.51</v>
      </c>
    </row>
    <row r="230" spans="1:12" x14ac:dyDescent="0.35">
      <c r="A230" t="s">
        <v>266</v>
      </c>
      <c r="B230" s="7">
        <v>45799</v>
      </c>
      <c r="C230" t="str">
        <f>IF(RawData!C230="","Unknown",PROPER(TRIM(CLEAN(SUBSTITUTE(RawData!C230,CHAR(160)," ")))))</f>
        <v>South</v>
      </c>
      <c r="D230" t="str">
        <f>IF(RawData!D230="","Unknown",PROPER(TRIM(CLEAN(SUBSTITUTE(RawData!D230,CHAR(160)," ")))))</f>
        <v>Hyderabad</v>
      </c>
      <c r="E230" t="str">
        <f>IF(RawData!E230="","Unknown",PROPER(TRIM(CLEAN(SUBSTITUTE(RawData!E230,CHAR(160)," ")))))</f>
        <v>Headphones</v>
      </c>
      <c r="F230" t="str">
        <f>IF(RawData!F230="","Unknown",PROPER(TRIM(CLEAN(SUBSTITUTE(RawData!F230,CHAR(160)," ")))))</f>
        <v>Electronics</v>
      </c>
      <c r="G230">
        <f>_xlfn.LET(
_xlpm.q,RawData!G230,
_xlpm.u,RawData!H230,
_xlpm.d,RawData!I230,
_xlpm.r,RawData!J230,
IF(AND(ISNUMBER(_xlpm.q),_xlpm.q&gt;0),_xlpm.q,
   IF(AND(ISNUMBER(_xlpm.r),ISNUMBER(_xlpm.u),_xlpm.u&gt;0,ISNUMBER(_xlpm.d),_xlpm.d&gt;=0,_xlpm.d&lt;1),
      ROUND(_xlpm.r/(_xlpm.u*(1-_xlpm.d)),0),
      ""
   )
)
)</f>
        <v>9</v>
      </c>
      <c r="H230" s="4">
        <f>_xlfn.LET(
_xlpm.q,RawData!G230,
_xlpm.u,RawData!H230,
_xlpm.d,RawData!I230,
_xlpm.r,RawData!J230,
IF(AND(ISNUMBER(_xlpm.u),_xlpm.u&gt;0),_xlpm.u,
   IF(AND(ISNUMBER(_xlpm.q),_xlpm.q&gt;0,ISNUMBER(_xlpm.r),ISNUMBER(_xlpm.d),_xlpm.d&gt;=0,_xlpm.d&lt;1),
      _xlpm.r/(_xlpm.q*(1-_xlpm.d)),
      ""
   )
)
)</f>
        <v>68.27</v>
      </c>
      <c r="I230" s="5">
        <f>_xlfn.LET(
_xlpm.q,RawData!G230,
_xlpm.u,RawData!H230,
_xlpm.d,RawData!I230,
_xlpm.r,RawData!J230,
IF(AND(ISNUMBER(_xlpm.d),_xlpm.d&gt;=0,_xlpm.d&lt;1),_xlpm.d,
   IF(AND(ISNUMBER(_xlpm.q),_xlpm.q&gt;0,ISNUMBER(_xlpm.u),_xlpm.u&gt;0,ISNUMBER(_xlpm.r),_xlpm.r&gt;=0),
      1-(_xlpm.r/(_xlpm.q*_xlpm.u)),
      ""
   )
)
)</f>
        <v>0.05</v>
      </c>
      <c r="J230" s="4">
        <f>_xlfn.LET(
_xlpm.q,RawData!G230,
_xlpm.u,RawData!H230,
_xlpm.d,RawData!I230,
_xlpm.r,RawData!J230,
IF(AND(ISNUMBER(_xlpm.r),_xlpm.r&gt;=0),_xlpm.r,
   IF(AND(ISNUMBER(_xlpm.q),_xlpm.q&gt;0,ISNUMBER(_xlpm.u),_xlpm.u&gt;0,ISNUMBER(_xlpm.d),_xlpm.d&gt;=0,_xlpm.d&lt;1),
      _xlpm.q*_xlpm.u*(1-_xlpm.d),
      ""
   )
)
)</f>
        <v>583.71</v>
      </c>
      <c r="K230" s="4">
        <f>_xlfn.LET(
_xlpm.c,RawData!K230,
_xlpm.r,RawData!J230,
_xlpm.p,RawData!L230,
IF(AND(ISNUMBER(_xlpm.c),_xlpm.c&gt;=0),_xlpm.c,
   IF(AND(ISNUMBER(_xlpm.r),ISNUMBER(_xlpm.p)),
      _xlpm.r-_xlpm.p,
      ""
   )
)
)</f>
        <v>394.9</v>
      </c>
      <c r="L230" s="4">
        <f>_xlfn.LET(
_xlpm.p,RawData!L230,
_xlpm.r,RawData!J230,
_xlpm.c,RawData!K230,
IF(ISNUMBER(_xlpm.p),_xlpm.p,
IF(AND(ISNUMBER(_xlpm.r),ISNUMBER(_xlpm.c)),
_xlpm.r-_xlpm.c,
""
)
))</f>
        <v>188.81</v>
      </c>
    </row>
    <row r="231" spans="1:12" x14ac:dyDescent="0.35">
      <c r="A231" t="s">
        <v>267</v>
      </c>
      <c r="B231" s="7">
        <v>45714</v>
      </c>
      <c r="C231" t="str">
        <f>IF(RawData!C231="","Unknown",PROPER(TRIM(CLEAN(SUBSTITUTE(RawData!C231,CHAR(160)," ")))))</f>
        <v>North</v>
      </c>
      <c r="D231" t="str">
        <f>IF(RawData!D231="","Unknown",PROPER(TRIM(CLEAN(SUBSTITUTE(RawData!D231,CHAR(160)," ")))))</f>
        <v>Delhi</v>
      </c>
      <c r="E231" t="str">
        <f>IF(RawData!E231="","Unknown",PROPER(TRIM(CLEAN(SUBSTITUTE(RawData!E231,CHAR(160)," ")))))</f>
        <v>Headphones</v>
      </c>
      <c r="F231" t="str">
        <f>IF(RawData!F231="","Unknown",PROPER(TRIM(CLEAN(SUBSTITUTE(RawData!F231,CHAR(160)," ")))))</f>
        <v>Electronics</v>
      </c>
      <c r="G231">
        <f>_xlfn.LET(
_xlpm.q,RawData!G231,
_xlpm.u,RawData!H231,
_xlpm.d,RawData!I231,
_xlpm.r,RawData!J231,
IF(AND(ISNUMBER(_xlpm.q),_xlpm.q&gt;0),_xlpm.q,
   IF(AND(ISNUMBER(_xlpm.r),ISNUMBER(_xlpm.u),_xlpm.u&gt;0,ISNUMBER(_xlpm.d),_xlpm.d&gt;=0,_xlpm.d&lt;1),
      ROUND(_xlpm.r/(_xlpm.u*(1-_xlpm.d)),0),
      ""
   )
)
)</f>
        <v>1</v>
      </c>
      <c r="H231" s="4">
        <f>_xlfn.LET(
_xlpm.q,RawData!G231,
_xlpm.u,RawData!H231,
_xlpm.d,RawData!I231,
_xlpm.r,RawData!J231,
IF(AND(ISNUMBER(_xlpm.u),_xlpm.u&gt;0),_xlpm.u,
   IF(AND(ISNUMBER(_xlpm.q),_xlpm.q&gt;0,ISNUMBER(_xlpm.r),ISNUMBER(_xlpm.d),_xlpm.d&gt;=0,_xlpm.d&lt;1),
      _xlpm.r/(_xlpm.q*(1-_xlpm.d)),
      ""
   )
)
)</f>
        <v>69.349999999999994</v>
      </c>
      <c r="I231" s="5">
        <f>_xlfn.LET(
_xlpm.q,RawData!G231,
_xlpm.u,RawData!H231,
_xlpm.d,RawData!I231,
_xlpm.r,RawData!J231,
IF(AND(ISNUMBER(_xlpm.d),_xlpm.d&gt;=0,_xlpm.d&lt;1),_xlpm.d,
   IF(AND(ISNUMBER(_xlpm.q),_xlpm.q&gt;0,ISNUMBER(_xlpm.u),_xlpm.u&gt;0,ISNUMBER(_xlpm.r),_xlpm.r&gt;=0),
      1-(_xlpm.r/(_xlpm.q*_xlpm.u)),
      ""
   )
)
)</f>
        <v>0.05</v>
      </c>
      <c r="J231" s="4">
        <f>_xlfn.LET(
_xlpm.q,RawData!G231,
_xlpm.u,RawData!H231,
_xlpm.d,RawData!I231,
_xlpm.r,RawData!J231,
IF(AND(ISNUMBER(_xlpm.r),_xlpm.r&gt;=0),_xlpm.r,
   IF(AND(ISNUMBER(_xlpm.q),_xlpm.q&gt;0,ISNUMBER(_xlpm.u),_xlpm.u&gt;0,ISNUMBER(_xlpm.d),_xlpm.d&gt;=0,_xlpm.d&lt;1),
      _xlpm.q*_xlpm.u*(1-_xlpm.d),
      ""
   )
)
)</f>
        <v>65.88</v>
      </c>
      <c r="K231" s="4">
        <f>_xlfn.LET(
_xlpm.c,RawData!K231,
_xlpm.r,RawData!J231,
_xlpm.p,RawData!L231,
IF(AND(ISNUMBER(_xlpm.c),_xlpm.c&gt;=0),_xlpm.c,
   IF(AND(ISNUMBER(_xlpm.r),ISNUMBER(_xlpm.p)),
      _xlpm.r-_xlpm.p,
      ""
   )
)
)</f>
        <v>38.35</v>
      </c>
      <c r="L231" s="4">
        <f>_xlfn.LET(
_xlpm.p,RawData!L231,
_xlpm.r,RawData!J231,
_xlpm.c,RawData!K231,
IF(ISNUMBER(_xlpm.p),_xlpm.p,
IF(AND(ISNUMBER(_xlpm.r),ISNUMBER(_xlpm.c)),
_xlpm.r-_xlpm.c,
""
)
))</f>
        <v>27.53</v>
      </c>
    </row>
    <row r="232" spans="1:12" x14ac:dyDescent="0.35">
      <c r="A232" t="s">
        <v>268</v>
      </c>
      <c r="B232" s="7">
        <v>45959</v>
      </c>
      <c r="C232" t="str">
        <f>IF(RawData!C232="","Unknown",PROPER(TRIM(CLEAN(SUBSTITUTE(RawData!C232,CHAR(160)," ")))))</f>
        <v>East</v>
      </c>
      <c r="D232" t="str">
        <f>IF(RawData!D232="","Unknown",PROPER(TRIM(CLEAN(SUBSTITUTE(RawData!D232,CHAR(160)," ")))))</f>
        <v>Kolkata</v>
      </c>
      <c r="E232" t="str">
        <f>IF(RawData!E232="","Unknown",PROPER(TRIM(CLEAN(SUBSTITUTE(RawData!E232,CHAR(160)," ")))))</f>
        <v>Laptop</v>
      </c>
      <c r="F232" t="str">
        <f>IF(RawData!F232="","Unknown",PROPER(TRIM(CLEAN(SUBSTITUTE(RawData!F232,CHAR(160)," ")))))</f>
        <v>Electronics</v>
      </c>
      <c r="G232">
        <f>_xlfn.LET(
_xlpm.q,RawData!G232,
_xlpm.u,RawData!H232,
_xlpm.d,RawData!I232,
_xlpm.r,RawData!J232,
IF(AND(ISNUMBER(_xlpm.q),_xlpm.q&gt;0),_xlpm.q,
   IF(AND(ISNUMBER(_xlpm.r),ISNUMBER(_xlpm.u),_xlpm.u&gt;0,ISNUMBER(_xlpm.d),_xlpm.d&gt;=0,_xlpm.d&lt;1),
      ROUND(_xlpm.r/(_xlpm.u*(1-_xlpm.d)),0),
      ""
   )
)
)</f>
        <v>3</v>
      </c>
      <c r="H232" s="4">
        <f>_xlfn.LET(
_xlpm.q,RawData!G232,
_xlpm.u,RawData!H232,
_xlpm.d,RawData!I232,
_xlpm.r,RawData!J232,
IF(AND(ISNUMBER(_xlpm.u),_xlpm.u&gt;0),_xlpm.u,
   IF(AND(ISNUMBER(_xlpm.q),_xlpm.q&gt;0,ISNUMBER(_xlpm.r),ISNUMBER(_xlpm.d),_xlpm.d&gt;=0,_xlpm.d&lt;1),
      _xlpm.r/(_xlpm.q*(1-_xlpm.d)),
      ""
   )
)
)</f>
        <v>752.47</v>
      </c>
      <c r="I232" s="5">
        <f>_xlfn.LET(
_xlpm.q,RawData!G232,
_xlpm.u,RawData!H232,
_xlpm.d,RawData!I232,
_xlpm.r,RawData!J232,
IF(AND(ISNUMBER(_xlpm.d),_xlpm.d&gt;=0,_xlpm.d&lt;1),_xlpm.d,
   IF(AND(ISNUMBER(_xlpm.q),_xlpm.q&gt;0,ISNUMBER(_xlpm.u),_xlpm.u&gt;0,ISNUMBER(_xlpm.r),_xlpm.r&gt;=0),
      1-(_xlpm.r/(_xlpm.q*_xlpm.u)),
      ""
   )
)
)</f>
        <v>0.05</v>
      </c>
      <c r="J232" s="4">
        <f>_xlfn.LET(
_xlpm.q,RawData!G232,
_xlpm.u,RawData!H232,
_xlpm.d,RawData!I232,
_xlpm.r,RawData!J232,
IF(AND(ISNUMBER(_xlpm.r),_xlpm.r&gt;=0),_xlpm.r,
   IF(AND(ISNUMBER(_xlpm.q),_xlpm.q&gt;0,ISNUMBER(_xlpm.u),_xlpm.u&gt;0,ISNUMBER(_xlpm.d),_xlpm.d&gt;=0,_xlpm.d&lt;1),
      _xlpm.q*_xlpm.u*(1-_xlpm.d),
      ""
   )
)
)</f>
        <v>2144.54</v>
      </c>
      <c r="K232" s="4">
        <f>_xlfn.LET(
_xlpm.c,RawData!K232,
_xlpm.r,RawData!J232,
_xlpm.p,RawData!L232,
IF(AND(ISNUMBER(_xlpm.c),_xlpm.c&gt;=0),_xlpm.c,
   IF(AND(ISNUMBER(_xlpm.r),ISNUMBER(_xlpm.p)),
      _xlpm.r-_xlpm.p,
      ""
   )
)
)</f>
        <v>1555.41</v>
      </c>
      <c r="L232" s="4">
        <f>_xlfn.LET(
_xlpm.p,RawData!L232,
_xlpm.r,RawData!J232,
_xlpm.c,RawData!K232,
IF(ISNUMBER(_xlpm.p),_xlpm.p,
IF(AND(ISNUMBER(_xlpm.r),ISNUMBER(_xlpm.c)),
_xlpm.r-_xlpm.c,
""
)
))</f>
        <v>589.13</v>
      </c>
    </row>
    <row r="233" spans="1:12" x14ac:dyDescent="0.35">
      <c r="A233" t="s">
        <v>269</v>
      </c>
      <c r="B233" s="7">
        <v>45722</v>
      </c>
      <c r="C233" t="str">
        <f>IF(RawData!C233="","Unknown",PROPER(TRIM(CLEAN(SUBSTITUTE(RawData!C233,CHAR(160)," ")))))</f>
        <v>West</v>
      </c>
      <c r="D233" t="str">
        <f>IF(RawData!D233="","Unknown",PROPER(TRIM(CLEAN(SUBSTITUTE(RawData!D233,CHAR(160)," ")))))</f>
        <v>Mumbai</v>
      </c>
      <c r="E233" t="str">
        <f>IF(RawData!E233="","Unknown",PROPER(TRIM(CLEAN(SUBSTITUTE(RawData!E233,CHAR(160)," ")))))</f>
        <v>Notebook</v>
      </c>
      <c r="F233" t="str">
        <f>IF(RawData!F233="","Unknown",PROPER(TRIM(CLEAN(SUBSTITUTE(RawData!F233,CHAR(160)," ")))))</f>
        <v>Office Supplies</v>
      </c>
      <c r="G233">
        <f>_xlfn.LET(
_xlpm.q,RawData!G233,
_xlpm.u,RawData!H233,
_xlpm.d,RawData!I233,
_xlpm.r,RawData!J233,
IF(AND(ISNUMBER(_xlpm.q),_xlpm.q&gt;0),_xlpm.q,
   IF(AND(ISNUMBER(_xlpm.r),ISNUMBER(_xlpm.u),_xlpm.u&gt;0,ISNUMBER(_xlpm.d),_xlpm.d&gt;=0,_xlpm.d&lt;1),
      ROUND(_xlpm.r/(_xlpm.u*(1-_xlpm.d)),0),
      ""
   )
)
)</f>
        <v>2</v>
      </c>
      <c r="H233" s="4">
        <f>_xlfn.LET(
_xlpm.q,RawData!G233,
_xlpm.u,RawData!H233,
_xlpm.d,RawData!I233,
_xlpm.r,RawData!J233,
IF(AND(ISNUMBER(_xlpm.u),_xlpm.u&gt;0),_xlpm.u,
   IF(AND(ISNUMBER(_xlpm.q),_xlpm.q&gt;0,ISNUMBER(_xlpm.r),ISNUMBER(_xlpm.d),_xlpm.d&gt;=0,_xlpm.d&lt;1),
      _xlpm.r/(_xlpm.q*(1-_xlpm.d)),
      ""
   )
)
)</f>
        <v>8.59</v>
      </c>
      <c r="I233" s="5">
        <f>_xlfn.LET(
_xlpm.q,RawData!G233,
_xlpm.u,RawData!H233,
_xlpm.d,RawData!I233,
_xlpm.r,RawData!J233,
IF(AND(ISNUMBER(_xlpm.d),_xlpm.d&gt;=0,_xlpm.d&lt;1),_xlpm.d,
   IF(AND(ISNUMBER(_xlpm.q),_xlpm.q&gt;0,ISNUMBER(_xlpm.u),_xlpm.u&gt;0,ISNUMBER(_xlpm.r),_xlpm.r&gt;=0),
      1-(_xlpm.r/(_xlpm.q*_xlpm.u)),
      ""
   )
)
)</f>
        <v>0.2</v>
      </c>
      <c r="J233" s="4">
        <f>_xlfn.LET(
_xlpm.q,RawData!G233,
_xlpm.u,RawData!H233,
_xlpm.d,RawData!I233,
_xlpm.r,RawData!J233,
IF(AND(ISNUMBER(_xlpm.r),_xlpm.r&gt;=0),_xlpm.r,
   IF(AND(ISNUMBER(_xlpm.q),_xlpm.q&gt;0,ISNUMBER(_xlpm.u),_xlpm.u&gt;0,ISNUMBER(_xlpm.d),_xlpm.d&gt;=0,_xlpm.d&lt;1),
      _xlpm.q*_xlpm.u*(1-_xlpm.d),
      ""
   )
)
)</f>
        <v>13.74</v>
      </c>
      <c r="K233" s="4">
        <f>_xlfn.LET(
_xlpm.c,RawData!K233,
_xlpm.r,RawData!J233,
_xlpm.p,RawData!L233,
IF(AND(ISNUMBER(_xlpm.c),_xlpm.c&gt;=0),_xlpm.c,
   IF(AND(ISNUMBER(_xlpm.r),ISNUMBER(_xlpm.p)),
      _xlpm.r-_xlpm.p,
      ""
   )
)
)</f>
        <v>9.7200000000000006</v>
      </c>
      <c r="L233" s="4">
        <f>_xlfn.LET(
_xlpm.p,RawData!L233,
_xlpm.r,RawData!J233,
_xlpm.c,RawData!K233,
IF(ISNUMBER(_xlpm.p),_xlpm.p,
IF(AND(ISNUMBER(_xlpm.r),ISNUMBER(_xlpm.c)),
_xlpm.r-_xlpm.c,
""
)
))</f>
        <v>4.0199999999999996</v>
      </c>
    </row>
    <row r="234" spans="1:12" x14ac:dyDescent="0.35">
      <c r="A234" t="s">
        <v>270</v>
      </c>
      <c r="B234" s="7">
        <v>45901</v>
      </c>
      <c r="C234" t="str">
        <f>IF(RawData!C234="","Unknown",PROPER(TRIM(CLEAN(SUBSTITUTE(RawData!C234,CHAR(160)," ")))))</f>
        <v>West</v>
      </c>
      <c r="D234" t="str">
        <f>IF(RawData!D234="","Unknown",PROPER(TRIM(CLEAN(SUBSTITUTE(RawData!D234,CHAR(160)," ")))))</f>
        <v>Mumbai</v>
      </c>
      <c r="E234" t="str">
        <f>IF(RawData!E234="","Unknown",PROPER(TRIM(CLEAN(SUBSTITUTE(RawData!E234,CHAR(160)," ")))))</f>
        <v>Desk</v>
      </c>
      <c r="F234" t="str">
        <f>IF(RawData!F234="","Unknown",PROPER(TRIM(CLEAN(SUBSTITUTE(RawData!F234,CHAR(160)," ")))))</f>
        <v>Furniture</v>
      </c>
      <c r="G234">
        <f>_xlfn.LET(
_xlpm.q,RawData!G234,
_xlpm.u,RawData!H234,
_xlpm.d,RawData!I234,
_xlpm.r,RawData!J234,
IF(AND(ISNUMBER(_xlpm.q),_xlpm.q&gt;0),_xlpm.q,
   IF(AND(ISNUMBER(_xlpm.r),ISNUMBER(_xlpm.u),_xlpm.u&gt;0,ISNUMBER(_xlpm.d),_xlpm.d&gt;=0,_xlpm.d&lt;1),
      ROUND(_xlpm.r/(_xlpm.u*(1-_xlpm.d)),0),
      ""
   )
)
)</f>
        <v>9</v>
      </c>
      <c r="H234" s="4">
        <f>_xlfn.LET(
_xlpm.q,RawData!G234,
_xlpm.u,RawData!H234,
_xlpm.d,RawData!I234,
_xlpm.r,RawData!J234,
IF(AND(ISNUMBER(_xlpm.u),_xlpm.u&gt;0),_xlpm.u,
   IF(AND(ISNUMBER(_xlpm.q),_xlpm.q&gt;0,ISNUMBER(_xlpm.r),ISNUMBER(_xlpm.d),_xlpm.d&gt;=0,_xlpm.d&lt;1),
      _xlpm.r/(_xlpm.q*(1-_xlpm.d)),
      ""
   )
)
)</f>
        <v>284.66000000000003</v>
      </c>
      <c r="I234" s="5">
        <f>_xlfn.LET(
_xlpm.q,RawData!G234,
_xlpm.u,RawData!H234,
_xlpm.d,RawData!I234,
_xlpm.r,RawData!J234,
IF(AND(ISNUMBER(_xlpm.d),_xlpm.d&gt;=0,_xlpm.d&lt;1),_xlpm.d,
   IF(AND(ISNUMBER(_xlpm.q),_xlpm.q&gt;0,ISNUMBER(_xlpm.u),_xlpm.u&gt;0,ISNUMBER(_xlpm.r),_xlpm.r&gt;=0),
      1-(_xlpm.r/(_xlpm.q*_xlpm.u)),
      ""
   )
)
)</f>
        <v>0.15</v>
      </c>
      <c r="J234" s="4">
        <f>_xlfn.LET(
_xlpm.q,RawData!G234,
_xlpm.u,RawData!H234,
_xlpm.d,RawData!I234,
_xlpm.r,RawData!J234,
IF(AND(ISNUMBER(_xlpm.r),_xlpm.r&gt;=0),_xlpm.r,
   IF(AND(ISNUMBER(_xlpm.q),_xlpm.q&gt;0,ISNUMBER(_xlpm.u),_xlpm.u&gt;0,ISNUMBER(_xlpm.d),_xlpm.d&gt;=0,_xlpm.d&lt;1),
      _xlpm.q*_xlpm.u*(1-_xlpm.d),
      ""
   )
)
)</f>
        <v>2177.65</v>
      </c>
      <c r="K234" s="4">
        <f>_xlfn.LET(
_xlpm.c,RawData!K234,
_xlpm.r,RawData!J234,
_xlpm.p,RawData!L234,
IF(AND(ISNUMBER(_xlpm.c),_xlpm.c&gt;=0),_xlpm.c,
   IF(AND(ISNUMBER(_xlpm.r),ISNUMBER(_xlpm.p)),
      _xlpm.r-_xlpm.p,
      ""
   )
)
)</f>
        <v>1418.12</v>
      </c>
      <c r="L234" s="4">
        <f>_xlfn.LET(
_xlpm.p,RawData!L234,
_xlpm.r,RawData!J234,
_xlpm.c,RawData!K234,
IF(ISNUMBER(_xlpm.p),_xlpm.p,
IF(AND(ISNUMBER(_xlpm.r),ISNUMBER(_xlpm.c)),
_xlpm.r-_xlpm.c,
""
)
))</f>
        <v>759.53</v>
      </c>
    </row>
    <row r="235" spans="1:12" x14ac:dyDescent="0.35">
      <c r="A235" t="s">
        <v>271</v>
      </c>
      <c r="B235" s="7">
        <v>45889</v>
      </c>
      <c r="C235" t="str">
        <f>IF(RawData!C235="","Unknown",PROPER(TRIM(CLEAN(SUBSTITUTE(RawData!C235,CHAR(160)," ")))))</f>
        <v>South</v>
      </c>
      <c r="D235" t="str">
        <f>IF(RawData!D235="","Unknown",PROPER(TRIM(CLEAN(SUBSTITUTE(RawData!D235,CHAR(160)," ")))))</f>
        <v>Bengaluru</v>
      </c>
      <c r="E235" t="str">
        <f>IF(RawData!E235="","Unknown",PROPER(TRIM(CLEAN(SUBSTITUTE(RawData!E235,CHAR(160)," ")))))</f>
        <v>Pen Set</v>
      </c>
      <c r="F235" t="str">
        <f>IF(RawData!F235="","Unknown",PROPER(TRIM(CLEAN(SUBSTITUTE(RawData!F235,CHAR(160)," ")))))</f>
        <v>Office Supplies</v>
      </c>
      <c r="G235">
        <f>_xlfn.LET(
_xlpm.q,RawData!G235,
_xlpm.u,RawData!H235,
_xlpm.d,RawData!I235,
_xlpm.r,RawData!J235,
IF(AND(ISNUMBER(_xlpm.q),_xlpm.q&gt;0),_xlpm.q,
   IF(AND(ISNUMBER(_xlpm.r),ISNUMBER(_xlpm.u),_xlpm.u&gt;0,ISNUMBER(_xlpm.d),_xlpm.d&gt;=0,_xlpm.d&lt;1),
      ROUND(_xlpm.r/(_xlpm.u*(1-_xlpm.d)),0),
      ""
   )
)
)</f>
        <v>1</v>
      </c>
      <c r="H235" s="4">
        <f>_xlfn.LET(
_xlpm.q,RawData!G235,
_xlpm.u,RawData!H235,
_xlpm.d,RawData!I235,
_xlpm.r,RawData!J235,
IF(AND(ISNUMBER(_xlpm.u),_xlpm.u&gt;0),_xlpm.u,
   IF(AND(ISNUMBER(_xlpm.q),_xlpm.q&gt;0,ISNUMBER(_xlpm.r),ISNUMBER(_xlpm.d),_xlpm.d&gt;=0,_xlpm.d&lt;1),
      _xlpm.r/(_xlpm.q*(1-_xlpm.d)),
      ""
   )
)
)</f>
        <v>11.23</v>
      </c>
      <c r="I235" s="5">
        <f>_xlfn.LET(
_xlpm.q,RawData!G235,
_xlpm.u,RawData!H235,
_xlpm.d,RawData!I235,
_xlpm.r,RawData!J235,
IF(AND(ISNUMBER(_xlpm.d),_xlpm.d&gt;=0,_xlpm.d&lt;1),_xlpm.d,
   IF(AND(ISNUMBER(_xlpm.q),_xlpm.q&gt;0,ISNUMBER(_xlpm.u),_xlpm.u&gt;0,ISNUMBER(_xlpm.r),_xlpm.r&gt;=0),
      1-(_xlpm.r/(_xlpm.q*_xlpm.u)),
      ""
   )
)
)</f>
        <v>0.2</v>
      </c>
      <c r="J235" s="4">
        <f>_xlfn.LET(
_xlpm.q,RawData!G235,
_xlpm.u,RawData!H235,
_xlpm.d,RawData!I235,
_xlpm.r,RawData!J235,
IF(AND(ISNUMBER(_xlpm.r),_xlpm.r&gt;=0),_xlpm.r,
   IF(AND(ISNUMBER(_xlpm.q),_xlpm.q&gt;0,ISNUMBER(_xlpm.u),_xlpm.u&gt;0,ISNUMBER(_xlpm.d),_xlpm.d&gt;=0,_xlpm.d&lt;1),
      _xlpm.q*_xlpm.u*(1-_xlpm.d),
      ""
   )
)
)</f>
        <v>8.98</v>
      </c>
      <c r="K235" s="4">
        <f>_xlfn.LET(
_xlpm.c,RawData!K235,
_xlpm.r,RawData!J235,
_xlpm.p,RawData!L235,
IF(AND(ISNUMBER(_xlpm.c),_xlpm.c&gt;=0),_xlpm.c,
   IF(AND(ISNUMBER(_xlpm.r),ISNUMBER(_xlpm.p)),
      _xlpm.r-_xlpm.p,
      ""
   )
)
)</f>
        <v>7.05</v>
      </c>
      <c r="L235" s="4">
        <f>_xlfn.LET(
_xlpm.p,RawData!L235,
_xlpm.r,RawData!J235,
_xlpm.c,RawData!K235,
IF(ISNUMBER(_xlpm.p),_xlpm.p,
IF(AND(ISNUMBER(_xlpm.r),ISNUMBER(_xlpm.c)),
_xlpm.r-_xlpm.c,
""
)
))</f>
        <v>1.93</v>
      </c>
    </row>
    <row r="236" spans="1:12" x14ac:dyDescent="0.35">
      <c r="A236" t="s">
        <v>272</v>
      </c>
      <c r="B236" s="7">
        <v>45924</v>
      </c>
      <c r="C236" t="str">
        <f>IF(RawData!C236="","Unknown",PROPER(TRIM(CLEAN(SUBSTITUTE(RawData!C236,CHAR(160)," ")))))</f>
        <v>East</v>
      </c>
      <c r="D236" t="str">
        <f>IF(RawData!D236="","Unknown",PROPER(TRIM(CLEAN(SUBSTITUTE(RawData!D236,CHAR(160)," ")))))</f>
        <v>Bhubaneswar</v>
      </c>
      <c r="E236" t="str">
        <f>IF(RawData!E236="","Unknown",PROPER(TRIM(CLEAN(SUBSTITUTE(RawData!E236,CHAR(160)," ")))))</f>
        <v>Printer</v>
      </c>
      <c r="F236" t="str">
        <f>IF(RawData!F236="","Unknown",PROPER(TRIM(CLEAN(SUBSTITUTE(RawData!F236,CHAR(160)," ")))))</f>
        <v>Office Supplies</v>
      </c>
      <c r="G236">
        <f>_xlfn.LET(
_xlpm.q,RawData!G236,
_xlpm.u,RawData!H236,
_xlpm.d,RawData!I236,
_xlpm.r,RawData!J236,
IF(AND(ISNUMBER(_xlpm.q),_xlpm.q&gt;0),_xlpm.q,
   IF(AND(ISNUMBER(_xlpm.r),ISNUMBER(_xlpm.u),_xlpm.u&gt;0,ISNUMBER(_xlpm.d),_xlpm.d&gt;=0,_xlpm.d&lt;1),
      ROUND(_xlpm.r/(_xlpm.u*(1-_xlpm.d)),0),
      ""
   )
)
)</f>
        <v>1</v>
      </c>
      <c r="H236" s="4">
        <f>_xlfn.LET(
_xlpm.q,RawData!G236,
_xlpm.u,RawData!H236,
_xlpm.d,RawData!I236,
_xlpm.r,RawData!J236,
IF(AND(ISNUMBER(_xlpm.u),_xlpm.u&gt;0),_xlpm.u,
   IF(AND(ISNUMBER(_xlpm.q),_xlpm.q&gt;0,ISNUMBER(_xlpm.r),ISNUMBER(_xlpm.d),_xlpm.d&gt;=0,_xlpm.d&lt;1),
      _xlpm.r/(_xlpm.q*(1-_xlpm.d)),
      ""
   )
)
)</f>
        <v>146.72999999999999</v>
      </c>
      <c r="I236" s="5">
        <f>_xlfn.LET(
_xlpm.q,RawData!G236,
_xlpm.u,RawData!H236,
_xlpm.d,RawData!I236,
_xlpm.r,RawData!J236,
IF(AND(ISNUMBER(_xlpm.d),_xlpm.d&gt;=0,_xlpm.d&lt;1),_xlpm.d,
   IF(AND(ISNUMBER(_xlpm.q),_xlpm.q&gt;0,ISNUMBER(_xlpm.u),_xlpm.u&gt;0,ISNUMBER(_xlpm.r),_xlpm.r&gt;=0),
      1-(_xlpm.r/(_xlpm.q*_xlpm.u)),
      ""
   )
)
)</f>
        <v>0</v>
      </c>
      <c r="J236" s="4">
        <f>_xlfn.LET(
_xlpm.q,RawData!G236,
_xlpm.u,RawData!H236,
_xlpm.d,RawData!I236,
_xlpm.r,RawData!J236,
IF(AND(ISNUMBER(_xlpm.r),_xlpm.r&gt;=0),_xlpm.r,
   IF(AND(ISNUMBER(_xlpm.q),_xlpm.q&gt;0,ISNUMBER(_xlpm.u),_xlpm.u&gt;0,ISNUMBER(_xlpm.d),_xlpm.d&gt;=0,_xlpm.d&lt;1),
      _xlpm.q*_xlpm.u*(1-_xlpm.d),
      ""
   )
)
)</f>
        <v>146.72999999999999</v>
      </c>
      <c r="K236" s="4">
        <f>_xlfn.LET(
_xlpm.c,RawData!K236,
_xlpm.r,RawData!J236,
_xlpm.p,RawData!L236,
IF(AND(ISNUMBER(_xlpm.c),_xlpm.c&gt;=0),_xlpm.c,
   IF(AND(ISNUMBER(_xlpm.r),ISNUMBER(_xlpm.p)),
      _xlpm.r-_xlpm.p,
      ""
   )
)
)</f>
        <v>118.86</v>
      </c>
      <c r="L236" s="4">
        <f>_xlfn.LET(
_xlpm.p,RawData!L236,
_xlpm.r,RawData!J236,
_xlpm.c,RawData!K236,
IF(ISNUMBER(_xlpm.p),_xlpm.p,
IF(AND(ISNUMBER(_xlpm.r),ISNUMBER(_xlpm.c)),
_xlpm.r-_xlpm.c,
""
)
))</f>
        <v>27.87</v>
      </c>
    </row>
    <row r="237" spans="1:12" x14ac:dyDescent="0.35">
      <c r="A237" t="s">
        <v>273</v>
      </c>
      <c r="B237" s="7">
        <v>45863</v>
      </c>
      <c r="C237" t="str">
        <f>IF(RawData!C237="","Unknown",PROPER(TRIM(CLEAN(SUBSTITUTE(RawData!C237,CHAR(160)," ")))))</f>
        <v>West</v>
      </c>
      <c r="D237" t="str">
        <f>IF(RawData!D237="","Unknown",PROPER(TRIM(CLEAN(SUBSTITUTE(RawData!D237,CHAR(160)," ")))))</f>
        <v>Ahmedabad</v>
      </c>
      <c r="E237" t="str">
        <f>IF(RawData!E237="","Unknown",PROPER(TRIM(CLEAN(SUBSTITUTE(RawData!E237,CHAR(160)," ")))))</f>
        <v>Backpack</v>
      </c>
      <c r="F237" t="str">
        <f>IF(RawData!F237="","Unknown",PROPER(TRIM(CLEAN(SUBSTITUTE(RawData!F237,CHAR(160)," ")))))</f>
        <v>Accessories</v>
      </c>
      <c r="G237">
        <f>_xlfn.LET(
_xlpm.q,RawData!G237,
_xlpm.u,RawData!H237,
_xlpm.d,RawData!I237,
_xlpm.r,RawData!J237,
IF(AND(ISNUMBER(_xlpm.q),_xlpm.q&gt;0),_xlpm.q,
   IF(AND(ISNUMBER(_xlpm.r),ISNUMBER(_xlpm.u),_xlpm.u&gt;0,ISNUMBER(_xlpm.d),_xlpm.d&gt;=0,_xlpm.d&lt;1),
      ROUND(_xlpm.r/(_xlpm.u*(1-_xlpm.d)),0),
      ""
   )
)
)</f>
        <v>2</v>
      </c>
      <c r="H237" s="4">
        <f>_xlfn.LET(
_xlpm.q,RawData!G237,
_xlpm.u,RawData!H237,
_xlpm.d,RawData!I237,
_xlpm.r,RawData!J237,
IF(AND(ISNUMBER(_xlpm.u),_xlpm.u&gt;0),_xlpm.u,
   IF(AND(ISNUMBER(_xlpm.q),_xlpm.q&gt;0,ISNUMBER(_xlpm.r),ISNUMBER(_xlpm.d),_xlpm.d&gt;=0,_xlpm.d&lt;1),
      _xlpm.r/(_xlpm.q*(1-_xlpm.d)),
      ""
   )
)
)</f>
        <v>38.409999999999997</v>
      </c>
      <c r="I237" s="5">
        <f>_xlfn.LET(
_xlpm.q,RawData!G237,
_xlpm.u,RawData!H237,
_xlpm.d,RawData!I237,
_xlpm.r,RawData!J237,
IF(AND(ISNUMBER(_xlpm.d),_xlpm.d&gt;=0,_xlpm.d&lt;1),_xlpm.d,
   IF(AND(ISNUMBER(_xlpm.q),_xlpm.q&gt;0,ISNUMBER(_xlpm.u),_xlpm.u&gt;0,ISNUMBER(_xlpm.r),_xlpm.r&gt;=0),
      1-(_xlpm.r/(_xlpm.q*_xlpm.u)),
      ""
   )
)
)</f>
        <v>0.1</v>
      </c>
      <c r="J237" s="4">
        <f>_xlfn.LET(
_xlpm.q,RawData!G237,
_xlpm.u,RawData!H237,
_xlpm.d,RawData!I237,
_xlpm.r,RawData!J237,
IF(AND(ISNUMBER(_xlpm.r),_xlpm.r&gt;=0),_xlpm.r,
   IF(AND(ISNUMBER(_xlpm.q),_xlpm.q&gt;0,ISNUMBER(_xlpm.u),_xlpm.u&gt;0,ISNUMBER(_xlpm.d),_xlpm.d&gt;=0,_xlpm.d&lt;1),
      _xlpm.q*_xlpm.u*(1-_xlpm.d),
      ""
   )
)
)</f>
        <v>69.14</v>
      </c>
      <c r="K237" s="4">
        <f>_xlfn.LET(
_xlpm.c,RawData!K237,
_xlpm.r,RawData!J237,
_xlpm.p,RawData!L237,
IF(AND(ISNUMBER(_xlpm.c),_xlpm.c&gt;=0),_xlpm.c,
   IF(AND(ISNUMBER(_xlpm.r),ISNUMBER(_xlpm.p)),
      _xlpm.r-_xlpm.p,
      ""
   )
)
)</f>
        <v>56.13</v>
      </c>
      <c r="L237" s="4">
        <f>_xlfn.LET(
_xlpm.p,RawData!L237,
_xlpm.r,RawData!J237,
_xlpm.c,RawData!K237,
IF(ISNUMBER(_xlpm.p),_xlpm.p,
IF(AND(ISNUMBER(_xlpm.r),ISNUMBER(_xlpm.c)),
_xlpm.r-_xlpm.c,
""
)
))</f>
        <v>13.01</v>
      </c>
    </row>
    <row r="238" spans="1:12" x14ac:dyDescent="0.35">
      <c r="A238" t="s">
        <v>274</v>
      </c>
      <c r="B238" s="7">
        <v>45885</v>
      </c>
      <c r="C238" t="str">
        <f>IF(RawData!C238="","Unknown",PROPER(TRIM(CLEAN(SUBSTITUTE(RawData!C238,CHAR(160)," ")))))</f>
        <v>North</v>
      </c>
      <c r="D238" t="str">
        <f>IF(RawData!D238="","Unknown",PROPER(TRIM(CLEAN(SUBSTITUTE(RawData!D238,CHAR(160)," ")))))</f>
        <v>Delhi</v>
      </c>
      <c r="E238" t="str">
        <f>IF(RawData!E238="","Unknown",PROPER(TRIM(CLEAN(SUBSTITUTE(RawData!E238,CHAR(160)," ")))))</f>
        <v>Smartphone</v>
      </c>
      <c r="F238" t="str">
        <f>IF(RawData!F238="","Unknown",PROPER(TRIM(CLEAN(SUBSTITUTE(RawData!F238,CHAR(160)," ")))))</f>
        <v>Electronics</v>
      </c>
      <c r="G238">
        <f>_xlfn.LET(
_xlpm.q,RawData!G238,
_xlpm.u,RawData!H238,
_xlpm.d,RawData!I238,
_xlpm.r,RawData!J238,
IF(AND(ISNUMBER(_xlpm.q),_xlpm.q&gt;0),_xlpm.q,
   IF(AND(ISNUMBER(_xlpm.r),ISNUMBER(_xlpm.u),_xlpm.u&gt;0,ISNUMBER(_xlpm.d),_xlpm.d&gt;=0,_xlpm.d&lt;1),
      ROUND(_xlpm.r/(_xlpm.u*(1-_xlpm.d)),0),
      ""
   )
)
)</f>
        <v>6</v>
      </c>
      <c r="H238" s="4">
        <f>_xlfn.LET(
_xlpm.q,RawData!G238,
_xlpm.u,RawData!H238,
_xlpm.d,RawData!I238,
_xlpm.r,RawData!J238,
IF(AND(ISNUMBER(_xlpm.u),_xlpm.u&gt;0),_xlpm.u,
   IF(AND(ISNUMBER(_xlpm.q),_xlpm.q&gt;0,ISNUMBER(_xlpm.r),ISNUMBER(_xlpm.d),_xlpm.d&gt;=0,_xlpm.d&lt;1),
      _xlpm.r/(_xlpm.q*(1-_xlpm.d)),
      ""
   )
)
)</f>
        <v>474.62</v>
      </c>
      <c r="I238" s="5">
        <f>_xlfn.LET(
_xlpm.q,RawData!G238,
_xlpm.u,RawData!H238,
_xlpm.d,RawData!I238,
_xlpm.r,RawData!J238,
IF(AND(ISNUMBER(_xlpm.d),_xlpm.d&gt;=0,_xlpm.d&lt;1),_xlpm.d,
   IF(AND(ISNUMBER(_xlpm.q),_xlpm.q&gt;0,ISNUMBER(_xlpm.u),_xlpm.u&gt;0,ISNUMBER(_xlpm.r),_xlpm.r&gt;=0),
      1-(_xlpm.r/(_xlpm.q*_xlpm.u)),
      ""
   )
)
)</f>
        <v>0.15</v>
      </c>
      <c r="J238" s="4">
        <f>_xlfn.LET(
_xlpm.q,RawData!G238,
_xlpm.u,RawData!H238,
_xlpm.d,RawData!I238,
_xlpm.r,RawData!J238,
IF(AND(ISNUMBER(_xlpm.r),_xlpm.r&gt;=0),_xlpm.r,
   IF(AND(ISNUMBER(_xlpm.q),_xlpm.q&gt;0,ISNUMBER(_xlpm.u),_xlpm.u&gt;0,ISNUMBER(_xlpm.d),_xlpm.d&gt;=0,_xlpm.d&lt;1),
      _xlpm.q*_xlpm.u*(1-_xlpm.d),
      ""
   )
)
)</f>
        <v>2420.56</v>
      </c>
      <c r="K238" s="4">
        <f>_xlfn.LET(
_xlpm.c,RawData!K238,
_xlpm.r,RawData!J238,
_xlpm.p,RawData!L238,
IF(AND(ISNUMBER(_xlpm.c),_xlpm.c&gt;=0),_xlpm.c,
   IF(AND(ISNUMBER(_xlpm.r),ISNUMBER(_xlpm.p)),
      _xlpm.r-_xlpm.p,
      ""
   )
)
)</f>
        <v>1913.72</v>
      </c>
      <c r="L238" s="4">
        <f>_xlfn.LET(
_xlpm.p,RawData!L238,
_xlpm.r,RawData!J238,
_xlpm.c,RawData!K238,
IF(ISNUMBER(_xlpm.p),_xlpm.p,
IF(AND(ISNUMBER(_xlpm.r),ISNUMBER(_xlpm.c)),
_xlpm.r-_xlpm.c,
""
)
))</f>
        <v>506.84</v>
      </c>
    </row>
    <row r="239" spans="1:12" x14ac:dyDescent="0.35">
      <c r="A239" t="s">
        <v>275</v>
      </c>
      <c r="B239" s="7">
        <v>45691</v>
      </c>
      <c r="C239" t="str">
        <f>IF(RawData!C239="","Unknown",PROPER(TRIM(CLEAN(SUBSTITUTE(RawData!C239,CHAR(160)," ")))))</f>
        <v>South</v>
      </c>
      <c r="D239" t="str">
        <f>IF(RawData!D239="","Unknown",PROPER(TRIM(CLEAN(SUBSTITUTE(RawData!D239,CHAR(160)," ")))))</f>
        <v>Bengaluru</v>
      </c>
      <c r="E239" t="str">
        <f>IF(RawData!E239="","Unknown",PROPER(TRIM(CLEAN(SUBSTITUTE(RawData!E239,CHAR(160)," ")))))</f>
        <v>Office Chair</v>
      </c>
      <c r="F239" t="str">
        <f>IF(RawData!F239="","Unknown",PROPER(TRIM(CLEAN(SUBSTITUTE(RawData!F239,CHAR(160)," ")))))</f>
        <v>Furniture</v>
      </c>
      <c r="G239">
        <f>_xlfn.LET(
_xlpm.q,RawData!G239,
_xlpm.u,RawData!H239,
_xlpm.d,RawData!I239,
_xlpm.r,RawData!J239,
IF(AND(ISNUMBER(_xlpm.q),_xlpm.q&gt;0),_xlpm.q,
   IF(AND(ISNUMBER(_xlpm.r),ISNUMBER(_xlpm.u),_xlpm.u&gt;0,ISNUMBER(_xlpm.d),_xlpm.d&gt;=0,_xlpm.d&lt;1),
      ROUND(_xlpm.r/(_xlpm.u*(1-_xlpm.d)),0),
      ""
   )
)
)</f>
        <v>10</v>
      </c>
      <c r="H239" s="4">
        <f>_xlfn.LET(
_xlpm.q,RawData!G239,
_xlpm.u,RawData!H239,
_xlpm.d,RawData!I239,
_xlpm.r,RawData!J239,
IF(AND(ISNUMBER(_xlpm.u),_xlpm.u&gt;0),_xlpm.u,
   IF(AND(ISNUMBER(_xlpm.q),_xlpm.q&gt;0,ISNUMBER(_xlpm.r),ISNUMBER(_xlpm.d),_xlpm.d&gt;=0,_xlpm.d&lt;1),
      _xlpm.r/(_xlpm.q*(1-_xlpm.d)),
      ""
   )
)
)</f>
        <v>181.5</v>
      </c>
      <c r="I239" s="5">
        <f>_xlfn.LET(
_xlpm.q,RawData!G239,
_xlpm.u,RawData!H239,
_xlpm.d,RawData!I239,
_xlpm.r,RawData!J239,
IF(AND(ISNUMBER(_xlpm.d),_xlpm.d&gt;=0,_xlpm.d&lt;1),_xlpm.d,
   IF(AND(ISNUMBER(_xlpm.q),_xlpm.q&gt;0,ISNUMBER(_xlpm.u),_xlpm.u&gt;0,ISNUMBER(_xlpm.r),_xlpm.r&gt;=0),
      1-(_xlpm.r/(_xlpm.q*_xlpm.u)),
      ""
   )
)
)</f>
        <v>0.2</v>
      </c>
      <c r="J239" s="4">
        <f>_xlfn.LET(
_xlpm.q,RawData!G239,
_xlpm.u,RawData!H239,
_xlpm.d,RawData!I239,
_xlpm.r,RawData!J239,
IF(AND(ISNUMBER(_xlpm.r),_xlpm.r&gt;=0),_xlpm.r,
   IF(AND(ISNUMBER(_xlpm.q),_xlpm.q&gt;0,ISNUMBER(_xlpm.u),_xlpm.u&gt;0,ISNUMBER(_xlpm.d),_xlpm.d&gt;=0,_xlpm.d&lt;1),
      _xlpm.q*_xlpm.u*(1-_xlpm.d),
      ""
   )
)
)</f>
        <v>1452</v>
      </c>
      <c r="K239" s="4">
        <f>_xlfn.LET(
_xlpm.c,RawData!K239,
_xlpm.r,RawData!J239,
_xlpm.p,RawData!L239,
IF(AND(ISNUMBER(_xlpm.c),_xlpm.c&gt;=0),_xlpm.c,
   IF(AND(ISNUMBER(_xlpm.r),ISNUMBER(_xlpm.p)),
      _xlpm.r-_xlpm.p,
      ""
   )
)
)</f>
        <v>1187.8800000000001</v>
      </c>
      <c r="L239" s="4">
        <f>_xlfn.LET(
_xlpm.p,RawData!L239,
_xlpm.r,RawData!J239,
_xlpm.c,RawData!K239,
IF(ISNUMBER(_xlpm.p),_xlpm.p,
IF(AND(ISNUMBER(_xlpm.r),ISNUMBER(_xlpm.c)),
_xlpm.r-_xlpm.c,
""
)
))</f>
        <v>264.12</v>
      </c>
    </row>
    <row r="240" spans="1:12" x14ac:dyDescent="0.35">
      <c r="A240" t="s">
        <v>276</v>
      </c>
      <c r="B240" s="7">
        <v>45938</v>
      </c>
      <c r="C240" t="str">
        <f>IF(RawData!C240="","Unknown",PROPER(TRIM(CLEAN(SUBSTITUTE(RawData!C240,CHAR(160)," ")))))</f>
        <v>East</v>
      </c>
      <c r="D240" t="str">
        <f>IF(RawData!D240="","Unknown",PROPER(TRIM(CLEAN(SUBSTITUTE(RawData!D240,CHAR(160)," ")))))</f>
        <v>Bhubaneswar</v>
      </c>
      <c r="E240" t="str">
        <f>IF(RawData!E240="","Unknown",PROPER(TRIM(CLEAN(SUBSTITUTE(RawData!E240,CHAR(160)," ")))))</f>
        <v>Bookshelf</v>
      </c>
      <c r="F240" t="str">
        <f>IF(RawData!F240="","Unknown",PROPER(TRIM(CLEAN(SUBSTITUTE(RawData!F240,CHAR(160)," ")))))</f>
        <v>Furniture</v>
      </c>
      <c r="G240">
        <f>_xlfn.LET(
_xlpm.q,RawData!G240,
_xlpm.u,RawData!H240,
_xlpm.d,RawData!I240,
_xlpm.r,RawData!J240,
IF(AND(ISNUMBER(_xlpm.q),_xlpm.q&gt;0),_xlpm.q,
   IF(AND(ISNUMBER(_xlpm.r),ISNUMBER(_xlpm.u),_xlpm.u&gt;0,ISNUMBER(_xlpm.d),_xlpm.d&gt;=0,_xlpm.d&lt;1),
      ROUND(_xlpm.r/(_xlpm.u*(1-_xlpm.d)),0),
      ""
   )
)
)</f>
        <v>10</v>
      </c>
      <c r="H240" s="4">
        <f>_xlfn.LET(
_xlpm.q,RawData!G240,
_xlpm.u,RawData!H240,
_xlpm.d,RawData!I240,
_xlpm.r,RawData!J240,
IF(AND(ISNUMBER(_xlpm.u),_xlpm.u&gt;0),_xlpm.u,
   IF(AND(ISNUMBER(_xlpm.q),_xlpm.q&gt;0,ISNUMBER(_xlpm.r),ISNUMBER(_xlpm.d),_xlpm.d&gt;=0,_xlpm.d&lt;1),
      _xlpm.r/(_xlpm.q*(1-_xlpm.d)),
      ""
   )
)
)</f>
        <v>122.1</v>
      </c>
      <c r="I240" s="5">
        <f>_xlfn.LET(
_xlpm.q,RawData!G240,
_xlpm.u,RawData!H240,
_xlpm.d,RawData!I240,
_xlpm.r,RawData!J240,
IF(AND(ISNUMBER(_xlpm.d),_xlpm.d&gt;=0,_xlpm.d&lt;1),_xlpm.d,
   IF(AND(ISNUMBER(_xlpm.q),_xlpm.q&gt;0,ISNUMBER(_xlpm.u),_xlpm.u&gt;0,ISNUMBER(_xlpm.r),_xlpm.r&gt;=0),
      1-(_xlpm.r/(_xlpm.q*_xlpm.u)),
      ""
   )
)
)</f>
        <v>0.15</v>
      </c>
      <c r="J240" s="4">
        <f>_xlfn.LET(
_xlpm.q,RawData!G240,
_xlpm.u,RawData!H240,
_xlpm.d,RawData!I240,
_xlpm.r,RawData!J240,
IF(AND(ISNUMBER(_xlpm.r),_xlpm.r&gt;=0),_xlpm.r,
   IF(AND(ISNUMBER(_xlpm.q),_xlpm.q&gt;0,ISNUMBER(_xlpm.u),_xlpm.u&gt;0,ISNUMBER(_xlpm.d),_xlpm.d&gt;=0,_xlpm.d&lt;1),
      _xlpm.q*_xlpm.u*(1-_xlpm.d),
      ""
   )
)
)</f>
        <v>1037.8499999999999</v>
      </c>
      <c r="K240" s="4">
        <f>_xlfn.LET(
_xlpm.c,RawData!K240,
_xlpm.r,RawData!J240,
_xlpm.p,RawData!L240,
IF(AND(ISNUMBER(_xlpm.c),_xlpm.c&gt;=0),_xlpm.c,
   IF(AND(ISNUMBER(_xlpm.r),ISNUMBER(_xlpm.p)),
      _xlpm.r-_xlpm.p,
      ""
   )
)
)</f>
        <v>726.02</v>
      </c>
      <c r="L240" s="4">
        <f>_xlfn.LET(
_xlpm.p,RawData!L240,
_xlpm.r,RawData!J240,
_xlpm.c,RawData!K240,
IF(ISNUMBER(_xlpm.p),_xlpm.p,
IF(AND(ISNUMBER(_xlpm.r),ISNUMBER(_xlpm.c)),
_xlpm.r-_xlpm.c,
""
)
))</f>
        <v>311.83</v>
      </c>
    </row>
    <row r="241" spans="1:12" x14ac:dyDescent="0.35">
      <c r="A241" t="s">
        <v>277</v>
      </c>
      <c r="B241" s="7">
        <v>45890</v>
      </c>
      <c r="C241" t="str">
        <f>IF(RawData!C241="","Unknown",PROPER(TRIM(CLEAN(SUBSTITUTE(RawData!C241,CHAR(160)," ")))))</f>
        <v>West</v>
      </c>
      <c r="D241" t="str">
        <f>IF(RawData!D241="","Unknown",PROPER(TRIM(CLEAN(SUBSTITUTE(RawData!D241,CHAR(160)," ")))))</f>
        <v>Ahmedabad</v>
      </c>
      <c r="E241" t="str">
        <f>IF(RawData!E241="","Unknown",PROPER(TRIM(CLEAN(SUBSTITUTE(RawData!E241,CHAR(160)," ")))))</f>
        <v>Smartphone</v>
      </c>
      <c r="F241" t="str">
        <f>IF(RawData!F241="","Unknown",PROPER(TRIM(CLEAN(SUBSTITUTE(RawData!F241,CHAR(160)," ")))))</f>
        <v>Electronics</v>
      </c>
      <c r="G241">
        <f>_xlfn.LET(
_xlpm.q,RawData!G241,
_xlpm.u,RawData!H241,
_xlpm.d,RawData!I241,
_xlpm.r,RawData!J241,
IF(AND(ISNUMBER(_xlpm.q),_xlpm.q&gt;0),_xlpm.q,
   IF(AND(ISNUMBER(_xlpm.r),ISNUMBER(_xlpm.u),_xlpm.u&gt;0,ISNUMBER(_xlpm.d),_xlpm.d&gt;=0,_xlpm.d&lt;1),
      ROUND(_xlpm.r/(_xlpm.u*(1-_xlpm.d)),0),
      ""
   )
)
)</f>
        <v>2</v>
      </c>
      <c r="H241" s="4">
        <f>_xlfn.LET(
_xlpm.q,RawData!G241,
_xlpm.u,RawData!H241,
_xlpm.d,RawData!I241,
_xlpm.r,RawData!J241,
IF(AND(ISNUMBER(_xlpm.u),_xlpm.u&gt;0),_xlpm.u,
   IF(AND(ISNUMBER(_xlpm.q),_xlpm.q&gt;0,ISNUMBER(_xlpm.r),ISNUMBER(_xlpm.d),_xlpm.d&gt;=0,_xlpm.d&lt;1),
      _xlpm.r/(_xlpm.q*(1-_xlpm.d)),
      ""
   )
)
)</f>
        <v>627.42999999999995</v>
      </c>
      <c r="I241" s="5">
        <f>_xlfn.LET(
_xlpm.q,RawData!G241,
_xlpm.u,RawData!H241,
_xlpm.d,RawData!I241,
_xlpm.r,RawData!J241,
IF(AND(ISNUMBER(_xlpm.d),_xlpm.d&gt;=0,_xlpm.d&lt;1),_xlpm.d,
   IF(AND(ISNUMBER(_xlpm.q),_xlpm.q&gt;0,ISNUMBER(_xlpm.u),_xlpm.u&gt;0,ISNUMBER(_xlpm.r),_xlpm.r&gt;=0),
      1-(_xlpm.r/(_xlpm.q*_xlpm.u)),
      ""
   )
)
)</f>
        <v>0.2</v>
      </c>
      <c r="J241" s="4">
        <f>_xlfn.LET(
_xlpm.q,RawData!G241,
_xlpm.u,RawData!H241,
_xlpm.d,RawData!I241,
_xlpm.r,RawData!J241,
IF(AND(ISNUMBER(_xlpm.r),_xlpm.r&gt;=0),_xlpm.r,
   IF(AND(ISNUMBER(_xlpm.q),_xlpm.q&gt;0,ISNUMBER(_xlpm.u),_xlpm.u&gt;0,ISNUMBER(_xlpm.d),_xlpm.d&gt;=0,_xlpm.d&lt;1),
      _xlpm.q*_xlpm.u*(1-_xlpm.d),
      ""
   )
)
)</f>
        <v>1003.89</v>
      </c>
      <c r="K241" s="4">
        <f>_xlfn.LET(
_xlpm.c,RawData!K241,
_xlpm.r,RawData!J241,
_xlpm.p,RawData!L241,
IF(AND(ISNUMBER(_xlpm.c),_xlpm.c&gt;=0),_xlpm.c,
   IF(AND(ISNUMBER(_xlpm.r),ISNUMBER(_xlpm.p)),
      _xlpm.r-_xlpm.p,
      ""
   )
)
)</f>
        <v>693.93</v>
      </c>
      <c r="L241" s="4">
        <f>_xlfn.LET(
_xlpm.p,RawData!L241,
_xlpm.r,RawData!J241,
_xlpm.c,RawData!K241,
IF(ISNUMBER(_xlpm.p),_xlpm.p,
IF(AND(ISNUMBER(_xlpm.r),ISNUMBER(_xlpm.c)),
_xlpm.r-_xlpm.c,
""
)
))</f>
        <v>309.95999999999998</v>
      </c>
    </row>
    <row r="242" spans="1:12" x14ac:dyDescent="0.35">
      <c r="A242" t="s">
        <v>278</v>
      </c>
      <c r="B242" s="7">
        <v>45940</v>
      </c>
      <c r="C242" t="str">
        <f>IF(RawData!C242="","Unknown",PROPER(TRIM(CLEAN(SUBSTITUTE(RawData!C242,CHAR(160)," ")))))</f>
        <v>South</v>
      </c>
      <c r="D242" t="str">
        <f>IF(RawData!D242="","Unknown",PROPER(TRIM(CLEAN(SUBSTITUTE(RawData!D242,CHAR(160)," ")))))</f>
        <v>Chennai</v>
      </c>
      <c r="E242" t="str">
        <f>IF(RawData!E242="","Unknown",PROPER(TRIM(CLEAN(SUBSTITUTE(RawData!E242,CHAR(160)," ")))))</f>
        <v>Bookshelf</v>
      </c>
      <c r="F242" t="str">
        <f>IF(RawData!F242="","Unknown",PROPER(TRIM(CLEAN(SUBSTITUTE(RawData!F242,CHAR(160)," ")))))</f>
        <v>Furniture</v>
      </c>
      <c r="G242">
        <f>_xlfn.LET(
_xlpm.q,RawData!G242,
_xlpm.u,RawData!H242,
_xlpm.d,RawData!I242,
_xlpm.r,RawData!J242,
IF(AND(ISNUMBER(_xlpm.q),_xlpm.q&gt;0),_xlpm.q,
   IF(AND(ISNUMBER(_xlpm.r),ISNUMBER(_xlpm.u),_xlpm.u&gt;0,ISNUMBER(_xlpm.d),_xlpm.d&gt;=0,_xlpm.d&lt;1),
      ROUND(_xlpm.r/(_xlpm.u*(1-_xlpm.d)),0),
      ""
   )
)
)</f>
        <v>8</v>
      </c>
      <c r="H242" s="4">
        <f>_xlfn.LET(
_xlpm.q,RawData!G242,
_xlpm.u,RawData!H242,
_xlpm.d,RawData!I242,
_xlpm.r,RawData!J242,
IF(AND(ISNUMBER(_xlpm.u),_xlpm.u&gt;0),_xlpm.u,
   IF(AND(ISNUMBER(_xlpm.q),_xlpm.q&gt;0,ISNUMBER(_xlpm.r),ISNUMBER(_xlpm.d),_xlpm.d&gt;=0,_xlpm.d&lt;1),
      _xlpm.r/(_xlpm.q*(1-_xlpm.d)),
      ""
   )
)
)</f>
        <v>145.43</v>
      </c>
      <c r="I242" s="5">
        <f>_xlfn.LET(
_xlpm.q,RawData!G242,
_xlpm.u,RawData!H242,
_xlpm.d,RawData!I242,
_xlpm.r,RawData!J242,
IF(AND(ISNUMBER(_xlpm.d),_xlpm.d&gt;=0,_xlpm.d&lt;1),_xlpm.d,
   IF(AND(ISNUMBER(_xlpm.q),_xlpm.q&gt;0,ISNUMBER(_xlpm.u),_xlpm.u&gt;0,ISNUMBER(_xlpm.r),_xlpm.r&gt;=0),
      1-(_xlpm.r/(_xlpm.q*_xlpm.u)),
      ""
   )
)
)</f>
        <v>0.02</v>
      </c>
      <c r="J242" s="4">
        <f>_xlfn.LET(
_xlpm.q,RawData!G242,
_xlpm.u,RawData!H242,
_xlpm.d,RawData!I242,
_xlpm.r,RawData!J242,
IF(AND(ISNUMBER(_xlpm.r),_xlpm.r&gt;=0),_xlpm.r,
   IF(AND(ISNUMBER(_xlpm.q),_xlpm.q&gt;0,ISNUMBER(_xlpm.u),_xlpm.u&gt;0,ISNUMBER(_xlpm.d),_xlpm.d&gt;=0,_xlpm.d&lt;1),
      _xlpm.q*_xlpm.u*(1-_xlpm.d),
      ""
   )
)
)</f>
        <v>1140.17</v>
      </c>
      <c r="K242" s="4">
        <f>_xlfn.LET(
_xlpm.c,RawData!K242,
_xlpm.r,RawData!J242,
_xlpm.p,RawData!L242,
IF(AND(ISNUMBER(_xlpm.c),_xlpm.c&gt;=0),_xlpm.c,
   IF(AND(ISNUMBER(_xlpm.r),ISNUMBER(_xlpm.p)),
      _xlpm.r-_xlpm.p,
      ""
   )
)
)</f>
        <v>841.28</v>
      </c>
      <c r="L242" s="4">
        <f>_xlfn.LET(
_xlpm.p,RawData!L242,
_xlpm.r,RawData!J242,
_xlpm.c,RawData!K242,
IF(ISNUMBER(_xlpm.p),_xlpm.p,
IF(AND(ISNUMBER(_xlpm.r),ISNUMBER(_xlpm.c)),
_xlpm.r-_xlpm.c,
""
)
))</f>
        <v>298.89</v>
      </c>
    </row>
    <row r="243" spans="1:12" x14ac:dyDescent="0.35">
      <c r="A243" t="s">
        <v>279</v>
      </c>
      <c r="B243" s="7">
        <v>45831</v>
      </c>
      <c r="C243" t="str">
        <f>IF(RawData!C243="","Unknown",PROPER(TRIM(CLEAN(SUBSTITUTE(RawData!C243,CHAR(160)," ")))))</f>
        <v>West</v>
      </c>
      <c r="D243" t="str">
        <f>IF(RawData!D243="","Unknown",PROPER(TRIM(CLEAN(SUBSTITUTE(RawData!D243,CHAR(160)," ")))))</f>
        <v>Mumbai</v>
      </c>
      <c r="E243" t="str">
        <f>IF(RawData!E243="","Unknown",PROPER(TRIM(CLEAN(SUBSTITUTE(RawData!E243,CHAR(160)," ")))))</f>
        <v>Bookshelf</v>
      </c>
      <c r="F243" t="str">
        <f>IF(RawData!F243="","Unknown",PROPER(TRIM(CLEAN(SUBSTITUTE(RawData!F243,CHAR(160)," ")))))</f>
        <v>Furniture</v>
      </c>
      <c r="G243">
        <f>_xlfn.LET(
_xlpm.q,RawData!G243,
_xlpm.u,RawData!H243,
_xlpm.d,RawData!I243,
_xlpm.r,RawData!J243,
IF(AND(ISNUMBER(_xlpm.q),_xlpm.q&gt;0),_xlpm.q,
   IF(AND(ISNUMBER(_xlpm.r),ISNUMBER(_xlpm.u),_xlpm.u&gt;0,ISNUMBER(_xlpm.d),_xlpm.d&gt;=0,_xlpm.d&lt;1),
      ROUND(_xlpm.r/(_xlpm.u*(1-_xlpm.d)),0),
      ""
   )
)
)</f>
        <v>7</v>
      </c>
      <c r="H243" s="4">
        <f>_xlfn.LET(
_xlpm.q,RawData!G243,
_xlpm.u,RawData!H243,
_xlpm.d,RawData!I243,
_xlpm.r,RawData!J243,
IF(AND(ISNUMBER(_xlpm.u),_xlpm.u&gt;0),_xlpm.u,
   IF(AND(ISNUMBER(_xlpm.q),_xlpm.q&gt;0,ISNUMBER(_xlpm.r),ISNUMBER(_xlpm.d),_xlpm.d&gt;=0,_xlpm.d&lt;1),
      _xlpm.r/(_xlpm.q*(1-_xlpm.d)),
      ""
   )
)
)</f>
        <v>138.09</v>
      </c>
      <c r="I243" s="5">
        <f>_xlfn.LET(
_xlpm.q,RawData!G243,
_xlpm.u,RawData!H243,
_xlpm.d,RawData!I243,
_xlpm.r,RawData!J243,
IF(AND(ISNUMBER(_xlpm.d),_xlpm.d&gt;=0,_xlpm.d&lt;1),_xlpm.d,
   IF(AND(ISNUMBER(_xlpm.q),_xlpm.q&gt;0,ISNUMBER(_xlpm.u),_xlpm.u&gt;0,ISNUMBER(_xlpm.r),_xlpm.r&gt;=0),
      1-(_xlpm.r/(_xlpm.q*_xlpm.u)),
      ""
   )
)
)</f>
        <v>0.2</v>
      </c>
      <c r="J243" s="4">
        <f>_xlfn.LET(
_xlpm.q,RawData!G243,
_xlpm.u,RawData!H243,
_xlpm.d,RawData!I243,
_xlpm.r,RawData!J243,
IF(AND(ISNUMBER(_xlpm.r),_xlpm.r&gt;=0),_xlpm.r,
   IF(AND(ISNUMBER(_xlpm.q),_xlpm.q&gt;0,ISNUMBER(_xlpm.u),_xlpm.u&gt;0,ISNUMBER(_xlpm.d),_xlpm.d&gt;=0,_xlpm.d&lt;1),
      _xlpm.q*_xlpm.u*(1-_xlpm.d),
      ""
   )
)
)</f>
        <v>773.3</v>
      </c>
      <c r="K243" s="4">
        <f>_xlfn.LET(
_xlpm.c,RawData!K243,
_xlpm.r,RawData!J243,
_xlpm.p,RawData!L243,
IF(AND(ISNUMBER(_xlpm.c),_xlpm.c&gt;=0),_xlpm.c,
   IF(AND(ISNUMBER(_xlpm.r),ISNUMBER(_xlpm.p)),
      _xlpm.r-_xlpm.p,
      ""
   )
)
)</f>
        <v>556.34</v>
      </c>
      <c r="L243" s="4">
        <f>_xlfn.LET(
_xlpm.p,RawData!L243,
_xlpm.r,RawData!J243,
_xlpm.c,RawData!K243,
IF(ISNUMBER(_xlpm.p),_xlpm.p,
IF(AND(ISNUMBER(_xlpm.r),ISNUMBER(_xlpm.c)),
_xlpm.r-_xlpm.c,
""
)
))</f>
        <v>216.96</v>
      </c>
    </row>
    <row r="244" spans="1:12" x14ac:dyDescent="0.35">
      <c r="A244" t="s">
        <v>280</v>
      </c>
      <c r="B244" s="7">
        <v>45818</v>
      </c>
      <c r="C244" t="str">
        <f>IF(RawData!C244="","Unknown",PROPER(TRIM(CLEAN(SUBSTITUTE(RawData!C244,CHAR(160)," ")))))</f>
        <v>West</v>
      </c>
      <c r="D244" t="str">
        <f>IF(RawData!D244="","Unknown",PROPER(TRIM(CLEAN(SUBSTITUTE(RawData!D244,CHAR(160)," ")))))</f>
        <v>Mumbai</v>
      </c>
      <c r="E244" t="str">
        <f>IF(RawData!E244="","Unknown",PROPER(TRIM(CLEAN(SUBSTITUTE(RawData!E244,CHAR(160)," ")))))</f>
        <v>Desk</v>
      </c>
      <c r="F244" t="str">
        <f>IF(RawData!F244="","Unknown",PROPER(TRIM(CLEAN(SUBSTITUTE(RawData!F244,CHAR(160)," ")))))</f>
        <v>Furniture</v>
      </c>
      <c r="G244">
        <f>_xlfn.LET(
_xlpm.q,RawData!G244,
_xlpm.u,RawData!H244,
_xlpm.d,RawData!I244,
_xlpm.r,RawData!J244,
IF(AND(ISNUMBER(_xlpm.q),_xlpm.q&gt;0),_xlpm.q,
   IF(AND(ISNUMBER(_xlpm.r),ISNUMBER(_xlpm.u),_xlpm.u&gt;0,ISNUMBER(_xlpm.d),_xlpm.d&gt;=0,_xlpm.d&lt;1),
      ROUND(_xlpm.r/(_xlpm.u*(1-_xlpm.d)),0),
      ""
   )
)
)</f>
        <v>5</v>
      </c>
      <c r="H244" s="4">
        <f>_xlfn.LET(
_xlpm.q,RawData!G244,
_xlpm.u,RawData!H244,
_xlpm.d,RawData!I244,
_xlpm.r,RawData!J244,
IF(AND(ISNUMBER(_xlpm.u),_xlpm.u&gt;0),_xlpm.u,
   IF(AND(ISNUMBER(_xlpm.q),_xlpm.q&gt;0,ISNUMBER(_xlpm.r),ISNUMBER(_xlpm.d),_xlpm.d&gt;=0,_xlpm.d&lt;1),
      _xlpm.r/(_xlpm.q*(1-_xlpm.d)),
      ""
   )
)
)</f>
        <v>256.32</v>
      </c>
      <c r="I244" s="5">
        <f>_xlfn.LET(
_xlpm.q,RawData!G244,
_xlpm.u,RawData!H244,
_xlpm.d,RawData!I244,
_xlpm.r,RawData!J244,
IF(AND(ISNUMBER(_xlpm.d),_xlpm.d&gt;=0,_xlpm.d&lt;1),_xlpm.d,
   IF(AND(ISNUMBER(_xlpm.q),_xlpm.q&gt;0,ISNUMBER(_xlpm.u),_xlpm.u&gt;0,ISNUMBER(_xlpm.r),_xlpm.r&gt;=0),
      1-(_xlpm.r/(_xlpm.q*_xlpm.u)),
      ""
   )
)
)</f>
        <v>0.05</v>
      </c>
      <c r="J244" s="4">
        <f>_xlfn.LET(
_xlpm.q,RawData!G244,
_xlpm.u,RawData!H244,
_xlpm.d,RawData!I244,
_xlpm.r,RawData!J244,
IF(AND(ISNUMBER(_xlpm.r),_xlpm.r&gt;=0),_xlpm.r,
   IF(AND(ISNUMBER(_xlpm.q),_xlpm.q&gt;0,ISNUMBER(_xlpm.u),_xlpm.u&gt;0,ISNUMBER(_xlpm.d),_xlpm.d&gt;=0,_xlpm.d&lt;1),
      _xlpm.q*_xlpm.u*(1-_xlpm.d),
      ""
   )
)
)</f>
        <v>1217.52</v>
      </c>
      <c r="K244" s="4">
        <f>_xlfn.LET(
_xlpm.c,RawData!K244,
_xlpm.r,RawData!J244,
_xlpm.p,RawData!L244,
IF(AND(ISNUMBER(_xlpm.c),_xlpm.c&gt;=0),_xlpm.c,
   IF(AND(ISNUMBER(_xlpm.r),ISNUMBER(_xlpm.p)),
      _xlpm.r-_xlpm.p,
      ""
   )
)
)</f>
        <v>965.87</v>
      </c>
      <c r="L244" s="4">
        <f>_xlfn.LET(
_xlpm.p,RawData!L244,
_xlpm.r,RawData!J244,
_xlpm.c,RawData!K244,
IF(ISNUMBER(_xlpm.p),_xlpm.p,
IF(AND(ISNUMBER(_xlpm.r),ISNUMBER(_xlpm.c)),
_xlpm.r-_xlpm.c,
""
)
))</f>
        <v>251.65</v>
      </c>
    </row>
    <row r="245" spans="1:12" x14ac:dyDescent="0.35">
      <c r="A245" t="s">
        <v>281</v>
      </c>
      <c r="B245" s="7">
        <v>46009</v>
      </c>
      <c r="C245" t="str">
        <f>IF(RawData!C245="","Unknown",PROPER(TRIM(CLEAN(SUBSTITUTE(RawData!C245,CHAR(160)," ")))))</f>
        <v>West</v>
      </c>
      <c r="D245" t="str">
        <f>IF(RawData!D245="","Unknown",PROPER(TRIM(CLEAN(SUBSTITUTE(RawData!D245,CHAR(160)," ")))))</f>
        <v>Mumbai</v>
      </c>
      <c r="E245" t="str">
        <f>IF(RawData!E245="","Unknown",PROPER(TRIM(CLEAN(SUBSTITUTE(RawData!E245,CHAR(160)," ")))))</f>
        <v>Smartphone</v>
      </c>
      <c r="F245" t="str">
        <f>IF(RawData!F245="","Unknown",PROPER(TRIM(CLEAN(SUBSTITUTE(RawData!F245,CHAR(160)," ")))))</f>
        <v>Electronics</v>
      </c>
      <c r="G245">
        <f>_xlfn.LET(
_xlpm.q,RawData!G245,
_xlpm.u,RawData!H245,
_xlpm.d,RawData!I245,
_xlpm.r,RawData!J245,
IF(AND(ISNUMBER(_xlpm.q),_xlpm.q&gt;0),_xlpm.q,
   IF(AND(ISNUMBER(_xlpm.r),ISNUMBER(_xlpm.u),_xlpm.u&gt;0,ISNUMBER(_xlpm.d),_xlpm.d&gt;=0,_xlpm.d&lt;1),
      ROUND(_xlpm.r/(_xlpm.u*(1-_xlpm.d)),0),
      ""
   )
)
)</f>
        <v>2</v>
      </c>
      <c r="H245" s="4">
        <f>_xlfn.LET(
_xlpm.q,RawData!G245,
_xlpm.u,RawData!H245,
_xlpm.d,RawData!I245,
_xlpm.r,RawData!J245,
IF(AND(ISNUMBER(_xlpm.u),_xlpm.u&gt;0),_xlpm.u,
   IF(AND(ISNUMBER(_xlpm.q),_xlpm.q&gt;0,ISNUMBER(_xlpm.r),ISNUMBER(_xlpm.d),_xlpm.d&gt;=0,_xlpm.d&lt;1),
      _xlpm.r/(_xlpm.q*(1-_xlpm.d)),
      ""
   )
)
)</f>
        <v>475</v>
      </c>
      <c r="I245" s="5">
        <f>_xlfn.LET(
_xlpm.q,RawData!G245,
_xlpm.u,RawData!H245,
_xlpm.d,RawData!I245,
_xlpm.r,RawData!J245,
IF(AND(ISNUMBER(_xlpm.d),_xlpm.d&gt;=0,_xlpm.d&lt;1),_xlpm.d,
   IF(AND(ISNUMBER(_xlpm.q),_xlpm.q&gt;0,ISNUMBER(_xlpm.u),_xlpm.u&gt;0,ISNUMBER(_xlpm.r),_xlpm.r&gt;=0),
      1-(_xlpm.r/(_xlpm.q*_xlpm.u)),
      ""
   )
)
)</f>
        <v>0</v>
      </c>
      <c r="J245" s="4">
        <f>_xlfn.LET(
_xlpm.q,RawData!G245,
_xlpm.u,RawData!H245,
_xlpm.d,RawData!I245,
_xlpm.r,RawData!J245,
IF(AND(ISNUMBER(_xlpm.r),_xlpm.r&gt;=0),_xlpm.r,
   IF(AND(ISNUMBER(_xlpm.q),_xlpm.q&gt;0,ISNUMBER(_xlpm.u),_xlpm.u&gt;0,ISNUMBER(_xlpm.d),_xlpm.d&gt;=0,_xlpm.d&lt;1),
      _xlpm.q*_xlpm.u*(1-_xlpm.d),
      ""
   )
)
)</f>
        <v>950</v>
      </c>
      <c r="K245" s="4">
        <f>_xlfn.LET(
_xlpm.c,RawData!K245,
_xlpm.r,RawData!J245,
_xlpm.p,RawData!L245,
IF(AND(ISNUMBER(_xlpm.c),_xlpm.c&gt;=0),_xlpm.c,
   IF(AND(ISNUMBER(_xlpm.r),ISNUMBER(_xlpm.p)),
      _xlpm.r-_xlpm.p,
      ""
   )
)
)</f>
        <v>594.57000000000005</v>
      </c>
      <c r="L245" s="4">
        <f>_xlfn.LET(
_xlpm.p,RawData!L245,
_xlpm.r,RawData!J245,
_xlpm.c,RawData!K245,
IF(ISNUMBER(_xlpm.p),_xlpm.p,
IF(AND(ISNUMBER(_xlpm.r),ISNUMBER(_xlpm.c)),
_xlpm.r-_xlpm.c,
""
)
))</f>
        <v>355.43</v>
      </c>
    </row>
    <row r="246" spans="1:12" x14ac:dyDescent="0.35">
      <c r="A246" t="s">
        <v>282</v>
      </c>
      <c r="B246" s="7">
        <v>45879</v>
      </c>
      <c r="C246" t="str">
        <f>IF(RawData!C246="","Unknown",PROPER(TRIM(CLEAN(SUBSTITUTE(RawData!C246,CHAR(160)," ")))))</f>
        <v>North</v>
      </c>
      <c r="D246" t="str">
        <f>IF(RawData!D246="","Unknown",PROPER(TRIM(CLEAN(SUBSTITUTE(RawData!D246,CHAR(160)," ")))))</f>
        <v>Lucknow</v>
      </c>
      <c r="E246" t="str">
        <f>IF(RawData!E246="","Unknown",PROPER(TRIM(CLEAN(SUBSTITUTE(RawData!E246,CHAR(160)," ")))))</f>
        <v>Keyboard</v>
      </c>
      <c r="F246" t="str">
        <f>IF(RawData!F246="","Unknown",PROPER(TRIM(CLEAN(SUBSTITUTE(RawData!F246,CHAR(160)," ")))))</f>
        <v>Accessories</v>
      </c>
      <c r="G246">
        <f>_xlfn.LET(
_xlpm.q,RawData!G246,
_xlpm.u,RawData!H246,
_xlpm.d,RawData!I246,
_xlpm.r,RawData!J246,
IF(AND(ISNUMBER(_xlpm.q),_xlpm.q&gt;0),_xlpm.q,
   IF(AND(ISNUMBER(_xlpm.r),ISNUMBER(_xlpm.u),_xlpm.u&gt;0,ISNUMBER(_xlpm.d),_xlpm.d&gt;=0,_xlpm.d&lt;1),
      ROUND(_xlpm.r/(_xlpm.u*(1-_xlpm.d)),0),
      ""
   )
)
)</f>
        <v>6</v>
      </c>
      <c r="H246" s="4">
        <f>_xlfn.LET(
_xlpm.q,RawData!G246,
_xlpm.u,RawData!H246,
_xlpm.d,RawData!I246,
_xlpm.r,RawData!J246,
IF(AND(ISNUMBER(_xlpm.u),_xlpm.u&gt;0),_xlpm.u,
   IF(AND(ISNUMBER(_xlpm.q),_xlpm.q&gt;0,ISNUMBER(_xlpm.r),ISNUMBER(_xlpm.d),_xlpm.d&gt;=0,_xlpm.d&lt;1),
      _xlpm.r/(_xlpm.q*(1-_xlpm.d)),
      ""
   )
)
)</f>
        <v>39.729999999999997</v>
      </c>
      <c r="I246" s="5">
        <f>_xlfn.LET(
_xlpm.q,RawData!G246,
_xlpm.u,RawData!H246,
_xlpm.d,RawData!I246,
_xlpm.r,RawData!J246,
IF(AND(ISNUMBER(_xlpm.d),_xlpm.d&gt;=0,_xlpm.d&lt;1),_xlpm.d,
   IF(AND(ISNUMBER(_xlpm.q),_xlpm.q&gt;0,ISNUMBER(_xlpm.u),_xlpm.u&gt;0,ISNUMBER(_xlpm.r),_xlpm.r&gt;=0),
      1-(_xlpm.r/(_xlpm.q*_xlpm.u)),
      ""
   )
)
)</f>
        <v>0.02</v>
      </c>
      <c r="J246" s="4">
        <f>_xlfn.LET(
_xlpm.q,RawData!G246,
_xlpm.u,RawData!H246,
_xlpm.d,RawData!I246,
_xlpm.r,RawData!J246,
IF(AND(ISNUMBER(_xlpm.r),_xlpm.r&gt;=0),_xlpm.r,
   IF(AND(ISNUMBER(_xlpm.q),_xlpm.q&gt;0,ISNUMBER(_xlpm.u),_xlpm.u&gt;0,ISNUMBER(_xlpm.d),_xlpm.d&gt;=0,_xlpm.d&lt;1),
      _xlpm.q*_xlpm.u*(1-_xlpm.d),
      ""
   )
)
)</f>
        <v>233.61</v>
      </c>
      <c r="K246" s="4">
        <f>_xlfn.LET(
_xlpm.c,RawData!K246,
_xlpm.r,RawData!J246,
_xlpm.p,RawData!L246,
IF(AND(ISNUMBER(_xlpm.c),_xlpm.c&gt;=0),_xlpm.c,
   IF(AND(ISNUMBER(_xlpm.r),ISNUMBER(_xlpm.p)),
      _xlpm.r-_xlpm.p,
      ""
   )
)
)</f>
        <v>184.64</v>
      </c>
      <c r="L246" s="4">
        <f>_xlfn.LET(
_xlpm.p,RawData!L246,
_xlpm.r,RawData!J246,
_xlpm.c,RawData!K246,
IF(ISNUMBER(_xlpm.p),_xlpm.p,
IF(AND(ISNUMBER(_xlpm.r),ISNUMBER(_xlpm.c)),
_xlpm.r-_xlpm.c,
""
)
))</f>
        <v>48.97</v>
      </c>
    </row>
    <row r="247" spans="1:12" x14ac:dyDescent="0.35">
      <c r="A247" t="s">
        <v>283</v>
      </c>
      <c r="B247" s="7">
        <v>45688</v>
      </c>
      <c r="C247" t="str">
        <f>IF(RawData!C247="","Unknown",PROPER(TRIM(CLEAN(SUBSTITUTE(RawData!C247,CHAR(160)," ")))))</f>
        <v>East</v>
      </c>
      <c r="D247" t="str">
        <f>IF(RawData!D247="","Unknown",PROPER(TRIM(CLEAN(SUBSTITUTE(RawData!D247,CHAR(160)," ")))))</f>
        <v>Bhubaneswar</v>
      </c>
      <c r="E247" t="str">
        <f>IF(RawData!E247="","Unknown",PROPER(TRIM(CLEAN(SUBSTITUTE(RawData!E247,CHAR(160)," ")))))</f>
        <v>Backpack</v>
      </c>
      <c r="F247" t="str">
        <f>IF(RawData!F247="","Unknown",PROPER(TRIM(CLEAN(SUBSTITUTE(RawData!F247,CHAR(160)," ")))))</f>
        <v>Accessories</v>
      </c>
      <c r="G247">
        <f>_xlfn.LET(
_xlpm.q,RawData!G247,
_xlpm.u,RawData!H247,
_xlpm.d,RawData!I247,
_xlpm.r,RawData!J247,
IF(AND(ISNUMBER(_xlpm.q),_xlpm.q&gt;0),_xlpm.q,
   IF(AND(ISNUMBER(_xlpm.r),ISNUMBER(_xlpm.u),_xlpm.u&gt;0,ISNUMBER(_xlpm.d),_xlpm.d&gt;=0,_xlpm.d&lt;1),
      ROUND(_xlpm.r/(_xlpm.u*(1-_xlpm.d)),0),
      ""
   )
)
)</f>
        <v>2</v>
      </c>
      <c r="H247" s="4">
        <f>_xlfn.LET(
_xlpm.q,RawData!G247,
_xlpm.u,RawData!H247,
_xlpm.d,RawData!I247,
_xlpm.r,RawData!J247,
IF(AND(ISNUMBER(_xlpm.u),_xlpm.u&gt;0),_xlpm.u,
   IF(AND(ISNUMBER(_xlpm.q),_xlpm.q&gt;0,ISNUMBER(_xlpm.r),ISNUMBER(_xlpm.d),_xlpm.d&gt;=0,_xlpm.d&lt;1),
      _xlpm.r/(_xlpm.q*(1-_xlpm.d)),
      ""
   )
)
)</f>
        <v>44.4</v>
      </c>
      <c r="I247" s="5">
        <f>_xlfn.LET(
_xlpm.q,RawData!G247,
_xlpm.u,RawData!H247,
_xlpm.d,RawData!I247,
_xlpm.r,RawData!J247,
IF(AND(ISNUMBER(_xlpm.d),_xlpm.d&gt;=0,_xlpm.d&lt;1),_xlpm.d,
   IF(AND(ISNUMBER(_xlpm.q),_xlpm.q&gt;0,ISNUMBER(_xlpm.u),_xlpm.u&gt;0,ISNUMBER(_xlpm.r),_xlpm.r&gt;=0),
      1-(_xlpm.r/(_xlpm.q*_xlpm.u)),
      ""
   )
)
)</f>
        <v>0.1</v>
      </c>
      <c r="J247" s="4">
        <f>_xlfn.LET(
_xlpm.q,RawData!G247,
_xlpm.u,RawData!H247,
_xlpm.d,RawData!I247,
_xlpm.r,RawData!J247,
IF(AND(ISNUMBER(_xlpm.r),_xlpm.r&gt;=0),_xlpm.r,
   IF(AND(ISNUMBER(_xlpm.q),_xlpm.q&gt;0,ISNUMBER(_xlpm.u),_xlpm.u&gt;0,ISNUMBER(_xlpm.d),_xlpm.d&gt;=0,_xlpm.d&lt;1),
      _xlpm.q*_xlpm.u*(1-_xlpm.d),
      ""
   )
)
)</f>
        <v>79.92</v>
      </c>
      <c r="K247" s="4">
        <f>_xlfn.LET(
_xlpm.c,RawData!K247,
_xlpm.r,RawData!J247,
_xlpm.p,RawData!L247,
IF(AND(ISNUMBER(_xlpm.c),_xlpm.c&gt;=0),_xlpm.c,
   IF(AND(ISNUMBER(_xlpm.r),ISNUMBER(_xlpm.p)),
      _xlpm.r-_xlpm.p,
      ""
   )
)
)</f>
        <v>57.34</v>
      </c>
      <c r="L247" s="4">
        <f>_xlfn.LET(
_xlpm.p,RawData!L247,
_xlpm.r,RawData!J247,
_xlpm.c,RawData!K247,
IF(ISNUMBER(_xlpm.p),_xlpm.p,
IF(AND(ISNUMBER(_xlpm.r),ISNUMBER(_xlpm.c)),
_xlpm.r-_xlpm.c,
""
)
))</f>
        <v>22.58</v>
      </c>
    </row>
    <row r="248" spans="1:12" x14ac:dyDescent="0.35">
      <c r="A248" t="s">
        <v>284</v>
      </c>
      <c r="B248" s="7">
        <v>45998</v>
      </c>
      <c r="C248" t="str">
        <f>IF(RawData!C248="","Unknown",PROPER(TRIM(CLEAN(SUBSTITUTE(RawData!C248,CHAR(160)," ")))))</f>
        <v>West</v>
      </c>
      <c r="D248" t="str">
        <f>IF(RawData!D248="","Unknown",PROPER(TRIM(CLEAN(SUBSTITUTE(RawData!D248,CHAR(160)," ")))))</f>
        <v>Ahmedabad</v>
      </c>
      <c r="E248" t="str">
        <f>IF(RawData!E248="","Unknown",PROPER(TRIM(CLEAN(SUBSTITUTE(RawData!E248,CHAR(160)," ")))))</f>
        <v>Keyboard</v>
      </c>
      <c r="F248" t="str">
        <f>IF(RawData!F248="","Unknown",PROPER(TRIM(CLEAN(SUBSTITUTE(RawData!F248,CHAR(160)," ")))))</f>
        <v>Accessories</v>
      </c>
      <c r="G248">
        <f>_xlfn.LET(
_xlpm.q,RawData!G248,
_xlpm.u,RawData!H248,
_xlpm.d,RawData!I248,
_xlpm.r,RawData!J248,
IF(AND(ISNUMBER(_xlpm.q),_xlpm.q&gt;0),_xlpm.q,
   IF(AND(ISNUMBER(_xlpm.r),ISNUMBER(_xlpm.u),_xlpm.u&gt;0,ISNUMBER(_xlpm.d),_xlpm.d&gt;=0,_xlpm.d&lt;1),
      ROUND(_xlpm.r/(_xlpm.u*(1-_xlpm.d)),0),
      ""
   )
)
)</f>
        <v>1</v>
      </c>
      <c r="H248" s="4">
        <f>_xlfn.LET(
_xlpm.q,RawData!G248,
_xlpm.u,RawData!H248,
_xlpm.d,RawData!I248,
_xlpm.r,RawData!J248,
IF(AND(ISNUMBER(_xlpm.u),_xlpm.u&gt;0),_xlpm.u,
   IF(AND(ISNUMBER(_xlpm.q),_xlpm.q&gt;0,ISNUMBER(_xlpm.r),ISNUMBER(_xlpm.d),_xlpm.d&gt;=0,_xlpm.d&lt;1),
      _xlpm.r/(_xlpm.q*(1-_xlpm.d)),
      ""
   )
)
)</f>
        <v>32.659999999999997</v>
      </c>
      <c r="I248" s="5">
        <f>_xlfn.LET(
_xlpm.q,RawData!G248,
_xlpm.u,RawData!H248,
_xlpm.d,RawData!I248,
_xlpm.r,RawData!J248,
IF(AND(ISNUMBER(_xlpm.d),_xlpm.d&gt;=0,_xlpm.d&lt;1),_xlpm.d,
   IF(AND(ISNUMBER(_xlpm.q),_xlpm.q&gt;0,ISNUMBER(_xlpm.u),_xlpm.u&gt;0,ISNUMBER(_xlpm.r),_xlpm.r&gt;=0),
      1-(_xlpm.r/(_xlpm.q*_xlpm.u)),
      ""
   )
)
)</f>
        <v>0.05</v>
      </c>
      <c r="J248" s="4">
        <f>_xlfn.LET(
_xlpm.q,RawData!G248,
_xlpm.u,RawData!H248,
_xlpm.d,RawData!I248,
_xlpm.r,RawData!J248,
IF(AND(ISNUMBER(_xlpm.r),_xlpm.r&gt;=0),_xlpm.r,
   IF(AND(ISNUMBER(_xlpm.q),_xlpm.q&gt;0,ISNUMBER(_xlpm.u),_xlpm.u&gt;0,ISNUMBER(_xlpm.d),_xlpm.d&gt;=0,_xlpm.d&lt;1),
      _xlpm.q*_xlpm.u*(1-_xlpm.d),
      ""
   )
)
)</f>
        <v>31.03</v>
      </c>
      <c r="K248" s="4">
        <f>_xlfn.LET(
_xlpm.c,RawData!K248,
_xlpm.r,RawData!J248,
_xlpm.p,RawData!L248,
IF(AND(ISNUMBER(_xlpm.c),_xlpm.c&gt;=0),_xlpm.c,
   IF(AND(ISNUMBER(_xlpm.r),ISNUMBER(_xlpm.p)),
      _xlpm.r-_xlpm.p,
      ""
   )
)
)</f>
        <v>18.64</v>
      </c>
      <c r="L248" s="4">
        <f>_xlfn.LET(
_xlpm.p,RawData!L248,
_xlpm.r,RawData!J248,
_xlpm.c,RawData!K248,
IF(ISNUMBER(_xlpm.p),_xlpm.p,
IF(AND(ISNUMBER(_xlpm.r),ISNUMBER(_xlpm.c)),
_xlpm.r-_xlpm.c,
""
)
))</f>
        <v>12.39</v>
      </c>
    </row>
    <row r="249" spans="1:12" x14ac:dyDescent="0.35">
      <c r="A249" t="s">
        <v>285</v>
      </c>
      <c r="B249" s="7">
        <v>45817</v>
      </c>
      <c r="C249" t="str">
        <f>IF(RawData!C249="","Unknown",PROPER(TRIM(CLEAN(SUBSTITUTE(RawData!C249,CHAR(160)," ")))))</f>
        <v>East</v>
      </c>
      <c r="D249" t="str">
        <f>IF(RawData!D249="","Unknown",PROPER(TRIM(CLEAN(SUBSTITUTE(RawData!D249,CHAR(160)," ")))))</f>
        <v>Kolkata</v>
      </c>
      <c r="E249" t="str">
        <f>IF(RawData!E249="","Unknown",PROPER(TRIM(CLEAN(SUBSTITUTE(RawData!E249,CHAR(160)," ")))))</f>
        <v>Smartphone</v>
      </c>
      <c r="F249" t="str">
        <f>IF(RawData!F249="","Unknown",PROPER(TRIM(CLEAN(SUBSTITUTE(RawData!F249,CHAR(160)," ")))))</f>
        <v>Electronics</v>
      </c>
      <c r="G249">
        <f>_xlfn.LET(
_xlpm.q,RawData!G249,
_xlpm.u,RawData!H249,
_xlpm.d,RawData!I249,
_xlpm.r,RawData!J249,
IF(AND(ISNUMBER(_xlpm.q),_xlpm.q&gt;0),_xlpm.q,
   IF(AND(ISNUMBER(_xlpm.r),ISNUMBER(_xlpm.u),_xlpm.u&gt;0,ISNUMBER(_xlpm.d),_xlpm.d&gt;=0,_xlpm.d&lt;1),
      ROUND(_xlpm.r/(_xlpm.u*(1-_xlpm.d)),0),
      ""
   )
)
)</f>
        <v>10</v>
      </c>
      <c r="H249" s="4">
        <f>_xlfn.LET(
_xlpm.q,RawData!G249,
_xlpm.u,RawData!H249,
_xlpm.d,RawData!I249,
_xlpm.r,RawData!J249,
IF(AND(ISNUMBER(_xlpm.u),_xlpm.u&gt;0),_xlpm.u,
   IF(AND(ISNUMBER(_xlpm.q),_xlpm.q&gt;0,ISNUMBER(_xlpm.r),ISNUMBER(_xlpm.d),_xlpm.d&gt;=0,_xlpm.d&lt;1),
      _xlpm.r/(_xlpm.q*(1-_xlpm.d)),
      ""
   )
)
)</f>
        <v>544.01</v>
      </c>
      <c r="I249" s="5">
        <f>_xlfn.LET(
_xlpm.q,RawData!G249,
_xlpm.u,RawData!H249,
_xlpm.d,RawData!I249,
_xlpm.r,RawData!J249,
IF(AND(ISNUMBER(_xlpm.d),_xlpm.d&gt;=0,_xlpm.d&lt;1),_xlpm.d,
   IF(AND(ISNUMBER(_xlpm.q),_xlpm.q&gt;0,ISNUMBER(_xlpm.u),_xlpm.u&gt;0,ISNUMBER(_xlpm.r),_xlpm.r&gt;=0),
      1-(_xlpm.r/(_xlpm.q*_xlpm.u)),
      ""
   )
)
)</f>
        <v>0.15</v>
      </c>
      <c r="J249" s="4">
        <f>_xlfn.LET(
_xlpm.q,RawData!G249,
_xlpm.u,RawData!H249,
_xlpm.d,RawData!I249,
_xlpm.r,RawData!J249,
IF(AND(ISNUMBER(_xlpm.r),_xlpm.r&gt;=0),_xlpm.r,
   IF(AND(ISNUMBER(_xlpm.q),_xlpm.q&gt;0,ISNUMBER(_xlpm.u),_xlpm.u&gt;0,ISNUMBER(_xlpm.d),_xlpm.d&gt;=0,_xlpm.d&lt;1),
      _xlpm.q*_xlpm.u*(1-_xlpm.d),
      ""
   )
)
)</f>
        <v>4624.09</v>
      </c>
      <c r="K249" s="4">
        <f>_xlfn.LET(
_xlpm.c,RawData!K249,
_xlpm.r,RawData!J249,
_xlpm.p,RawData!L249,
IF(AND(ISNUMBER(_xlpm.c),_xlpm.c&gt;=0),_xlpm.c,
   IF(AND(ISNUMBER(_xlpm.r),ISNUMBER(_xlpm.p)),
      _xlpm.r-_xlpm.p,
      ""
   )
)
)</f>
        <v>2984.41</v>
      </c>
      <c r="L249" s="4">
        <f>_xlfn.LET(
_xlpm.p,RawData!L249,
_xlpm.r,RawData!J249,
_xlpm.c,RawData!K249,
IF(ISNUMBER(_xlpm.p),_xlpm.p,
IF(AND(ISNUMBER(_xlpm.r),ISNUMBER(_xlpm.c)),
_xlpm.r-_xlpm.c,
""
)
))</f>
        <v>1639.68</v>
      </c>
    </row>
    <row r="250" spans="1:12" x14ac:dyDescent="0.35">
      <c r="A250" t="s">
        <v>286</v>
      </c>
      <c r="B250" s="7">
        <v>45737</v>
      </c>
      <c r="C250" t="str">
        <f>IF(RawData!C250="","Unknown",PROPER(TRIM(CLEAN(SUBSTITUTE(RawData!C250,CHAR(160)," ")))))</f>
        <v>West</v>
      </c>
      <c r="D250" t="str">
        <f>IF(RawData!D250="","Unknown",PROPER(TRIM(CLEAN(SUBSTITUTE(RawData!D250,CHAR(160)," ")))))</f>
        <v>Ahmedabad</v>
      </c>
      <c r="E250" t="str">
        <f>IF(RawData!E250="","Unknown",PROPER(TRIM(CLEAN(SUBSTITUTE(RawData!E250,CHAR(160)," ")))))</f>
        <v>Monitor</v>
      </c>
      <c r="F250" t="str">
        <f>IF(RawData!F250="","Unknown",PROPER(TRIM(CLEAN(SUBSTITUTE(RawData!F250,CHAR(160)," ")))))</f>
        <v>Electronics</v>
      </c>
      <c r="G250">
        <f>_xlfn.LET(
_xlpm.q,RawData!G250,
_xlpm.u,RawData!H250,
_xlpm.d,RawData!I250,
_xlpm.r,RawData!J250,
IF(AND(ISNUMBER(_xlpm.q),_xlpm.q&gt;0),_xlpm.q,
   IF(AND(ISNUMBER(_xlpm.r),ISNUMBER(_xlpm.u),_xlpm.u&gt;0,ISNUMBER(_xlpm.d),_xlpm.d&gt;=0,_xlpm.d&lt;1),
      ROUND(_xlpm.r/(_xlpm.u*(1-_xlpm.d)),0),
      ""
   )
)
)</f>
        <v>2</v>
      </c>
      <c r="H250" s="4">
        <f>_xlfn.LET(
_xlpm.q,RawData!G250,
_xlpm.u,RawData!H250,
_xlpm.d,RawData!I250,
_xlpm.r,RawData!J250,
IF(AND(ISNUMBER(_xlpm.u),_xlpm.u&gt;0),_xlpm.u,
   IF(AND(ISNUMBER(_xlpm.q),_xlpm.q&gt;0,ISNUMBER(_xlpm.r),ISNUMBER(_xlpm.d),_xlpm.d&gt;=0,_xlpm.d&lt;1),
      _xlpm.r/(_xlpm.q*(1-_xlpm.d)),
      ""
   )
)
)</f>
        <v>225.52</v>
      </c>
      <c r="I250" s="5">
        <f>_xlfn.LET(
_xlpm.q,RawData!G250,
_xlpm.u,RawData!H250,
_xlpm.d,RawData!I250,
_xlpm.r,RawData!J250,
IF(AND(ISNUMBER(_xlpm.d),_xlpm.d&gt;=0,_xlpm.d&lt;1),_xlpm.d,
   IF(AND(ISNUMBER(_xlpm.q),_xlpm.q&gt;0,ISNUMBER(_xlpm.u),_xlpm.u&gt;0,ISNUMBER(_xlpm.r),_xlpm.r&gt;=0),
      1-(_xlpm.r/(_xlpm.q*_xlpm.u)),
      ""
   )
)
)</f>
        <v>0.05</v>
      </c>
      <c r="J250" s="4">
        <f>_xlfn.LET(
_xlpm.q,RawData!G250,
_xlpm.u,RawData!H250,
_xlpm.d,RawData!I250,
_xlpm.r,RawData!J250,
IF(AND(ISNUMBER(_xlpm.r),_xlpm.r&gt;=0),_xlpm.r,
   IF(AND(ISNUMBER(_xlpm.q),_xlpm.q&gt;0,ISNUMBER(_xlpm.u),_xlpm.u&gt;0,ISNUMBER(_xlpm.d),_xlpm.d&gt;=0,_xlpm.d&lt;1),
      _xlpm.q*_xlpm.u*(1-_xlpm.d),
      ""
   )
)
)</f>
        <v>428.49</v>
      </c>
      <c r="K250" s="4">
        <f>_xlfn.LET(
_xlpm.c,RawData!K250,
_xlpm.r,RawData!J250,
_xlpm.p,RawData!L250,
IF(AND(ISNUMBER(_xlpm.c),_xlpm.c&gt;=0),_xlpm.c,
   IF(AND(ISNUMBER(_xlpm.r),ISNUMBER(_xlpm.p)),
      _xlpm.r-_xlpm.p,
      ""
   )
)
)</f>
        <v>244.66</v>
      </c>
      <c r="L250" s="4">
        <f>_xlfn.LET(
_xlpm.p,RawData!L250,
_xlpm.r,RawData!J250,
_xlpm.c,RawData!K250,
IF(ISNUMBER(_xlpm.p),_xlpm.p,
IF(AND(ISNUMBER(_xlpm.r),ISNUMBER(_xlpm.c)),
_xlpm.r-_xlpm.c,
""
)
))</f>
        <v>183.83</v>
      </c>
    </row>
    <row r="251" spans="1:12" x14ac:dyDescent="0.35">
      <c r="A251" t="s">
        <v>287</v>
      </c>
      <c r="B251" s="7">
        <v>45846</v>
      </c>
      <c r="C251" t="str">
        <f>IF(RawData!C251="","Unknown",PROPER(TRIM(CLEAN(SUBSTITUTE(RawData!C251,CHAR(160)," ")))))</f>
        <v>North</v>
      </c>
      <c r="D251" t="str">
        <f>IF(RawData!D251="","Unknown",PROPER(TRIM(CLEAN(SUBSTITUTE(RawData!D251,CHAR(160)," ")))))</f>
        <v>Jaipur</v>
      </c>
      <c r="E251" t="str">
        <f>IF(RawData!E251="","Unknown",PROPER(TRIM(CLEAN(SUBSTITUTE(RawData!E251,CHAR(160)," ")))))</f>
        <v>Office Chair</v>
      </c>
      <c r="F251" t="str">
        <f>IF(RawData!F251="","Unknown",PROPER(TRIM(CLEAN(SUBSTITUTE(RawData!F251,CHAR(160)," ")))))</f>
        <v>Furniture</v>
      </c>
      <c r="G251">
        <f>_xlfn.LET(
_xlpm.q,RawData!G251,
_xlpm.u,RawData!H251,
_xlpm.d,RawData!I251,
_xlpm.r,RawData!J251,
IF(AND(ISNUMBER(_xlpm.q),_xlpm.q&gt;0),_xlpm.q,
   IF(AND(ISNUMBER(_xlpm.r),ISNUMBER(_xlpm.u),_xlpm.u&gt;0,ISNUMBER(_xlpm.d),_xlpm.d&gt;=0,_xlpm.d&lt;1),
      ROUND(_xlpm.r/(_xlpm.u*(1-_xlpm.d)),0),
      ""
   )
)
)</f>
        <v>10</v>
      </c>
      <c r="H251" s="4">
        <f>_xlfn.LET(
_xlpm.q,RawData!G251,
_xlpm.u,RawData!H251,
_xlpm.d,RawData!I251,
_xlpm.r,RawData!J251,
IF(AND(ISNUMBER(_xlpm.u),_xlpm.u&gt;0),_xlpm.u,
   IF(AND(ISNUMBER(_xlpm.q),_xlpm.q&gt;0,ISNUMBER(_xlpm.r),ISNUMBER(_xlpm.d),_xlpm.d&gt;=0,_xlpm.d&lt;1),
      _xlpm.r/(_xlpm.q*(1-_xlpm.d)),
      ""
   )
)
)</f>
        <v>205.62</v>
      </c>
      <c r="I251" s="5">
        <f>_xlfn.LET(
_xlpm.q,RawData!G251,
_xlpm.u,RawData!H251,
_xlpm.d,RawData!I251,
_xlpm.r,RawData!J251,
IF(AND(ISNUMBER(_xlpm.d),_xlpm.d&gt;=0,_xlpm.d&lt;1),_xlpm.d,
   IF(AND(ISNUMBER(_xlpm.q),_xlpm.q&gt;0,ISNUMBER(_xlpm.u),_xlpm.u&gt;0,ISNUMBER(_xlpm.r),_xlpm.r&gt;=0),
      1-(_xlpm.r/(_xlpm.q*_xlpm.u)),
      ""
   )
)
)</f>
        <v>0.02</v>
      </c>
      <c r="J251" s="4">
        <f>_xlfn.LET(
_xlpm.q,RawData!G251,
_xlpm.u,RawData!H251,
_xlpm.d,RawData!I251,
_xlpm.r,RawData!J251,
IF(AND(ISNUMBER(_xlpm.r),_xlpm.r&gt;=0),_xlpm.r,
   IF(AND(ISNUMBER(_xlpm.q),_xlpm.q&gt;0,ISNUMBER(_xlpm.u),_xlpm.u&gt;0,ISNUMBER(_xlpm.d),_xlpm.d&gt;=0,_xlpm.d&lt;1),
      _xlpm.q*_xlpm.u*(1-_xlpm.d),
      ""
   )
)
)</f>
        <v>2015.08</v>
      </c>
      <c r="K251" s="4">
        <f>_xlfn.LET(
_xlpm.c,RawData!K251,
_xlpm.r,RawData!J251,
_xlpm.p,RawData!L251,
IF(AND(ISNUMBER(_xlpm.c),_xlpm.c&gt;=0),_xlpm.c,
   IF(AND(ISNUMBER(_xlpm.r),ISNUMBER(_xlpm.p)),
      _xlpm.r-_xlpm.p,
      ""
   )
)
)</f>
        <v>1644.86</v>
      </c>
      <c r="L251" s="4">
        <f>_xlfn.LET(
_xlpm.p,RawData!L251,
_xlpm.r,RawData!J251,
_xlpm.c,RawData!K251,
IF(ISNUMBER(_xlpm.p),_xlpm.p,
IF(AND(ISNUMBER(_xlpm.r),ISNUMBER(_xlpm.c)),
_xlpm.r-_xlpm.c,
""
)
))</f>
        <v>370.22</v>
      </c>
    </row>
    <row r="252" spans="1:12" x14ac:dyDescent="0.35">
      <c r="A252" t="s">
        <v>288</v>
      </c>
      <c r="B252" s="7">
        <v>45945</v>
      </c>
      <c r="C252" t="str">
        <f>IF(RawData!C252="","Unknown",PROPER(TRIM(CLEAN(SUBSTITUTE(RawData!C252,CHAR(160)," ")))))</f>
        <v>North</v>
      </c>
      <c r="D252" t="str">
        <f>IF(RawData!D252="","Unknown",PROPER(TRIM(CLEAN(SUBSTITUTE(RawData!D252,CHAR(160)," ")))))</f>
        <v>Delhi</v>
      </c>
      <c r="E252" t="str">
        <f>IF(RawData!E252="","Unknown",PROPER(TRIM(CLEAN(SUBSTITUTE(RawData!E252,CHAR(160)," ")))))</f>
        <v>Pen Set</v>
      </c>
      <c r="F252" t="str">
        <f>IF(RawData!F252="","Unknown",PROPER(TRIM(CLEAN(SUBSTITUTE(RawData!F252,CHAR(160)," ")))))</f>
        <v>Office Supplies</v>
      </c>
      <c r="G252">
        <f>_xlfn.LET(
_xlpm.q,RawData!G252,
_xlpm.u,RawData!H252,
_xlpm.d,RawData!I252,
_xlpm.r,RawData!J252,
IF(AND(ISNUMBER(_xlpm.q),_xlpm.q&gt;0),_xlpm.q,
   IF(AND(ISNUMBER(_xlpm.r),ISNUMBER(_xlpm.u),_xlpm.u&gt;0,ISNUMBER(_xlpm.d),_xlpm.d&gt;=0,_xlpm.d&lt;1),
      ROUND(_xlpm.r/(_xlpm.u*(1-_xlpm.d)),0),
      ""
   )
)
)</f>
        <v>5</v>
      </c>
      <c r="H252" s="4">
        <f>_xlfn.LET(
_xlpm.q,RawData!G252,
_xlpm.u,RawData!H252,
_xlpm.d,RawData!I252,
_xlpm.r,RawData!J252,
IF(AND(ISNUMBER(_xlpm.u),_xlpm.u&gt;0),_xlpm.u,
   IF(AND(ISNUMBER(_xlpm.q),_xlpm.q&gt;0,ISNUMBER(_xlpm.r),ISNUMBER(_xlpm.d),_xlpm.d&gt;=0,_xlpm.d&lt;1),
      _xlpm.r/(_xlpm.q*(1-_xlpm.d)),
      ""
   )
)
)</f>
        <v>12.71</v>
      </c>
      <c r="I252" s="5">
        <f>_xlfn.LET(
_xlpm.q,RawData!G252,
_xlpm.u,RawData!H252,
_xlpm.d,RawData!I252,
_xlpm.r,RawData!J252,
IF(AND(ISNUMBER(_xlpm.d),_xlpm.d&gt;=0,_xlpm.d&lt;1),_xlpm.d,
   IF(AND(ISNUMBER(_xlpm.q),_xlpm.q&gt;0,ISNUMBER(_xlpm.u),_xlpm.u&gt;0,ISNUMBER(_xlpm.r),_xlpm.r&gt;=0),
      1-(_xlpm.r/(_xlpm.q*_xlpm.u)),
      ""
   )
)
)</f>
        <v>0</v>
      </c>
      <c r="J252" s="4">
        <f>_xlfn.LET(
_xlpm.q,RawData!G252,
_xlpm.u,RawData!H252,
_xlpm.d,RawData!I252,
_xlpm.r,RawData!J252,
IF(AND(ISNUMBER(_xlpm.r),_xlpm.r&gt;=0),_xlpm.r,
   IF(AND(ISNUMBER(_xlpm.q),_xlpm.q&gt;0,ISNUMBER(_xlpm.u),_xlpm.u&gt;0,ISNUMBER(_xlpm.d),_xlpm.d&gt;=0,_xlpm.d&lt;1),
      _xlpm.q*_xlpm.u*(1-_xlpm.d),
      ""
   )
)
)</f>
        <v>63.55</v>
      </c>
      <c r="K252" s="4">
        <f>_xlfn.LET(
_xlpm.c,RawData!K252,
_xlpm.r,RawData!J252,
_xlpm.p,RawData!L252,
IF(AND(ISNUMBER(_xlpm.c),_xlpm.c&gt;=0),_xlpm.c,
   IF(AND(ISNUMBER(_xlpm.r),ISNUMBER(_xlpm.p)),
      _xlpm.r-_xlpm.p,
      ""
   )
)
)</f>
        <v>44.15</v>
      </c>
      <c r="L252" s="4">
        <f>_xlfn.LET(
_xlpm.p,RawData!L252,
_xlpm.r,RawData!J252,
_xlpm.c,RawData!K252,
IF(ISNUMBER(_xlpm.p),_xlpm.p,
IF(AND(ISNUMBER(_xlpm.r),ISNUMBER(_xlpm.c)),
_xlpm.r-_xlpm.c,
""
)
))</f>
        <v>19.399999999999999</v>
      </c>
    </row>
    <row r="253" spans="1:12" x14ac:dyDescent="0.35">
      <c r="A253" t="s">
        <v>289</v>
      </c>
      <c r="B253" s="7">
        <v>45797</v>
      </c>
      <c r="C253" t="str">
        <f>IF(RawData!C253="","Unknown",PROPER(TRIM(CLEAN(SUBSTITUTE(RawData!C253,CHAR(160)," ")))))</f>
        <v>West</v>
      </c>
      <c r="D253" t="str">
        <f>IF(RawData!D253="","Unknown",PROPER(TRIM(CLEAN(SUBSTITUTE(RawData!D253,CHAR(160)," ")))))</f>
        <v>Kolkata</v>
      </c>
      <c r="E253" t="str">
        <f>IF(RawData!E253="","Unknown",PROPER(TRIM(CLEAN(SUBSTITUTE(RawData!E253,CHAR(160)," ")))))</f>
        <v>Desk</v>
      </c>
      <c r="F253" t="str">
        <f>IF(RawData!F253="","Unknown",PROPER(TRIM(CLEAN(SUBSTITUTE(RawData!F253,CHAR(160)," ")))))</f>
        <v>Furniture</v>
      </c>
      <c r="G253">
        <f>_xlfn.LET(
_xlpm.q,RawData!G253,
_xlpm.u,RawData!H253,
_xlpm.d,RawData!I253,
_xlpm.r,RawData!J253,
IF(AND(ISNUMBER(_xlpm.q),_xlpm.q&gt;0),_xlpm.q,
   IF(AND(ISNUMBER(_xlpm.r),ISNUMBER(_xlpm.u),_xlpm.u&gt;0,ISNUMBER(_xlpm.d),_xlpm.d&gt;=0,_xlpm.d&lt;1),
      ROUND(_xlpm.r/(_xlpm.u*(1-_xlpm.d)),0),
      ""
   )
)
)</f>
        <v>6</v>
      </c>
      <c r="H253" s="4">
        <f>_xlfn.LET(
_xlpm.q,RawData!G253,
_xlpm.u,RawData!H253,
_xlpm.d,RawData!I253,
_xlpm.r,RawData!J253,
IF(AND(ISNUMBER(_xlpm.u),_xlpm.u&gt;0),_xlpm.u,
   IF(AND(ISNUMBER(_xlpm.q),_xlpm.q&gt;0,ISNUMBER(_xlpm.r),ISNUMBER(_xlpm.d),_xlpm.d&gt;=0,_xlpm.d&lt;1),
      _xlpm.r/(_xlpm.q*(1-_xlpm.d)),
      ""
   )
)
)</f>
        <v>235.71</v>
      </c>
      <c r="I253" s="5">
        <f>_xlfn.LET(
_xlpm.q,RawData!G253,
_xlpm.u,RawData!H253,
_xlpm.d,RawData!I253,
_xlpm.r,RawData!J253,
IF(AND(ISNUMBER(_xlpm.d),_xlpm.d&gt;=0,_xlpm.d&lt;1),_xlpm.d,
   IF(AND(ISNUMBER(_xlpm.q),_xlpm.q&gt;0,ISNUMBER(_xlpm.u),_xlpm.u&gt;0,ISNUMBER(_xlpm.r),_xlpm.r&gt;=0),
      1-(_xlpm.r/(_xlpm.q*_xlpm.u)),
      ""
   )
)
)</f>
        <v>0</v>
      </c>
      <c r="J253" s="4">
        <f>_xlfn.LET(
_xlpm.q,RawData!G253,
_xlpm.u,RawData!H253,
_xlpm.d,RawData!I253,
_xlpm.r,RawData!J253,
IF(AND(ISNUMBER(_xlpm.r),_xlpm.r&gt;=0),_xlpm.r,
   IF(AND(ISNUMBER(_xlpm.q),_xlpm.q&gt;0,ISNUMBER(_xlpm.u),_xlpm.u&gt;0,ISNUMBER(_xlpm.d),_xlpm.d&gt;=0,_xlpm.d&lt;1),
      _xlpm.q*_xlpm.u*(1-_xlpm.d),
      ""
   )
)
)</f>
        <v>1414.26</v>
      </c>
      <c r="K253" s="4">
        <f>_xlfn.LET(
_xlpm.c,RawData!K253,
_xlpm.r,RawData!J253,
_xlpm.p,RawData!L253,
IF(AND(ISNUMBER(_xlpm.c),_xlpm.c&gt;=0),_xlpm.c,
   IF(AND(ISNUMBER(_xlpm.r),ISNUMBER(_xlpm.p)),
      _xlpm.r-_xlpm.p,
      ""
   )
)
)</f>
        <v>1088.5899999999999</v>
      </c>
      <c r="L253" s="4">
        <f>_xlfn.LET(
_xlpm.p,RawData!L253,
_xlpm.r,RawData!J253,
_xlpm.c,RawData!K253,
IF(ISNUMBER(_xlpm.p),_xlpm.p,
IF(AND(ISNUMBER(_xlpm.r),ISNUMBER(_xlpm.c)),
_xlpm.r-_xlpm.c,
""
)
))</f>
        <v>325.67</v>
      </c>
    </row>
    <row r="254" spans="1:12" x14ac:dyDescent="0.35">
      <c r="A254" t="s">
        <v>291</v>
      </c>
      <c r="B254" s="7">
        <v>45731</v>
      </c>
      <c r="C254" t="str">
        <f>IF(RawData!C254="","Unknown",PROPER(TRIM(CLEAN(SUBSTITUTE(RawData!C254,CHAR(160)," ")))))</f>
        <v>West</v>
      </c>
      <c r="D254" t="str">
        <f>IF(RawData!D254="","Unknown",PROPER(TRIM(CLEAN(SUBSTITUTE(RawData!D254,CHAR(160)," ")))))</f>
        <v>Ahmedabad</v>
      </c>
      <c r="E254" t="str">
        <f>IF(RawData!E254="","Unknown",PROPER(TRIM(CLEAN(SUBSTITUTE(RawData!E254,CHAR(160)," ")))))</f>
        <v>Smartphone</v>
      </c>
      <c r="F254" t="str">
        <f>IF(RawData!F254="","Unknown",PROPER(TRIM(CLEAN(SUBSTITUTE(RawData!F254,CHAR(160)," ")))))</f>
        <v>Electronics</v>
      </c>
      <c r="G254">
        <f>_xlfn.LET(
_xlpm.q,RawData!G254,
_xlpm.u,RawData!H254,
_xlpm.d,RawData!I254,
_xlpm.r,RawData!J254,
IF(AND(ISNUMBER(_xlpm.q),_xlpm.q&gt;0),_xlpm.q,
   IF(AND(ISNUMBER(_xlpm.r),ISNUMBER(_xlpm.u),_xlpm.u&gt;0,ISNUMBER(_xlpm.d),_xlpm.d&gt;=0,_xlpm.d&lt;1),
      ROUND(_xlpm.r/(_xlpm.u*(1-_xlpm.d)),0),
      ""
   )
)
)</f>
        <v>3</v>
      </c>
      <c r="H254" s="4">
        <f>_xlfn.LET(
_xlpm.q,RawData!G254,
_xlpm.u,RawData!H254,
_xlpm.d,RawData!I254,
_xlpm.r,RawData!J254,
IF(AND(ISNUMBER(_xlpm.u),_xlpm.u&gt;0),_xlpm.u,
   IF(AND(ISNUMBER(_xlpm.q),_xlpm.q&gt;0,ISNUMBER(_xlpm.r),ISNUMBER(_xlpm.d),_xlpm.d&gt;=0,_xlpm.d&lt;1),
      _xlpm.r/(_xlpm.q*(1-_xlpm.d)),
      ""
   )
)
)</f>
        <v>580.48</v>
      </c>
      <c r="I254" s="5">
        <f>_xlfn.LET(
_xlpm.q,RawData!G254,
_xlpm.u,RawData!H254,
_xlpm.d,RawData!I254,
_xlpm.r,RawData!J254,
IF(AND(ISNUMBER(_xlpm.d),_xlpm.d&gt;=0,_xlpm.d&lt;1),_xlpm.d,
   IF(AND(ISNUMBER(_xlpm.q),_xlpm.q&gt;0,ISNUMBER(_xlpm.u),_xlpm.u&gt;0,ISNUMBER(_xlpm.r),_xlpm.r&gt;=0),
      1-(_xlpm.r/(_xlpm.q*_xlpm.u)),
      ""
   )
)
)</f>
        <v>0.2</v>
      </c>
      <c r="J254" s="4">
        <f>_xlfn.LET(
_xlpm.q,RawData!G254,
_xlpm.u,RawData!H254,
_xlpm.d,RawData!I254,
_xlpm.r,RawData!J254,
IF(AND(ISNUMBER(_xlpm.r),_xlpm.r&gt;=0),_xlpm.r,
   IF(AND(ISNUMBER(_xlpm.q),_xlpm.q&gt;0,ISNUMBER(_xlpm.u),_xlpm.u&gt;0,ISNUMBER(_xlpm.d),_xlpm.d&gt;=0,_xlpm.d&lt;1),
      _xlpm.q*_xlpm.u*(1-_xlpm.d),
      ""
   )
)
)</f>
        <v>1393.15</v>
      </c>
      <c r="K254" s="4">
        <f>_xlfn.LET(
_xlpm.c,RawData!K254,
_xlpm.r,RawData!J254,
_xlpm.p,RawData!L254,
IF(AND(ISNUMBER(_xlpm.c),_xlpm.c&gt;=0),_xlpm.c,
   IF(AND(ISNUMBER(_xlpm.r),ISNUMBER(_xlpm.p)),
      _xlpm.r-_xlpm.p,
      ""
   )
)
)</f>
        <v>827.4</v>
      </c>
      <c r="L254" s="4">
        <f>_xlfn.LET(
_xlpm.p,RawData!L254,
_xlpm.r,RawData!J254,
_xlpm.c,RawData!K254,
IF(ISNUMBER(_xlpm.p),_xlpm.p,
IF(AND(ISNUMBER(_xlpm.r),ISNUMBER(_xlpm.c)),
_xlpm.r-_xlpm.c,
""
)
))</f>
        <v>565.75</v>
      </c>
    </row>
    <row r="255" spans="1:12" x14ac:dyDescent="0.35">
      <c r="A255" t="s">
        <v>292</v>
      </c>
      <c r="B255" s="7">
        <v>45673</v>
      </c>
      <c r="C255" t="str">
        <f>IF(RawData!C255="","Unknown",PROPER(TRIM(CLEAN(SUBSTITUTE(RawData!C255,CHAR(160)," ")))))</f>
        <v>North</v>
      </c>
      <c r="D255" t="str">
        <f>IF(RawData!D255="","Unknown",PROPER(TRIM(CLEAN(SUBSTITUTE(RawData!D255,CHAR(160)," ")))))</f>
        <v>Jaipur</v>
      </c>
      <c r="E255" t="str">
        <f>IF(RawData!E255="","Unknown",PROPER(TRIM(CLEAN(SUBSTITUTE(RawData!E255,CHAR(160)," ")))))</f>
        <v>Keyboard</v>
      </c>
      <c r="F255" t="str">
        <f>IF(RawData!F255="","Unknown",PROPER(TRIM(CLEAN(SUBSTITUTE(RawData!F255,CHAR(160)," ")))))</f>
        <v>Accessories</v>
      </c>
      <c r="G255">
        <f>_xlfn.LET(
_xlpm.q,RawData!G255,
_xlpm.u,RawData!H255,
_xlpm.d,RawData!I255,
_xlpm.r,RawData!J255,
IF(AND(ISNUMBER(_xlpm.q),_xlpm.q&gt;0),_xlpm.q,
   IF(AND(ISNUMBER(_xlpm.r),ISNUMBER(_xlpm.u),_xlpm.u&gt;0,ISNUMBER(_xlpm.d),_xlpm.d&gt;=0,_xlpm.d&lt;1),
      ROUND(_xlpm.r/(_xlpm.u*(1-_xlpm.d)),0),
      ""
   )
)
)</f>
        <v>9</v>
      </c>
      <c r="H255" s="4">
        <f>_xlfn.LET(
_xlpm.q,RawData!G255,
_xlpm.u,RawData!H255,
_xlpm.d,RawData!I255,
_xlpm.r,RawData!J255,
IF(AND(ISNUMBER(_xlpm.u),_xlpm.u&gt;0),_xlpm.u,
   IF(AND(ISNUMBER(_xlpm.q),_xlpm.q&gt;0,ISNUMBER(_xlpm.r),ISNUMBER(_xlpm.d),_xlpm.d&gt;=0,_xlpm.d&lt;1),
      _xlpm.r/(_xlpm.q*(1-_xlpm.d)),
      ""
   )
)
)</f>
        <v>39.31</v>
      </c>
      <c r="I255" s="5">
        <f>_xlfn.LET(
_xlpm.q,RawData!G255,
_xlpm.u,RawData!H255,
_xlpm.d,RawData!I255,
_xlpm.r,RawData!J255,
IF(AND(ISNUMBER(_xlpm.d),_xlpm.d&gt;=0,_xlpm.d&lt;1),_xlpm.d,
   IF(AND(ISNUMBER(_xlpm.q),_xlpm.q&gt;0,ISNUMBER(_xlpm.u),_xlpm.u&gt;0,ISNUMBER(_xlpm.r),_xlpm.r&gt;=0),
      1-(_xlpm.r/(_xlpm.q*_xlpm.u)),
      ""
   )
)
)</f>
        <v>0.02</v>
      </c>
      <c r="J255" s="4">
        <f>_xlfn.LET(
_xlpm.q,RawData!G255,
_xlpm.u,RawData!H255,
_xlpm.d,RawData!I255,
_xlpm.r,RawData!J255,
IF(AND(ISNUMBER(_xlpm.r),_xlpm.r&gt;=0),_xlpm.r,
   IF(AND(ISNUMBER(_xlpm.q),_xlpm.q&gt;0,ISNUMBER(_xlpm.u),_xlpm.u&gt;0,ISNUMBER(_xlpm.d),_xlpm.d&gt;=0,_xlpm.d&lt;1),
      _xlpm.q*_xlpm.u*(1-_xlpm.d),
      ""
   )
)
)</f>
        <v>346.71</v>
      </c>
      <c r="K255" s="4">
        <f>_xlfn.LET(
_xlpm.c,RawData!K255,
_xlpm.r,RawData!J255,
_xlpm.p,RawData!L255,
IF(AND(ISNUMBER(_xlpm.c),_xlpm.c&gt;=0),_xlpm.c,
   IF(AND(ISNUMBER(_xlpm.r),ISNUMBER(_xlpm.p)),
      _xlpm.r-_xlpm.p,
      ""
   )
)
)</f>
        <v>267.69</v>
      </c>
      <c r="L255" s="4">
        <f>_xlfn.LET(
_xlpm.p,RawData!L255,
_xlpm.r,RawData!J255,
_xlpm.c,RawData!K255,
IF(ISNUMBER(_xlpm.p),_xlpm.p,
IF(AND(ISNUMBER(_xlpm.r),ISNUMBER(_xlpm.c)),
_xlpm.r-_xlpm.c,
""
)
))</f>
        <v>79.02</v>
      </c>
    </row>
    <row r="256" spans="1:12" x14ac:dyDescent="0.35">
      <c r="A256" t="s">
        <v>293</v>
      </c>
      <c r="B256" s="7">
        <v>45872</v>
      </c>
      <c r="C256" t="str">
        <f>IF(RawData!C256="","Unknown",PROPER(TRIM(CLEAN(SUBSTITUTE(RawData!C256,CHAR(160)," ")))))</f>
        <v>West</v>
      </c>
      <c r="D256" t="str">
        <f>IF(RawData!D256="","Unknown",PROPER(TRIM(CLEAN(SUBSTITUTE(RawData!D256,CHAR(160)," ")))))</f>
        <v>Pune</v>
      </c>
      <c r="E256" t="str">
        <f>IF(RawData!E256="","Unknown",PROPER(TRIM(CLEAN(SUBSTITUTE(RawData!E256,CHAR(160)," ")))))</f>
        <v>Desk</v>
      </c>
      <c r="F256" t="str">
        <f>IF(RawData!F256="","Unknown",PROPER(TRIM(CLEAN(SUBSTITUTE(RawData!F256,CHAR(160)," ")))))</f>
        <v>Furniture</v>
      </c>
      <c r="G256">
        <f>_xlfn.LET(
_xlpm.q,RawData!G256,
_xlpm.u,RawData!H256,
_xlpm.d,RawData!I256,
_xlpm.r,RawData!J256,
IF(AND(ISNUMBER(_xlpm.q),_xlpm.q&gt;0),_xlpm.q,
   IF(AND(ISNUMBER(_xlpm.r),ISNUMBER(_xlpm.u),_xlpm.u&gt;0,ISNUMBER(_xlpm.d),_xlpm.d&gt;=0,_xlpm.d&lt;1),
      ROUND(_xlpm.r/(_xlpm.u*(1-_xlpm.d)),0),
      ""
   )
)
)</f>
        <v>3</v>
      </c>
      <c r="H256" s="4">
        <f>_xlfn.LET(
_xlpm.q,RawData!G256,
_xlpm.u,RawData!H256,
_xlpm.d,RawData!I256,
_xlpm.r,RawData!J256,
IF(AND(ISNUMBER(_xlpm.u),_xlpm.u&gt;0),_xlpm.u,
   IF(AND(ISNUMBER(_xlpm.q),_xlpm.q&gt;0,ISNUMBER(_xlpm.r),ISNUMBER(_xlpm.d),_xlpm.d&gt;=0,_xlpm.d&lt;1),
      _xlpm.r/(_xlpm.q*(1-_xlpm.d)),
      ""
   )
)
)</f>
        <v>283.73</v>
      </c>
      <c r="I256" s="5">
        <f>_xlfn.LET(
_xlpm.q,RawData!G256,
_xlpm.u,RawData!H256,
_xlpm.d,RawData!I256,
_xlpm.r,RawData!J256,
IF(AND(ISNUMBER(_xlpm.d),_xlpm.d&gt;=0,_xlpm.d&lt;1),_xlpm.d,
   IF(AND(ISNUMBER(_xlpm.q),_xlpm.q&gt;0,ISNUMBER(_xlpm.u),_xlpm.u&gt;0,ISNUMBER(_xlpm.r),_xlpm.r&gt;=0),
      1-(_xlpm.r/(_xlpm.q*_xlpm.u)),
      ""
   )
)
)</f>
        <v>0.05</v>
      </c>
      <c r="J256" s="4">
        <f>_xlfn.LET(
_xlpm.q,RawData!G256,
_xlpm.u,RawData!H256,
_xlpm.d,RawData!I256,
_xlpm.r,RawData!J256,
IF(AND(ISNUMBER(_xlpm.r),_xlpm.r&gt;=0),_xlpm.r,
   IF(AND(ISNUMBER(_xlpm.q),_xlpm.q&gt;0,ISNUMBER(_xlpm.u),_xlpm.u&gt;0,ISNUMBER(_xlpm.d),_xlpm.d&gt;=0,_xlpm.d&lt;1),
      _xlpm.q*_xlpm.u*(1-_xlpm.d),
      ""
   )
)
)</f>
        <v>808.63</v>
      </c>
      <c r="K256" s="4">
        <f>_xlfn.LET(
_xlpm.c,RawData!K256,
_xlpm.r,RawData!J256,
_xlpm.p,RawData!L256,
IF(AND(ISNUMBER(_xlpm.c),_xlpm.c&gt;=0),_xlpm.c,
   IF(AND(ISNUMBER(_xlpm.r),ISNUMBER(_xlpm.p)),
      _xlpm.r-_xlpm.p,
      ""
   )
)
)</f>
        <v>603.19000000000005</v>
      </c>
      <c r="L256" s="4">
        <f>_xlfn.LET(
_xlpm.p,RawData!L256,
_xlpm.r,RawData!J256,
_xlpm.c,RawData!K256,
IF(ISNUMBER(_xlpm.p),_xlpm.p,
IF(AND(ISNUMBER(_xlpm.r),ISNUMBER(_xlpm.c)),
_xlpm.r-_xlpm.c,
""
)
))</f>
        <v>205.44</v>
      </c>
    </row>
    <row r="257" spans="1:12" x14ac:dyDescent="0.35">
      <c r="A257" t="s">
        <v>294</v>
      </c>
      <c r="B257" s="7">
        <v>45824</v>
      </c>
      <c r="C257" t="str">
        <f>IF(RawData!C257="","Unknown",PROPER(TRIM(CLEAN(SUBSTITUTE(RawData!C257,CHAR(160)," ")))))</f>
        <v>North</v>
      </c>
      <c r="D257" t="str">
        <f>IF(RawData!D257="","Unknown",PROPER(TRIM(CLEAN(SUBSTITUTE(RawData!D257,CHAR(160)," ")))))</f>
        <v>Lucknow</v>
      </c>
      <c r="E257" t="str">
        <f>IF(RawData!E257="","Unknown",PROPER(TRIM(CLEAN(SUBSTITUTE(RawData!E257,CHAR(160)," ")))))</f>
        <v>Laptop</v>
      </c>
      <c r="F257" t="str">
        <f>IF(RawData!F257="","Unknown",PROPER(TRIM(CLEAN(SUBSTITUTE(RawData!F257,CHAR(160)," ")))))</f>
        <v>Electronics</v>
      </c>
      <c r="G257">
        <f>_xlfn.LET(
_xlpm.q,RawData!G257,
_xlpm.u,RawData!H257,
_xlpm.d,RawData!I257,
_xlpm.r,RawData!J257,
IF(AND(ISNUMBER(_xlpm.q),_xlpm.q&gt;0),_xlpm.q,
   IF(AND(ISNUMBER(_xlpm.r),ISNUMBER(_xlpm.u),_xlpm.u&gt;0,ISNUMBER(_xlpm.d),_xlpm.d&gt;=0,_xlpm.d&lt;1),
      ROUND(_xlpm.r/(_xlpm.u*(1-_xlpm.d)),0),
      ""
   )
)
)</f>
        <v>3</v>
      </c>
      <c r="H257" s="4">
        <f>_xlfn.LET(
_xlpm.q,RawData!G257,
_xlpm.u,RawData!H257,
_xlpm.d,RawData!I257,
_xlpm.r,RawData!J257,
IF(AND(ISNUMBER(_xlpm.u),_xlpm.u&gt;0),_xlpm.u,
   IF(AND(ISNUMBER(_xlpm.q),_xlpm.q&gt;0,ISNUMBER(_xlpm.r),ISNUMBER(_xlpm.d),_xlpm.d&gt;=0,_xlpm.d&lt;1),
      _xlpm.r/(_xlpm.q*(1-_xlpm.d)),
      ""
   )
)
)</f>
        <v>878.92</v>
      </c>
      <c r="I257" s="5">
        <f>_xlfn.LET(
_xlpm.q,RawData!G257,
_xlpm.u,RawData!H257,
_xlpm.d,RawData!I257,
_xlpm.r,RawData!J257,
IF(AND(ISNUMBER(_xlpm.d),_xlpm.d&gt;=0,_xlpm.d&lt;1),_xlpm.d,
   IF(AND(ISNUMBER(_xlpm.q),_xlpm.q&gt;0,ISNUMBER(_xlpm.u),_xlpm.u&gt;0,ISNUMBER(_xlpm.r),_xlpm.r&gt;=0),
      1-(_xlpm.r/(_xlpm.q*_xlpm.u)),
      ""
   )
)
)</f>
        <v>0.02</v>
      </c>
      <c r="J257" s="4">
        <f>_xlfn.LET(
_xlpm.q,RawData!G257,
_xlpm.u,RawData!H257,
_xlpm.d,RawData!I257,
_xlpm.r,RawData!J257,
IF(AND(ISNUMBER(_xlpm.r),_xlpm.r&gt;=0),_xlpm.r,
   IF(AND(ISNUMBER(_xlpm.q),_xlpm.q&gt;0,ISNUMBER(_xlpm.u),_xlpm.u&gt;0,ISNUMBER(_xlpm.d),_xlpm.d&gt;=0,_xlpm.d&lt;1),
      _xlpm.q*_xlpm.u*(1-_xlpm.d),
      ""
   )
)
)</f>
        <v>2584.02</v>
      </c>
      <c r="K257" s="4">
        <f>_xlfn.LET(
_xlpm.c,RawData!K257,
_xlpm.r,RawData!J257,
_xlpm.p,RawData!L257,
IF(AND(ISNUMBER(_xlpm.c),_xlpm.c&gt;=0),_xlpm.c,
   IF(AND(ISNUMBER(_xlpm.r),ISNUMBER(_xlpm.p)),
      _xlpm.r-_xlpm.p,
      ""
   )
)
)</f>
        <v>1713.01</v>
      </c>
      <c r="L257" s="4">
        <f>_xlfn.LET(
_xlpm.p,RawData!L257,
_xlpm.r,RawData!J257,
_xlpm.c,RawData!K257,
IF(ISNUMBER(_xlpm.p),_xlpm.p,
IF(AND(ISNUMBER(_xlpm.r),ISNUMBER(_xlpm.c)),
_xlpm.r-_xlpm.c,
""
)
))</f>
        <v>871.01</v>
      </c>
    </row>
    <row r="258" spans="1:12" x14ac:dyDescent="0.35">
      <c r="A258" t="s">
        <v>295</v>
      </c>
      <c r="B258" s="7">
        <v>45683</v>
      </c>
      <c r="C258" t="str">
        <f>IF(RawData!C258="","Unknown",PROPER(TRIM(CLEAN(SUBSTITUTE(RawData!C258,CHAR(160)," ")))))</f>
        <v>North</v>
      </c>
      <c r="D258" t="str">
        <f>IF(RawData!D258="","Unknown",PROPER(TRIM(CLEAN(SUBSTITUTE(RawData!D258,CHAR(160)," ")))))</f>
        <v>Jaipur</v>
      </c>
      <c r="E258" t="str">
        <f>IF(RawData!E258="","Unknown",PROPER(TRIM(CLEAN(SUBSTITUTE(RawData!E258,CHAR(160)," ")))))</f>
        <v>Office Chair</v>
      </c>
      <c r="F258" t="str">
        <f>IF(RawData!F258="","Unknown",PROPER(TRIM(CLEAN(SUBSTITUTE(RawData!F258,CHAR(160)," ")))))</f>
        <v>Furniture</v>
      </c>
      <c r="G258">
        <f>_xlfn.LET(
_xlpm.q,RawData!G258,
_xlpm.u,RawData!H258,
_xlpm.d,RawData!I258,
_xlpm.r,RawData!J258,
IF(AND(ISNUMBER(_xlpm.q),_xlpm.q&gt;0),_xlpm.q,
   IF(AND(ISNUMBER(_xlpm.r),ISNUMBER(_xlpm.u),_xlpm.u&gt;0,ISNUMBER(_xlpm.d),_xlpm.d&gt;=0,_xlpm.d&lt;1),
      ROUND(_xlpm.r/(_xlpm.u*(1-_xlpm.d)),0),
      ""
   )
)
)</f>
        <v>8</v>
      </c>
      <c r="H258" s="4">
        <f>_xlfn.LET(
_xlpm.q,RawData!G258,
_xlpm.u,RawData!H258,
_xlpm.d,RawData!I258,
_xlpm.r,RawData!J258,
IF(AND(ISNUMBER(_xlpm.u),_xlpm.u&gt;0),_xlpm.u,
   IF(AND(ISNUMBER(_xlpm.q),_xlpm.q&gt;0,ISNUMBER(_xlpm.r),ISNUMBER(_xlpm.d),_xlpm.d&gt;=0,_xlpm.d&lt;1),
      _xlpm.r/(_xlpm.q*(1-_xlpm.d)),
      ""
   )
)
)</f>
        <v>203.37</v>
      </c>
      <c r="I258" s="5">
        <f>_xlfn.LET(
_xlpm.q,RawData!G258,
_xlpm.u,RawData!H258,
_xlpm.d,RawData!I258,
_xlpm.r,RawData!J258,
IF(AND(ISNUMBER(_xlpm.d),_xlpm.d&gt;=0,_xlpm.d&lt;1),_xlpm.d,
   IF(AND(ISNUMBER(_xlpm.q),_xlpm.q&gt;0,ISNUMBER(_xlpm.u),_xlpm.u&gt;0,ISNUMBER(_xlpm.r),_xlpm.r&gt;=0),
      1-(_xlpm.r/(_xlpm.q*_xlpm.u)),
      ""
   )
)
)</f>
        <v>0.2</v>
      </c>
      <c r="J258" s="4">
        <f>_xlfn.LET(
_xlpm.q,RawData!G258,
_xlpm.u,RawData!H258,
_xlpm.d,RawData!I258,
_xlpm.r,RawData!J258,
IF(AND(ISNUMBER(_xlpm.r),_xlpm.r&gt;=0),_xlpm.r,
   IF(AND(ISNUMBER(_xlpm.q),_xlpm.q&gt;0,ISNUMBER(_xlpm.u),_xlpm.u&gt;0,ISNUMBER(_xlpm.d),_xlpm.d&gt;=0,_xlpm.d&lt;1),
      _xlpm.q*_xlpm.u*(1-_xlpm.d),
      ""
   )
)
)</f>
        <v>1301.57</v>
      </c>
      <c r="K258" s="4">
        <f>_xlfn.LET(
_xlpm.c,RawData!K258,
_xlpm.r,RawData!J258,
_xlpm.p,RawData!L258,
IF(AND(ISNUMBER(_xlpm.c),_xlpm.c&gt;=0),_xlpm.c,
   IF(AND(ISNUMBER(_xlpm.r),ISNUMBER(_xlpm.p)),
      _xlpm.r-_xlpm.p,
      ""
   )
)
)</f>
        <v>1020.22</v>
      </c>
      <c r="L258" s="4">
        <f>_xlfn.LET(
_xlpm.p,RawData!L258,
_xlpm.r,RawData!J258,
_xlpm.c,RawData!K258,
IF(ISNUMBER(_xlpm.p),_xlpm.p,
IF(AND(ISNUMBER(_xlpm.r),ISNUMBER(_xlpm.c)),
_xlpm.r-_xlpm.c,
""
)
))</f>
        <v>281.35000000000002</v>
      </c>
    </row>
    <row r="259" spans="1:12" x14ac:dyDescent="0.35">
      <c r="A259" t="s">
        <v>296</v>
      </c>
      <c r="B259" s="7">
        <v>45906</v>
      </c>
      <c r="C259" t="str">
        <f>IF(RawData!C259="","Unknown",PROPER(TRIM(CLEAN(SUBSTITUTE(RawData!C259,CHAR(160)," ")))))</f>
        <v>West</v>
      </c>
      <c r="D259" t="str">
        <f>IF(RawData!D259="","Unknown",PROPER(TRIM(CLEAN(SUBSTITUTE(RawData!D259,CHAR(160)," ")))))</f>
        <v>Ahmedabad</v>
      </c>
      <c r="E259" t="str">
        <f>IF(RawData!E259="","Unknown",PROPER(TRIM(CLEAN(SUBSTITUTE(RawData!E259,CHAR(160)," ")))))</f>
        <v>Bookshelf</v>
      </c>
      <c r="F259" t="str">
        <f>IF(RawData!F259="","Unknown",PROPER(TRIM(CLEAN(SUBSTITUTE(RawData!F259,CHAR(160)," ")))))</f>
        <v>Furniture</v>
      </c>
      <c r="G259">
        <f>_xlfn.LET(
_xlpm.q,RawData!G259,
_xlpm.u,RawData!H259,
_xlpm.d,RawData!I259,
_xlpm.r,RawData!J259,
IF(AND(ISNUMBER(_xlpm.q),_xlpm.q&gt;0),_xlpm.q,
   IF(AND(ISNUMBER(_xlpm.r),ISNUMBER(_xlpm.u),_xlpm.u&gt;0,ISNUMBER(_xlpm.d),_xlpm.d&gt;=0,_xlpm.d&lt;1),
      ROUND(_xlpm.r/(_xlpm.u*(1-_xlpm.d)),0),
      ""
   )
)
)</f>
        <v>5</v>
      </c>
      <c r="H259" s="4">
        <f>_xlfn.LET(
_xlpm.q,RawData!G259,
_xlpm.u,RawData!H259,
_xlpm.d,RawData!I259,
_xlpm.r,RawData!J259,
IF(AND(ISNUMBER(_xlpm.u),_xlpm.u&gt;0),_xlpm.u,
   IF(AND(ISNUMBER(_xlpm.q),_xlpm.q&gt;0,ISNUMBER(_xlpm.r),ISNUMBER(_xlpm.d),_xlpm.d&gt;=0,_xlpm.d&lt;1),
      _xlpm.r/(_xlpm.q*(1-_xlpm.d)),
      ""
   )
)
)</f>
        <v>120.9</v>
      </c>
      <c r="I259" s="5">
        <f>_xlfn.LET(
_xlpm.q,RawData!G259,
_xlpm.u,RawData!H259,
_xlpm.d,RawData!I259,
_xlpm.r,RawData!J259,
IF(AND(ISNUMBER(_xlpm.d),_xlpm.d&gt;=0,_xlpm.d&lt;1),_xlpm.d,
   IF(AND(ISNUMBER(_xlpm.q),_xlpm.q&gt;0,ISNUMBER(_xlpm.u),_xlpm.u&gt;0,ISNUMBER(_xlpm.r),_xlpm.r&gt;=0),
      1-(_xlpm.r/(_xlpm.q*_xlpm.u)),
      ""
   )
)
)</f>
        <v>0.02</v>
      </c>
      <c r="J259" s="4">
        <f>_xlfn.LET(
_xlpm.q,RawData!G259,
_xlpm.u,RawData!H259,
_xlpm.d,RawData!I259,
_xlpm.r,RawData!J259,
IF(AND(ISNUMBER(_xlpm.r),_xlpm.r&gt;=0),_xlpm.r,
   IF(AND(ISNUMBER(_xlpm.q),_xlpm.q&gt;0,ISNUMBER(_xlpm.u),_xlpm.u&gt;0,ISNUMBER(_xlpm.d),_xlpm.d&gt;=0,_xlpm.d&lt;1),
      _xlpm.q*_xlpm.u*(1-_xlpm.d),
      ""
   )
)
)</f>
        <v>592.41</v>
      </c>
      <c r="K259" s="4">
        <f>_xlfn.LET(
_xlpm.c,RawData!K259,
_xlpm.r,RawData!J259,
_xlpm.p,RawData!L259,
IF(AND(ISNUMBER(_xlpm.c),_xlpm.c&gt;=0),_xlpm.c,
   IF(AND(ISNUMBER(_xlpm.r),ISNUMBER(_xlpm.p)),
      _xlpm.r-_xlpm.p,
      ""
   )
)
)</f>
        <v>330.04</v>
      </c>
      <c r="L259" s="4">
        <f>_xlfn.LET(
_xlpm.p,RawData!L259,
_xlpm.r,RawData!J259,
_xlpm.c,RawData!K259,
IF(ISNUMBER(_xlpm.p),_xlpm.p,
IF(AND(ISNUMBER(_xlpm.r),ISNUMBER(_xlpm.c)),
_xlpm.r-_xlpm.c,
""
)
))</f>
        <v>262.37</v>
      </c>
    </row>
    <row r="260" spans="1:12" x14ac:dyDescent="0.35">
      <c r="A260" t="s">
        <v>297</v>
      </c>
      <c r="B260" s="7">
        <v>45716</v>
      </c>
      <c r="C260" t="str">
        <f>IF(RawData!C260="","Unknown",PROPER(TRIM(CLEAN(SUBSTITUTE(RawData!C260,CHAR(160)," ")))))</f>
        <v>East</v>
      </c>
      <c r="D260" t="str">
        <f>IF(RawData!D260="","Unknown",PROPER(TRIM(CLEAN(SUBSTITUTE(RawData!D260,CHAR(160)," ")))))</f>
        <v>Patna</v>
      </c>
      <c r="E260" t="str">
        <f>IF(RawData!E260="","Unknown",PROPER(TRIM(CLEAN(SUBSTITUTE(RawData!E260,CHAR(160)," ")))))</f>
        <v>Bookshelf</v>
      </c>
      <c r="F260" t="str">
        <f>IF(RawData!F260="","Unknown",PROPER(TRIM(CLEAN(SUBSTITUTE(RawData!F260,CHAR(160)," ")))))</f>
        <v>Furniture</v>
      </c>
      <c r="G260">
        <f>_xlfn.LET(
_xlpm.q,RawData!G260,
_xlpm.u,RawData!H260,
_xlpm.d,RawData!I260,
_xlpm.r,RawData!J260,
IF(AND(ISNUMBER(_xlpm.q),_xlpm.q&gt;0),_xlpm.q,
   IF(AND(ISNUMBER(_xlpm.r),ISNUMBER(_xlpm.u),_xlpm.u&gt;0,ISNUMBER(_xlpm.d),_xlpm.d&gt;=0,_xlpm.d&lt;1),
      ROUND(_xlpm.r/(_xlpm.u*(1-_xlpm.d)),0),
      ""
   )
)
)</f>
        <v>2</v>
      </c>
      <c r="H260" s="4">
        <f>_xlfn.LET(
_xlpm.q,RawData!G260,
_xlpm.u,RawData!H260,
_xlpm.d,RawData!I260,
_xlpm.r,RawData!J260,
IF(AND(ISNUMBER(_xlpm.u),_xlpm.u&gt;0),_xlpm.u,
   IF(AND(ISNUMBER(_xlpm.q),_xlpm.q&gt;0,ISNUMBER(_xlpm.r),ISNUMBER(_xlpm.d),_xlpm.d&gt;=0,_xlpm.d&lt;1),
      _xlpm.r/(_xlpm.q*(1-_xlpm.d)),
      ""
   )
)
)</f>
        <v>134.81</v>
      </c>
      <c r="I260" s="5">
        <f>_xlfn.LET(
_xlpm.q,RawData!G260,
_xlpm.u,RawData!H260,
_xlpm.d,RawData!I260,
_xlpm.r,RawData!J260,
IF(AND(ISNUMBER(_xlpm.d),_xlpm.d&gt;=0,_xlpm.d&lt;1),_xlpm.d,
   IF(AND(ISNUMBER(_xlpm.q),_xlpm.q&gt;0,ISNUMBER(_xlpm.u),_xlpm.u&gt;0,ISNUMBER(_xlpm.r),_xlpm.r&gt;=0),
      1-(_xlpm.r/(_xlpm.q*_xlpm.u)),
      ""
   )
)
)</f>
        <v>0.05</v>
      </c>
      <c r="J260" s="4">
        <f>_xlfn.LET(
_xlpm.q,RawData!G260,
_xlpm.u,RawData!H260,
_xlpm.d,RawData!I260,
_xlpm.r,RawData!J260,
IF(AND(ISNUMBER(_xlpm.r),_xlpm.r&gt;=0),_xlpm.r,
   IF(AND(ISNUMBER(_xlpm.q),_xlpm.q&gt;0,ISNUMBER(_xlpm.u),_xlpm.u&gt;0,ISNUMBER(_xlpm.d),_xlpm.d&gt;=0,_xlpm.d&lt;1),
      _xlpm.q*_xlpm.u*(1-_xlpm.d),
      ""
   )
)
)</f>
        <v>256.14</v>
      </c>
      <c r="K260" s="4">
        <f>_xlfn.LET(
_xlpm.c,RawData!K260,
_xlpm.r,RawData!J260,
_xlpm.p,RawData!L260,
IF(AND(ISNUMBER(_xlpm.c),_xlpm.c&gt;=0),_xlpm.c,
   IF(AND(ISNUMBER(_xlpm.r),ISNUMBER(_xlpm.p)),
      _xlpm.r-_xlpm.p,
      ""
   )
)
)</f>
        <v>196.93</v>
      </c>
      <c r="L260" s="4">
        <f>_xlfn.LET(
_xlpm.p,RawData!L260,
_xlpm.r,RawData!J260,
_xlpm.c,RawData!K260,
IF(ISNUMBER(_xlpm.p),_xlpm.p,
IF(AND(ISNUMBER(_xlpm.r),ISNUMBER(_xlpm.c)),
_xlpm.r-_xlpm.c,
""
)
))</f>
        <v>59.21</v>
      </c>
    </row>
    <row r="261" spans="1:12" x14ac:dyDescent="0.35">
      <c r="A261" t="s">
        <v>298</v>
      </c>
      <c r="B261" s="7">
        <v>46005</v>
      </c>
      <c r="C261" t="str">
        <f>IF(RawData!C261="","Unknown",PROPER(TRIM(CLEAN(SUBSTITUTE(RawData!C261,CHAR(160)," ")))))</f>
        <v>West</v>
      </c>
      <c r="D261" t="str">
        <f>IF(RawData!D261="","Unknown",PROPER(TRIM(CLEAN(SUBSTITUTE(RawData!D261,CHAR(160)," ")))))</f>
        <v>Mumbai</v>
      </c>
      <c r="E261" t="str">
        <f>IF(RawData!E261="","Unknown",PROPER(TRIM(CLEAN(SUBSTITUTE(RawData!E261,CHAR(160)," ")))))</f>
        <v>Notebook</v>
      </c>
      <c r="F261" t="str">
        <f>IF(RawData!F261="","Unknown",PROPER(TRIM(CLEAN(SUBSTITUTE(RawData!F261,CHAR(160)," ")))))</f>
        <v>Office Supplies</v>
      </c>
      <c r="G261">
        <f>_xlfn.LET(
_xlpm.q,RawData!G261,
_xlpm.u,RawData!H261,
_xlpm.d,RawData!I261,
_xlpm.r,RawData!J261,
IF(AND(ISNUMBER(_xlpm.q),_xlpm.q&gt;0),_xlpm.q,
   IF(AND(ISNUMBER(_xlpm.r),ISNUMBER(_xlpm.u),_xlpm.u&gt;0,ISNUMBER(_xlpm.d),_xlpm.d&gt;=0,_xlpm.d&lt;1),
      ROUND(_xlpm.r/(_xlpm.u*(1-_xlpm.d)),0),
      ""
   )
)
)</f>
        <v>5</v>
      </c>
      <c r="H261" s="4">
        <f>_xlfn.LET(
_xlpm.q,RawData!G261,
_xlpm.u,RawData!H261,
_xlpm.d,RawData!I261,
_xlpm.r,RawData!J261,
IF(AND(ISNUMBER(_xlpm.u),_xlpm.u&gt;0),_xlpm.u,
   IF(AND(ISNUMBER(_xlpm.q),_xlpm.q&gt;0,ISNUMBER(_xlpm.r),ISNUMBER(_xlpm.d),_xlpm.d&gt;=0,_xlpm.d&lt;1),
      _xlpm.r/(_xlpm.q*(1-_xlpm.d)),
      ""
   )
)
)</f>
        <v>9.17</v>
      </c>
      <c r="I261" s="5">
        <f>_xlfn.LET(
_xlpm.q,RawData!G261,
_xlpm.u,RawData!H261,
_xlpm.d,RawData!I261,
_xlpm.r,RawData!J261,
IF(AND(ISNUMBER(_xlpm.d),_xlpm.d&gt;=0,_xlpm.d&lt;1),_xlpm.d,
   IF(AND(ISNUMBER(_xlpm.q),_xlpm.q&gt;0,ISNUMBER(_xlpm.u),_xlpm.u&gt;0,ISNUMBER(_xlpm.r),_xlpm.r&gt;=0),
      1-(_xlpm.r/(_xlpm.q*_xlpm.u)),
      ""
   )
)
)</f>
        <v>0</v>
      </c>
      <c r="J261" s="4">
        <f>_xlfn.LET(
_xlpm.q,RawData!G261,
_xlpm.u,RawData!H261,
_xlpm.d,RawData!I261,
_xlpm.r,RawData!J261,
IF(AND(ISNUMBER(_xlpm.r),_xlpm.r&gt;=0),_xlpm.r,
   IF(AND(ISNUMBER(_xlpm.q),_xlpm.q&gt;0,ISNUMBER(_xlpm.u),_xlpm.u&gt;0,ISNUMBER(_xlpm.d),_xlpm.d&gt;=0,_xlpm.d&lt;1),
      _xlpm.q*_xlpm.u*(1-_xlpm.d),
      ""
   )
)
)</f>
        <v>45.85</v>
      </c>
      <c r="K261" s="4">
        <f>_xlfn.LET(
_xlpm.c,RawData!K261,
_xlpm.r,RawData!J261,
_xlpm.p,RawData!L261,
IF(AND(ISNUMBER(_xlpm.c),_xlpm.c&gt;=0),_xlpm.c,
   IF(AND(ISNUMBER(_xlpm.r),ISNUMBER(_xlpm.p)),
      _xlpm.r-_xlpm.p,
      ""
   )
)
)</f>
        <v>27.08</v>
      </c>
      <c r="L261" s="4">
        <f>_xlfn.LET(
_xlpm.p,RawData!L261,
_xlpm.r,RawData!J261,
_xlpm.c,RawData!K261,
IF(ISNUMBER(_xlpm.p),_xlpm.p,
IF(AND(ISNUMBER(_xlpm.r),ISNUMBER(_xlpm.c)),
_xlpm.r-_xlpm.c,
""
)
))</f>
        <v>18.77</v>
      </c>
    </row>
    <row r="262" spans="1:12" x14ac:dyDescent="0.35">
      <c r="A262" t="s">
        <v>299</v>
      </c>
      <c r="B262" s="7">
        <v>45860</v>
      </c>
      <c r="C262" t="str">
        <f>IF(RawData!C262="","Unknown",PROPER(TRIM(CLEAN(SUBSTITUTE(RawData!C262,CHAR(160)," ")))))</f>
        <v>North</v>
      </c>
      <c r="D262" t="str">
        <f>IF(RawData!D262="","Unknown",PROPER(TRIM(CLEAN(SUBSTITUTE(RawData!D262,CHAR(160)," ")))))</f>
        <v>Delhi</v>
      </c>
      <c r="E262" t="str">
        <f>IF(RawData!E262="","Unknown",PROPER(TRIM(CLEAN(SUBSTITUTE(RawData!E262,CHAR(160)," ")))))</f>
        <v>Laptop</v>
      </c>
      <c r="F262" t="str">
        <f>IF(RawData!F262="","Unknown",PROPER(TRIM(CLEAN(SUBSTITUTE(RawData!F262,CHAR(160)," ")))))</f>
        <v>Electronics</v>
      </c>
      <c r="G262">
        <f>_xlfn.LET(
_xlpm.q,RawData!G262,
_xlpm.u,RawData!H262,
_xlpm.d,RawData!I262,
_xlpm.r,RawData!J262,
IF(AND(ISNUMBER(_xlpm.q),_xlpm.q&gt;0),_xlpm.q,
   IF(AND(ISNUMBER(_xlpm.r),ISNUMBER(_xlpm.u),_xlpm.u&gt;0,ISNUMBER(_xlpm.d),_xlpm.d&gt;=0,_xlpm.d&lt;1),
      ROUND(_xlpm.r/(_xlpm.u*(1-_xlpm.d)),0),
      ""
   )
)
)</f>
        <v>4</v>
      </c>
      <c r="H262" s="4">
        <f>_xlfn.LET(
_xlpm.q,RawData!G262,
_xlpm.u,RawData!H262,
_xlpm.d,RawData!I262,
_xlpm.r,RawData!J262,
IF(AND(ISNUMBER(_xlpm.u),_xlpm.u&gt;0),_xlpm.u,
   IF(AND(ISNUMBER(_xlpm.q),_xlpm.q&gt;0,ISNUMBER(_xlpm.r),ISNUMBER(_xlpm.d),_xlpm.d&gt;=0,_xlpm.d&lt;1),
      _xlpm.r/(_xlpm.q*(1-_xlpm.d)),
      ""
   )
)
)</f>
        <v>874</v>
      </c>
      <c r="I262" s="5">
        <f>_xlfn.LET(
_xlpm.q,RawData!G262,
_xlpm.u,RawData!H262,
_xlpm.d,RawData!I262,
_xlpm.r,RawData!J262,
IF(AND(ISNUMBER(_xlpm.d),_xlpm.d&gt;=0,_xlpm.d&lt;1),_xlpm.d,
   IF(AND(ISNUMBER(_xlpm.q),_xlpm.q&gt;0,ISNUMBER(_xlpm.u),_xlpm.u&gt;0,ISNUMBER(_xlpm.r),_xlpm.r&gt;=0),
      1-(_xlpm.r/(_xlpm.q*_xlpm.u)),
      ""
   )
)
)</f>
        <v>0.05</v>
      </c>
      <c r="J262" s="4">
        <f>_xlfn.LET(
_xlpm.q,RawData!G262,
_xlpm.u,RawData!H262,
_xlpm.d,RawData!I262,
_xlpm.r,RawData!J262,
IF(AND(ISNUMBER(_xlpm.r),_xlpm.r&gt;=0),_xlpm.r,
   IF(AND(ISNUMBER(_xlpm.q),_xlpm.q&gt;0,ISNUMBER(_xlpm.u),_xlpm.u&gt;0,ISNUMBER(_xlpm.d),_xlpm.d&gt;=0,_xlpm.d&lt;1),
      _xlpm.q*_xlpm.u*(1-_xlpm.d),
      ""
   )
)
)</f>
        <v>3321.2</v>
      </c>
      <c r="K262" s="4">
        <f>_xlfn.LET(
_xlpm.c,RawData!K262,
_xlpm.r,RawData!J262,
_xlpm.p,RawData!L262,
IF(AND(ISNUMBER(_xlpm.c),_xlpm.c&gt;=0),_xlpm.c,
   IF(AND(ISNUMBER(_xlpm.r),ISNUMBER(_xlpm.p)),
      _xlpm.r-_xlpm.p,
      ""
   )
)
)</f>
        <v>2168.21</v>
      </c>
      <c r="L262" s="4">
        <f>_xlfn.LET(
_xlpm.p,RawData!L262,
_xlpm.r,RawData!J262,
_xlpm.c,RawData!K262,
IF(ISNUMBER(_xlpm.p),_xlpm.p,
IF(AND(ISNUMBER(_xlpm.r),ISNUMBER(_xlpm.c)),
_xlpm.r-_xlpm.c,
""
)
))</f>
        <v>1152.99</v>
      </c>
    </row>
    <row r="263" spans="1:12" x14ac:dyDescent="0.35">
      <c r="A263" t="s">
        <v>300</v>
      </c>
      <c r="B263" s="7">
        <v>45728</v>
      </c>
      <c r="C263" t="str">
        <f>IF(RawData!C263="","Unknown",PROPER(TRIM(CLEAN(SUBSTITUTE(RawData!C263,CHAR(160)," ")))))</f>
        <v>East</v>
      </c>
      <c r="D263" t="str">
        <f>IF(RawData!D263="","Unknown",PROPER(TRIM(CLEAN(SUBSTITUTE(RawData!D263,CHAR(160)," ")))))</f>
        <v>Kolkata</v>
      </c>
      <c r="E263" t="str">
        <f>IF(RawData!E263="","Unknown",PROPER(TRIM(CLEAN(SUBSTITUTE(RawData!E263,CHAR(160)," ")))))</f>
        <v>Office Chair</v>
      </c>
      <c r="F263" t="str">
        <f>IF(RawData!F263="","Unknown",PROPER(TRIM(CLEAN(SUBSTITUTE(RawData!F263,CHAR(160)," ")))))</f>
        <v>Furniture</v>
      </c>
      <c r="G263">
        <f>_xlfn.LET(
_xlpm.q,RawData!G263,
_xlpm.u,RawData!H263,
_xlpm.d,RawData!I263,
_xlpm.r,RawData!J263,
IF(AND(ISNUMBER(_xlpm.q),_xlpm.q&gt;0),_xlpm.q,
   IF(AND(ISNUMBER(_xlpm.r),ISNUMBER(_xlpm.u),_xlpm.u&gt;0,ISNUMBER(_xlpm.d),_xlpm.d&gt;=0,_xlpm.d&lt;1),
      ROUND(_xlpm.r/(_xlpm.u*(1-_xlpm.d)),0),
      ""
   )
)
)</f>
        <v>6</v>
      </c>
      <c r="H263" s="4">
        <f>_xlfn.LET(
_xlpm.q,RawData!G263,
_xlpm.u,RawData!H263,
_xlpm.d,RawData!I263,
_xlpm.r,RawData!J263,
IF(AND(ISNUMBER(_xlpm.u),_xlpm.u&gt;0),_xlpm.u,
   IF(AND(ISNUMBER(_xlpm.q),_xlpm.q&gt;0,ISNUMBER(_xlpm.r),ISNUMBER(_xlpm.d),_xlpm.d&gt;=0,_xlpm.d&lt;1),
      _xlpm.r/(_xlpm.q*(1-_xlpm.d)),
      ""
   )
)
)</f>
        <v>205.38</v>
      </c>
      <c r="I263" s="5">
        <f>_xlfn.LET(
_xlpm.q,RawData!G263,
_xlpm.u,RawData!H263,
_xlpm.d,RawData!I263,
_xlpm.r,RawData!J263,
IF(AND(ISNUMBER(_xlpm.d),_xlpm.d&gt;=0,_xlpm.d&lt;1),_xlpm.d,
   IF(AND(ISNUMBER(_xlpm.q),_xlpm.q&gt;0,ISNUMBER(_xlpm.u),_xlpm.u&gt;0,ISNUMBER(_xlpm.r),_xlpm.r&gt;=0),
      1-(_xlpm.r/(_xlpm.q*_xlpm.u)),
      ""
   )
)
)</f>
        <v>0</v>
      </c>
      <c r="J263" s="4">
        <f>_xlfn.LET(
_xlpm.q,RawData!G263,
_xlpm.u,RawData!H263,
_xlpm.d,RawData!I263,
_xlpm.r,RawData!J263,
IF(AND(ISNUMBER(_xlpm.r),_xlpm.r&gt;=0),_xlpm.r,
   IF(AND(ISNUMBER(_xlpm.q),_xlpm.q&gt;0,ISNUMBER(_xlpm.u),_xlpm.u&gt;0,ISNUMBER(_xlpm.d),_xlpm.d&gt;=0,_xlpm.d&lt;1),
      _xlpm.q*_xlpm.u*(1-_xlpm.d),
      ""
   )
)
)</f>
        <v>1232.28</v>
      </c>
      <c r="K263" s="4">
        <f>_xlfn.LET(
_xlpm.c,RawData!K263,
_xlpm.r,RawData!J263,
_xlpm.p,RawData!L263,
IF(AND(ISNUMBER(_xlpm.c),_xlpm.c&gt;=0),_xlpm.c,
   IF(AND(ISNUMBER(_xlpm.r),ISNUMBER(_xlpm.p)),
      _xlpm.r-_xlpm.p,
      ""
   )
)
)</f>
        <v>957.94</v>
      </c>
      <c r="L263" s="4">
        <f>_xlfn.LET(
_xlpm.p,RawData!L263,
_xlpm.r,RawData!J263,
_xlpm.c,RawData!K263,
IF(ISNUMBER(_xlpm.p),_xlpm.p,
IF(AND(ISNUMBER(_xlpm.r),ISNUMBER(_xlpm.c)),
_xlpm.r-_xlpm.c,
""
)
))</f>
        <v>274.33999999999997</v>
      </c>
    </row>
    <row r="264" spans="1:12" x14ac:dyDescent="0.35">
      <c r="A264" t="s">
        <v>301</v>
      </c>
      <c r="B264" s="7">
        <v>45912</v>
      </c>
      <c r="C264" t="str">
        <f>IF(RawData!C264="","Unknown",PROPER(TRIM(CLEAN(SUBSTITUTE(RawData!C264,CHAR(160)," ")))))</f>
        <v>West</v>
      </c>
      <c r="D264" t="str">
        <f>IF(RawData!D264="","Unknown",PROPER(TRIM(CLEAN(SUBSTITUTE(RawData!D264,CHAR(160)," ")))))</f>
        <v>Ahmedabad</v>
      </c>
      <c r="E264" t="str">
        <f>IF(RawData!E264="","Unknown",PROPER(TRIM(CLEAN(SUBSTITUTE(RawData!E264,CHAR(160)," ")))))</f>
        <v>Headphones</v>
      </c>
      <c r="F264" t="str">
        <f>IF(RawData!F264="","Unknown",PROPER(TRIM(CLEAN(SUBSTITUTE(RawData!F264,CHAR(160)," ")))))</f>
        <v>Electronics</v>
      </c>
      <c r="G264">
        <f>_xlfn.LET(
_xlpm.q,RawData!G264,
_xlpm.u,RawData!H264,
_xlpm.d,RawData!I264,
_xlpm.r,RawData!J264,
IF(AND(ISNUMBER(_xlpm.q),_xlpm.q&gt;0),_xlpm.q,
   IF(AND(ISNUMBER(_xlpm.r),ISNUMBER(_xlpm.u),_xlpm.u&gt;0,ISNUMBER(_xlpm.d),_xlpm.d&gt;=0,_xlpm.d&lt;1),
      ROUND(_xlpm.r/(_xlpm.u*(1-_xlpm.d)),0),
      ""
   )
)
)</f>
        <v>3</v>
      </c>
      <c r="H264" s="4">
        <f>_xlfn.LET(
_xlpm.q,RawData!G264,
_xlpm.u,RawData!H264,
_xlpm.d,RawData!I264,
_xlpm.r,RawData!J264,
IF(AND(ISNUMBER(_xlpm.u),_xlpm.u&gt;0),_xlpm.u,
   IF(AND(ISNUMBER(_xlpm.q),_xlpm.q&gt;0,ISNUMBER(_xlpm.r),ISNUMBER(_xlpm.d),_xlpm.d&gt;=0,_xlpm.d&lt;1),
      _xlpm.r/(_xlpm.q*(1-_xlpm.d)),
      ""
   )
)
)</f>
        <v>88.12</v>
      </c>
      <c r="I264" s="5">
        <f>_xlfn.LET(
_xlpm.q,RawData!G264,
_xlpm.u,RawData!H264,
_xlpm.d,RawData!I264,
_xlpm.r,RawData!J264,
IF(AND(ISNUMBER(_xlpm.d),_xlpm.d&gt;=0,_xlpm.d&lt;1),_xlpm.d,
   IF(AND(ISNUMBER(_xlpm.q),_xlpm.q&gt;0,ISNUMBER(_xlpm.u),_xlpm.u&gt;0,ISNUMBER(_xlpm.r),_xlpm.r&gt;=0),
      1-(_xlpm.r/(_xlpm.q*_xlpm.u)),
      ""
   )
)
)</f>
        <v>0.1</v>
      </c>
      <c r="J264" s="4">
        <f>_xlfn.LET(
_xlpm.q,RawData!G264,
_xlpm.u,RawData!H264,
_xlpm.d,RawData!I264,
_xlpm.r,RawData!J264,
IF(AND(ISNUMBER(_xlpm.r),_xlpm.r&gt;=0),_xlpm.r,
   IF(AND(ISNUMBER(_xlpm.q),_xlpm.q&gt;0,ISNUMBER(_xlpm.u),_xlpm.u&gt;0,ISNUMBER(_xlpm.d),_xlpm.d&gt;=0,_xlpm.d&lt;1),
      _xlpm.q*_xlpm.u*(1-_xlpm.d),
      ""
   )
)
)</f>
        <v>237.92</v>
      </c>
      <c r="K264" s="4">
        <f>_xlfn.LET(
_xlpm.c,RawData!K264,
_xlpm.r,RawData!J264,
_xlpm.p,RawData!L264,
IF(AND(ISNUMBER(_xlpm.c),_xlpm.c&gt;=0),_xlpm.c,
   IF(AND(ISNUMBER(_xlpm.r),ISNUMBER(_xlpm.p)),
      _xlpm.r-_xlpm.p,
      ""
   )
)
)</f>
        <v>160.96</v>
      </c>
      <c r="L264" s="4">
        <f>_xlfn.LET(
_xlpm.p,RawData!L264,
_xlpm.r,RawData!J264,
_xlpm.c,RawData!K264,
IF(ISNUMBER(_xlpm.p),_xlpm.p,
IF(AND(ISNUMBER(_xlpm.r),ISNUMBER(_xlpm.c)),
_xlpm.r-_xlpm.c,
""
)
))</f>
        <v>76.959999999999994</v>
      </c>
    </row>
    <row r="265" spans="1:12" x14ac:dyDescent="0.35">
      <c r="A265" t="s">
        <v>302</v>
      </c>
      <c r="B265" s="7">
        <v>46018</v>
      </c>
      <c r="C265" t="str">
        <f>IF(RawData!C265="","Unknown",PROPER(TRIM(CLEAN(SUBSTITUTE(RawData!C265,CHAR(160)," ")))))</f>
        <v>South</v>
      </c>
      <c r="D265" t="str">
        <f>IF(RawData!D265="","Unknown",PROPER(TRIM(CLEAN(SUBSTITUTE(RawData!D265,CHAR(160)," ")))))</f>
        <v>Chennai</v>
      </c>
      <c r="E265" t="str">
        <f>IF(RawData!E265="","Unknown",PROPER(TRIM(CLEAN(SUBSTITUTE(RawData!E265,CHAR(160)," ")))))</f>
        <v>Notebook</v>
      </c>
      <c r="F265" t="str">
        <f>IF(RawData!F265="","Unknown",PROPER(TRIM(CLEAN(SUBSTITUTE(RawData!F265,CHAR(160)," ")))))</f>
        <v>Office Supplies</v>
      </c>
      <c r="G265">
        <f>_xlfn.LET(
_xlpm.q,RawData!G265,
_xlpm.u,RawData!H265,
_xlpm.d,RawData!I265,
_xlpm.r,RawData!J265,
IF(AND(ISNUMBER(_xlpm.q),_xlpm.q&gt;0),_xlpm.q,
   IF(AND(ISNUMBER(_xlpm.r),ISNUMBER(_xlpm.u),_xlpm.u&gt;0,ISNUMBER(_xlpm.d),_xlpm.d&gt;=0,_xlpm.d&lt;1),
      ROUND(_xlpm.r/(_xlpm.u*(1-_xlpm.d)),0),
      ""
   )
)
)</f>
        <v>9</v>
      </c>
      <c r="H265" s="4">
        <f>_xlfn.LET(
_xlpm.q,RawData!G265,
_xlpm.u,RawData!H265,
_xlpm.d,RawData!I265,
_xlpm.r,RawData!J265,
IF(AND(ISNUMBER(_xlpm.u),_xlpm.u&gt;0),_xlpm.u,
   IF(AND(ISNUMBER(_xlpm.q),_xlpm.q&gt;0,ISNUMBER(_xlpm.r),ISNUMBER(_xlpm.d),_xlpm.d&gt;=0,_xlpm.d&lt;1),
      _xlpm.r/(_xlpm.q*(1-_xlpm.d)),
      ""
   )
)
)</f>
        <v>7.8</v>
      </c>
      <c r="I265" s="5">
        <f>_xlfn.LET(
_xlpm.q,RawData!G265,
_xlpm.u,RawData!H265,
_xlpm.d,RawData!I265,
_xlpm.r,RawData!J265,
IF(AND(ISNUMBER(_xlpm.d),_xlpm.d&gt;=0,_xlpm.d&lt;1),_xlpm.d,
   IF(AND(ISNUMBER(_xlpm.q),_xlpm.q&gt;0,ISNUMBER(_xlpm.u),_xlpm.u&gt;0,ISNUMBER(_xlpm.r),_xlpm.r&gt;=0),
      1-(_xlpm.r/(_xlpm.q*_xlpm.u)),
      ""
   )
)
)</f>
        <v>0.2</v>
      </c>
      <c r="J265" s="4">
        <f>_xlfn.LET(
_xlpm.q,RawData!G265,
_xlpm.u,RawData!H265,
_xlpm.d,RawData!I265,
_xlpm.r,RawData!J265,
IF(AND(ISNUMBER(_xlpm.r),_xlpm.r&gt;=0),_xlpm.r,
   IF(AND(ISNUMBER(_xlpm.q),_xlpm.q&gt;0,ISNUMBER(_xlpm.u),_xlpm.u&gt;0,ISNUMBER(_xlpm.d),_xlpm.d&gt;=0,_xlpm.d&lt;1),
      _xlpm.q*_xlpm.u*(1-_xlpm.d),
      ""
   )
)
)</f>
        <v>56.16</v>
      </c>
      <c r="K265" s="4">
        <f>_xlfn.LET(
_xlpm.c,RawData!K265,
_xlpm.r,RawData!J265,
_xlpm.p,RawData!L265,
IF(AND(ISNUMBER(_xlpm.c),_xlpm.c&gt;=0),_xlpm.c,
   IF(AND(ISNUMBER(_xlpm.r),ISNUMBER(_xlpm.p)),
      _xlpm.r-_xlpm.p,
      ""
   )
)
)</f>
        <v>35.03</v>
      </c>
      <c r="L265" s="4">
        <f>_xlfn.LET(
_xlpm.p,RawData!L265,
_xlpm.r,RawData!J265,
_xlpm.c,RawData!K265,
IF(ISNUMBER(_xlpm.p),_xlpm.p,
IF(AND(ISNUMBER(_xlpm.r),ISNUMBER(_xlpm.c)),
_xlpm.r-_xlpm.c,
""
)
))</f>
        <v>21.13</v>
      </c>
    </row>
    <row r="266" spans="1:12" x14ac:dyDescent="0.35">
      <c r="A266" t="s">
        <v>303</v>
      </c>
      <c r="B266" s="7">
        <v>45694</v>
      </c>
      <c r="C266" t="str">
        <f>IF(RawData!C266="","Unknown",PROPER(TRIM(CLEAN(SUBSTITUTE(RawData!C266,CHAR(160)," ")))))</f>
        <v>West</v>
      </c>
      <c r="D266" t="str">
        <f>IF(RawData!D266="","Unknown",PROPER(TRIM(CLEAN(SUBSTITUTE(RawData!D266,CHAR(160)," ")))))</f>
        <v>Mumbai</v>
      </c>
      <c r="E266" t="str">
        <f>IF(RawData!E266="","Unknown",PROPER(TRIM(CLEAN(SUBSTITUTE(RawData!E266,CHAR(160)," ")))))</f>
        <v>Keyboard</v>
      </c>
      <c r="F266" t="str">
        <f>IF(RawData!F266="","Unknown",PROPER(TRIM(CLEAN(SUBSTITUTE(RawData!F266,CHAR(160)," ")))))</f>
        <v>Accessories</v>
      </c>
      <c r="G266">
        <f>_xlfn.LET(
_xlpm.q,RawData!G266,
_xlpm.u,RawData!H266,
_xlpm.d,RawData!I266,
_xlpm.r,RawData!J266,
IF(AND(ISNUMBER(_xlpm.q),_xlpm.q&gt;0),_xlpm.q,
   IF(AND(ISNUMBER(_xlpm.r),ISNUMBER(_xlpm.u),_xlpm.u&gt;0,ISNUMBER(_xlpm.d),_xlpm.d&gt;=0,_xlpm.d&lt;1),
      ROUND(_xlpm.r/(_xlpm.u*(1-_xlpm.d)),0),
      ""
   )
)
)</f>
        <v>1</v>
      </c>
      <c r="H266" s="4">
        <f>_xlfn.LET(
_xlpm.q,RawData!G266,
_xlpm.u,RawData!H266,
_xlpm.d,RawData!I266,
_xlpm.r,RawData!J266,
IF(AND(ISNUMBER(_xlpm.u),_xlpm.u&gt;0),_xlpm.u,
   IF(AND(ISNUMBER(_xlpm.q),_xlpm.q&gt;0,ISNUMBER(_xlpm.r),ISNUMBER(_xlpm.d),_xlpm.d&gt;=0,_xlpm.d&lt;1),
      _xlpm.r/(_xlpm.q*(1-_xlpm.d)),
      ""
   )
)
)</f>
        <v>30.34</v>
      </c>
      <c r="I266" s="5">
        <f>_xlfn.LET(
_xlpm.q,RawData!G266,
_xlpm.u,RawData!H266,
_xlpm.d,RawData!I266,
_xlpm.r,RawData!J266,
IF(AND(ISNUMBER(_xlpm.d),_xlpm.d&gt;=0,_xlpm.d&lt;1),_xlpm.d,
   IF(AND(ISNUMBER(_xlpm.q),_xlpm.q&gt;0,ISNUMBER(_xlpm.u),_xlpm.u&gt;0,ISNUMBER(_xlpm.r),_xlpm.r&gt;=0),
      1-(_xlpm.r/(_xlpm.q*_xlpm.u)),
      ""
   )
)
)</f>
        <v>0.1</v>
      </c>
      <c r="J266" s="4">
        <f>_xlfn.LET(
_xlpm.q,RawData!G266,
_xlpm.u,RawData!H266,
_xlpm.d,RawData!I266,
_xlpm.r,RawData!J266,
IF(AND(ISNUMBER(_xlpm.r),_xlpm.r&gt;=0),_xlpm.r,
   IF(AND(ISNUMBER(_xlpm.q),_xlpm.q&gt;0,ISNUMBER(_xlpm.u),_xlpm.u&gt;0,ISNUMBER(_xlpm.d),_xlpm.d&gt;=0,_xlpm.d&lt;1),
      _xlpm.q*_xlpm.u*(1-_xlpm.d),
      ""
   )
)
)</f>
        <v>27.31</v>
      </c>
      <c r="K266" s="4">
        <f>_xlfn.LET(
_xlpm.c,RawData!K266,
_xlpm.r,RawData!J266,
_xlpm.p,RawData!L266,
IF(AND(ISNUMBER(_xlpm.c),_xlpm.c&gt;=0),_xlpm.c,
   IF(AND(ISNUMBER(_xlpm.r),ISNUMBER(_xlpm.p)),
      _xlpm.r-_xlpm.p,
      ""
   )
)
)</f>
        <v>21.4</v>
      </c>
      <c r="L266" s="4">
        <f>_xlfn.LET(
_xlpm.p,RawData!L266,
_xlpm.r,RawData!J266,
_xlpm.c,RawData!K266,
IF(ISNUMBER(_xlpm.p),_xlpm.p,
IF(AND(ISNUMBER(_xlpm.r),ISNUMBER(_xlpm.c)),
_xlpm.r-_xlpm.c,
""
)
))</f>
        <v>5.91</v>
      </c>
    </row>
    <row r="267" spans="1:12" x14ac:dyDescent="0.35">
      <c r="A267" t="s">
        <v>304</v>
      </c>
      <c r="B267" s="7">
        <v>45893</v>
      </c>
      <c r="C267" t="str">
        <f>IF(RawData!C267="","Unknown",PROPER(TRIM(CLEAN(SUBSTITUTE(RawData!C267,CHAR(160)," ")))))</f>
        <v>North</v>
      </c>
      <c r="D267" t="str">
        <f>IF(RawData!D267="","Unknown",PROPER(TRIM(CLEAN(SUBSTITUTE(RawData!D267,CHAR(160)," ")))))</f>
        <v>Lucknow</v>
      </c>
      <c r="E267" t="str">
        <f>IF(RawData!E267="","Unknown",PROPER(TRIM(CLEAN(SUBSTITUTE(RawData!E267,CHAR(160)," ")))))</f>
        <v>Desk</v>
      </c>
      <c r="F267" t="str">
        <f>IF(RawData!F267="","Unknown",PROPER(TRIM(CLEAN(SUBSTITUTE(RawData!F267,CHAR(160)," ")))))</f>
        <v>Furniture</v>
      </c>
      <c r="G267">
        <f>_xlfn.LET(
_xlpm.q,RawData!G267,
_xlpm.u,RawData!H267,
_xlpm.d,RawData!I267,
_xlpm.r,RawData!J267,
IF(AND(ISNUMBER(_xlpm.q),_xlpm.q&gt;0),_xlpm.q,
   IF(AND(ISNUMBER(_xlpm.r),ISNUMBER(_xlpm.u),_xlpm.u&gt;0,ISNUMBER(_xlpm.d),_xlpm.d&gt;=0,_xlpm.d&lt;1),
      ROUND(_xlpm.r/(_xlpm.u*(1-_xlpm.d)),0),
      ""
   )
)
)</f>
        <v>10</v>
      </c>
      <c r="H267" s="4">
        <f>_xlfn.LET(
_xlpm.q,RawData!G267,
_xlpm.u,RawData!H267,
_xlpm.d,RawData!I267,
_xlpm.r,RawData!J267,
IF(AND(ISNUMBER(_xlpm.u),_xlpm.u&gt;0),_xlpm.u,
   IF(AND(ISNUMBER(_xlpm.q),_xlpm.q&gt;0,ISNUMBER(_xlpm.r),ISNUMBER(_xlpm.d),_xlpm.d&gt;=0,_xlpm.d&lt;1),
      _xlpm.r/(_xlpm.q*(1-_xlpm.d)),
      ""
   )
)
)</f>
        <v>273.47000000000003</v>
      </c>
      <c r="I267" s="5">
        <f>_xlfn.LET(
_xlpm.q,RawData!G267,
_xlpm.u,RawData!H267,
_xlpm.d,RawData!I267,
_xlpm.r,RawData!J267,
IF(AND(ISNUMBER(_xlpm.d),_xlpm.d&gt;=0,_xlpm.d&lt;1),_xlpm.d,
   IF(AND(ISNUMBER(_xlpm.q),_xlpm.q&gt;0,ISNUMBER(_xlpm.u),_xlpm.u&gt;0,ISNUMBER(_xlpm.r),_xlpm.r&gt;=0),
      1-(_xlpm.r/(_xlpm.q*_xlpm.u)),
      ""
   )
)
)</f>
        <v>0.1</v>
      </c>
      <c r="J267" s="4">
        <f>_xlfn.LET(
_xlpm.q,RawData!G267,
_xlpm.u,RawData!H267,
_xlpm.d,RawData!I267,
_xlpm.r,RawData!J267,
IF(AND(ISNUMBER(_xlpm.r),_xlpm.r&gt;=0),_xlpm.r,
   IF(AND(ISNUMBER(_xlpm.q),_xlpm.q&gt;0,ISNUMBER(_xlpm.u),_xlpm.u&gt;0,ISNUMBER(_xlpm.d),_xlpm.d&gt;=0,_xlpm.d&lt;1),
      _xlpm.q*_xlpm.u*(1-_xlpm.d),
      ""
   )
)
)</f>
        <v>2461.23</v>
      </c>
      <c r="K267" s="4">
        <f>_xlfn.LET(
_xlpm.c,RawData!K267,
_xlpm.r,RawData!J267,
_xlpm.p,RawData!L267,
IF(AND(ISNUMBER(_xlpm.c),_xlpm.c&gt;=0),_xlpm.c,
   IF(AND(ISNUMBER(_xlpm.r),ISNUMBER(_xlpm.p)),
      _xlpm.r-_xlpm.p,
      ""
   )
)
)</f>
        <v>2018.02</v>
      </c>
      <c r="L267" s="4">
        <f>_xlfn.LET(
_xlpm.p,RawData!L267,
_xlpm.r,RawData!J267,
_xlpm.c,RawData!K267,
IF(ISNUMBER(_xlpm.p),_xlpm.p,
IF(AND(ISNUMBER(_xlpm.r),ISNUMBER(_xlpm.c)),
_xlpm.r-_xlpm.c,
""
)
))</f>
        <v>443.21</v>
      </c>
    </row>
    <row r="268" spans="1:12" x14ac:dyDescent="0.35">
      <c r="A268" t="s">
        <v>305</v>
      </c>
      <c r="B268" s="7">
        <v>45865</v>
      </c>
      <c r="C268" t="str">
        <f>IF(RawData!C268="","Unknown",PROPER(TRIM(CLEAN(SUBSTITUTE(RawData!C268,CHAR(160)," ")))))</f>
        <v>West</v>
      </c>
      <c r="D268" t="str">
        <f>IF(RawData!D268="","Unknown",PROPER(TRIM(CLEAN(SUBSTITUTE(RawData!D268,CHAR(160)," ")))))</f>
        <v>Mumbai</v>
      </c>
      <c r="E268" t="str">
        <f>IF(RawData!E268="","Unknown",PROPER(TRIM(CLEAN(SUBSTITUTE(RawData!E268,CHAR(160)," ")))))</f>
        <v>Office Chair</v>
      </c>
      <c r="F268" t="str">
        <f>IF(RawData!F268="","Unknown",PROPER(TRIM(CLEAN(SUBSTITUTE(RawData!F268,CHAR(160)," ")))))</f>
        <v>Furniture</v>
      </c>
      <c r="G268">
        <f>_xlfn.LET(
_xlpm.q,RawData!G268,
_xlpm.u,RawData!H268,
_xlpm.d,RawData!I268,
_xlpm.r,RawData!J268,
IF(AND(ISNUMBER(_xlpm.q),_xlpm.q&gt;0),_xlpm.q,
   IF(AND(ISNUMBER(_xlpm.r),ISNUMBER(_xlpm.u),_xlpm.u&gt;0,ISNUMBER(_xlpm.d),_xlpm.d&gt;=0,_xlpm.d&lt;1),
      ROUND(_xlpm.r/(_xlpm.u*(1-_xlpm.d)),0),
      ""
   )
)
)</f>
        <v>2</v>
      </c>
      <c r="H268" s="4">
        <f>_xlfn.LET(
_xlpm.q,RawData!G268,
_xlpm.u,RawData!H268,
_xlpm.d,RawData!I268,
_xlpm.r,RawData!J268,
IF(AND(ISNUMBER(_xlpm.u),_xlpm.u&gt;0),_xlpm.u,
   IF(AND(ISNUMBER(_xlpm.q),_xlpm.q&gt;0,ISNUMBER(_xlpm.r),ISNUMBER(_xlpm.d),_xlpm.d&gt;=0,_xlpm.d&lt;1),
      _xlpm.r/(_xlpm.q*(1-_xlpm.d)),
      ""
   )
)
)</f>
        <v>206.82</v>
      </c>
      <c r="I268" s="5">
        <f>_xlfn.LET(
_xlpm.q,RawData!G268,
_xlpm.u,RawData!H268,
_xlpm.d,RawData!I268,
_xlpm.r,RawData!J268,
IF(AND(ISNUMBER(_xlpm.d),_xlpm.d&gt;=0,_xlpm.d&lt;1),_xlpm.d,
   IF(AND(ISNUMBER(_xlpm.q),_xlpm.q&gt;0,ISNUMBER(_xlpm.u),_xlpm.u&gt;0,ISNUMBER(_xlpm.r),_xlpm.r&gt;=0),
      1-(_xlpm.r/(_xlpm.q*_xlpm.u)),
      ""
   )
)
)</f>
        <v>0.1</v>
      </c>
      <c r="J268" s="4">
        <f>_xlfn.LET(
_xlpm.q,RawData!G268,
_xlpm.u,RawData!H268,
_xlpm.d,RawData!I268,
_xlpm.r,RawData!J268,
IF(AND(ISNUMBER(_xlpm.r),_xlpm.r&gt;=0),_xlpm.r,
   IF(AND(ISNUMBER(_xlpm.q),_xlpm.q&gt;0,ISNUMBER(_xlpm.u),_xlpm.u&gt;0,ISNUMBER(_xlpm.d),_xlpm.d&gt;=0,_xlpm.d&lt;1),
      _xlpm.q*_xlpm.u*(1-_xlpm.d),
      ""
   )
)
)</f>
        <v>372.28</v>
      </c>
      <c r="K268" s="4">
        <f>_xlfn.LET(
_xlpm.c,RawData!K268,
_xlpm.r,RawData!J268,
_xlpm.p,RawData!L268,
IF(AND(ISNUMBER(_xlpm.c),_xlpm.c&gt;=0),_xlpm.c,
   IF(AND(ISNUMBER(_xlpm.r),ISNUMBER(_xlpm.p)),
      _xlpm.r-_xlpm.p,
      ""
   )
)
)</f>
        <v>260.58</v>
      </c>
      <c r="L268" s="4">
        <f>_xlfn.LET(
_xlpm.p,RawData!L268,
_xlpm.r,RawData!J268,
_xlpm.c,RawData!K268,
IF(ISNUMBER(_xlpm.p),_xlpm.p,
IF(AND(ISNUMBER(_xlpm.r),ISNUMBER(_xlpm.c)),
_xlpm.r-_xlpm.c,
""
)
))</f>
        <v>111.7</v>
      </c>
    </row>
    <row r="269" spans="1:12" x14ac:dyDescent="0.35">
      <c r="A269" t="s">
        <v>306</v>
      </c>
      <c r="B269" s="7">
        <v>45824</v>
      </c>
      <c r="C269" t="str">
        <f>IF(RawData!C269="","Unknown",PROPER(TRIM(CLEAN(SUBSTITUTE(RawData!C269,CHAR(160)," ")))))</f>
        <v>South</v>
      </c>
      <c r="D269" t="str">
        <f>IF(RawData!D269="","Unknown",PROPER(TRIM(CLEAN(SUBSTITUTE(RawData!D269,CHAR(160)," ")))))</f>
        <v>Chennai</v>
      </c>
      <c r="E269" t="str">
        <f>IF(RawData!E269="","Unknown",PROPER(TRIM(CLEAN(SUBSTITUTE(RawData!E269,CHAR(160)," ")))))</f>
        <v>Pen Set</v>
      </c>
      <c r="F269" t="str">
        <f>IF(RawData!F269="","Unknown",PROPER(TRIM(CLEAN(SUBSTITUTE(RawData!F269,CHAR(160)," ")))))</f>
        <v>Office Supplies</v>
      </c>
      <c r="G269">
        <f>_xlfn.LET(
_xlpm.q,RawData!G269,
_xlpm.u,RawData!H269,
_xlpm.d,RawData!I269,
_xlpm.r,RawData!J269,
IF(AND(ISNUMBER(_xlpm.q),_xlpm.q&gt;0),_xlpm.q,
   IF(AND(ISNUMBER(_xlpm.r),ISNUMBER(_xlpm.u),_xlpm.u&gt;0,ISNUMBER(_xlpm.d),_xlpm.d&gt;=0,_xlpm.d&lt;1),
      ROUND(_xlpm.r/(_xlpm.u*(1-_xlpm.d)),0),
      ""
   )
)
)</f>
        <v>8</v>
      </c>
      <c r="H269" s="4">
        <f>_xlfn.LET(
_xlpm.q,RawData!G269,
_xlpm.u,RawData!H269,
_xlpm.d,RawData!I269,
_xlpm.r,RawData!J269,
IF(AND(ISNUMBER(_xlpm.u),_xlpm.u&gt;0),_xlpm.u,
   IF(AND(ISNUMBER(_xlpm.q),_xlpm.q&gt;0,ISNUMBER(_xlpm.r),ISNUMBER(_xlpm.d),_xlpm.d&gt;=0,_xlpm.d&lt;1),
      _xlpm.r/(_xlpm.q*(1-_xlpm.d)),
      ""
   )
)
)</f>
        <v>12.97</v>
      </c>
      <c r="I269" s="5">
        <f>_xlfn.LET(
_xlpm.q,RawData!G269,
_xlpm.u,RawData!H269,
_xlpm.d,RawData!I269,
_xlpm.r,RawData!J269,
IF(AND(ISNUMBER(_xlpm.d),_xlpm.d&gt;=0,_xlpm.d&lt;1),_xlpm.d,
   IF(AND(ISNUMBER(_xlpm.q),_xlpm.q&gt;0,ISNUMBER(_xlpm.u),_xlpm.u&gt;0,ISNUMBER(_xlpm.r),_xlpm.r&gt;=0),
      1-(_xlpm.r/(_xlpm.q*_xlpm.u)),
      ""
   )
)
)</f>
        <v>0.2</v>
      </c>
      <c r="J269" s="4">
        <f>_xlfn.LET(
_xlpm.q,RawData!G269,
_xlpm.u,RawData!H269,
_xlpm.d,RawData!I269,
_xlpm.r,RawData!J269,
IF(AND(ISNUMBER(_xlpm.r),_xlpm.r&gt;=0),_xlpm.r,
   IF(AND(ISNUMBER(_xlpm.q),_xlpm.q&gt;0,ISNUMBER(_xlpm.u),_xlpm.u&gt;0,ISNUMBER(_xlpm.d),_xlpm.d&gt;=0,_xlpm.d&lt;1),
      _xlpm.q*_xlpm.u*(1-_xlpm.d),
      ""
   )
)
)</f>
        <v>83.01</v>
      </c>
      <c r="K269" s="4">
        <f>_xlfn.LET(
_xlpm.c,RawData!K269,
_xlpm.r,RawData!J269,
_xlpm.p,RawData!L269,
IF(AND(ISNUMBER(_xlpm.c),_xlpm.c&gt;=0),_xlpm.c,
   IF(AND(ISNUMBER(_xlpm.r),ISNUMBER(_xlpm.p)),
      _xlpm.r-_xlpm.p,
      ""
   )
)
)</f>
        <v>66.83</v>
      </c>
      <c r="L269" s="4">
        <f>_xlfn.LET(
_xlpm.p,RawData!L269,
_xlpm.r,RawData!J269,
_xlpm.c,RawData!K269,
IF(ISNUMBER(_xlpm.p),_xlpm.p,
IF(AND(ISNUMBER(_xlpm.r),ISNUMBER(_xlpm.c)),
_xlpm.r-_xlpm.c,
""
)
))</f>
        <v>16.18</v>
      </c>
    </row>
    <row r="270" spans="1:12" x14ac:dyDescent="0.35">
      <c r="A270" t="s">
        <v>307</v>
      </c>
      <c r="B270" s="7">
        <v>45703</v>
      </c>
      <c r="C270" t="str">
        <f>IF(RawData!C270="","Unknown",PROPER(TRIM(CLEAN(SUBSTITUTE(RawData!C270,CHAR(160)," ")))))</f>
        <v>West</v>
      </c>
      <c r="D270" t="str">
        <f>IF(RawData!D270="","Unknown",PROPER(TRIM(CLEAN(SUBSTITUTE(RawData!D270,CHAR(160)," ")))))</f>
        <v>Ahmedabad</v>
      </c>
      <c r="E270" t="str">
        <f>IF(RawData!E270="","Unknown",PROPER(TRIM(CLEAN(SUBSTITUTE(RawData!E270,CHAR(160)," ")))))</f>
        <v>Smartphone</v>
      </c>
      <c r="F270" t="str">
        <f>IF(RawData!F270="","Unknown",PROPER(TRIM(CLEAN(SUBSTITUTE(RawData!F270,CHAR(160)," ")))))</f>
        <v>Electronics</v>
      </c>
      <c r="G270">
        <f>_xlfn.LET(
_xlpm.q,RawData!G270,
_xlpm.u,RawData!H270,
_xlpm.d,RawData!I270,
_xlpm.r,RawData!J270,
IF(AND(ISNUMBER(_xlpm.q),_xlpm.q&gt;0),_xlpm.q,
   IF(AND(ISNUMBER(_xlpm.r),ISNUMBER(_xlpm.u),_xlpm.u&gt;0,ISNUMBER(_xlpm.d),_xlpm.d&gt;=0,_xlpm.d&lt;1),
      ROUND(_xlpm.r/(_xlpm.u*(1-_xlpm.d)),0),
      ""
   )
)
)</f>
        <v>4</v>
      </c>
      <c r="H270" s="4">
        <f>_xlfn.LET(
_xlpm.q,RawData!G270,
_xlpm.u,RawData!H270,
_xlpm.d,RawData!I270,
_xlpm.r,RawData!J270,
IF(AND(ISNUMBER(_xlpm.u),_xlpm.u&gt;0),_xlpm.u,
   IF(AND(ISNUMBER(_xlpm.q),_xlpm.q&gt;0,ISNUMBER(_xlpm.r),ISNUMBER(_xlpm.d),_xlpm.d&gt;=0,_xlpm.d&lt;1),
      _xlpm.r/(_xlpm.q*(1-_xlpm.d)),
      ""
   )
)
)</f>
        <v>607.69000000000005</v>
      </c>
      <c r="I270" s="5">
        <f>_xlfn.LET(
_xlpm.q,RawData!G270,
_xlpm.u,RawData!H270,
_xlpm.d,RawData!I270,
_xlpm.r,RawData!J270,
IF(AND(ISNUMBER(_xlpm.d),_xlpm.d&gt;=0,_xlpm.d&lt;1),_xlpm.d,
   IF(AND(ISNUMBER(_xlpm.q),_xlpm.q&gt;0,ISNUMBER(_xlpm.u),_xlpm.u&gt;0,ISNUMBER(_xlpm.r),_xlpm.r&gt;=0),
      1-(_xlpm.r/(_xlpm.q*_xlpm.u)),
      ""
   )
)
)</f>
        <v>0.1</v>
      </c>
      <c r="J270" s="4">
        <f>_xlfn.LET(
_xlpm.q,RawData!G270,
_xlpm.u,RawData!H270,
_xlpm.d,RawData!I270,
_xlpm.r,RawData!J270,
IF(AND(ISNUMBER(_xlpm.r),_xlpm.r&gt;=0),_xlpm.r,
   IF(AND(ISNUMBER(_xlpm.q),_xlpm.q&gt;0,ISNUMBER(_xlpm.u),_xlpm.u&gt;0,ISNUMBER(_xlpm.d),_xlpm.d&gt;=0,_xlpm.d&lt;1),
      _xlpm.q*_xlpm.u*(1-_xlpm.d),
      ""
   )
)
)</f>
        <v>2187.6799999999998</v>
      </c>
      <c r="K270" s="4">
        <f>_xlfn.LET(
_xlpm.c,RawData!K270,
_xlpm.r,RawData!J270,
_xlpm.p,RawData!L270,
IF(AND(ISNUMBER(_xlpm.c),_xlpm.c&gt;=0),_xlpm.c,
   IF(AND(ISNUMBER(_xlpm.r),ISNUMBER(_xlpm.p)),
      _xlpm.r-_xlpm.p,
      ""
   )
)
)</f>
        <v>1349.33</v>
      </c>
      <c r="L270" s="4">
        <f>_xlfn.LET(
_xlpm.p,RawData!L270,
_xlpm.r,RawData!J270,
_xlpm.c,RawData!K270,
IF(ISNUMBER(_xlpm.p),_xlpm.p,
IF(AND(ISNUMBER(_xlpm.r),ISNUMBER(_xlpm.c)),
_xlpm.r-_xlpm.c,
""
)
))</f>
        <v>838.35</v>
      </c>
    </row>
    <row r="271" spans="1:12" x14ac:dyDescent="0.35">
      <c r="A271" t="s">
        <v>308</v>
      </c>
      <c r="B271" s="7">
        <v>45863</v>
      </c>
      <c r="C271" t="str">
        <f>IF(RawData!C271="","Unknown",PROPER(TRIM(CLEAN(SUBSTITUTE(RawData!C271,CHAR(160)," ")))))</f>
        <v>North</v>
      </c>
      <c r="D271" t="str">
        <f>IF(RawData!D271="","Unknown",PROPER(TRIM(CLEAN(SUBSTITUTE(RawData!D271,CHAR(160)," ")))))</f>
        <v>Jaipur</v>
      </c>
      <c r="E271" t="str">
        <f>IF(RawData!E271="","Unknown",PROPER(TRIM(CLEAN(SUBSTITUTE(RawData!E271,CHAR(160)," ")))))</f>
        <v>Bookshelf</v>
      </c>
      <c r="F271" t="str">
        <f>IF(RawData!F271="","Unknown",PROPER(TRIM(CLEAN(SUBSTITUTE(RawData!F271,CHAR(160)," ")))))</f>
        <v>Furniture</v>
      </c>
      <c r="G271">
        <f>_xlfn.LET(
_xlpm.q,RawData!G271,
_xlpm.u,RawData!H271,
_xlpm.d,RawData!I271,
_xlpm.r,RawData!J271,
IF(AND(ISNUMBER(_xlpm.q),_xlpm.q&gt;0),_xlpm.q,
   IF(AND(ISNUMBER(_xlpm.r),ISNUMBER(_xlpm.u),_xlpm.u&gt;0,ISNUMBER(_xlpm.d),_xlpm.d&gt;=0,_xlpm.d&lt;1),
      ROUND(_xlpm.r/(_xlpm.u*(1-_xlpm.d)),0),
      ""
   )
)
)</f>
        <v>5</v>
      </c>
      <c r="H271" s="4">
        <f>_xlfn.LET(
_xlpm.q,RawData!G271,
_xlpm.u,RawData!H271,
_xlpm.d,RawData!I271,
_xlpm.r,RawData!J271,
IF(AND(ISNUMBER(_xlpm.u),_xlpm.u&gt;0),_xlpm.u,
   IF(AND(ISNUMBER(_xlpm.q),_xlpm.q&gt;0,ISNUMBER(_xlpm.r),ISNUMBER(_xlpm.d),_xlpm.d&gt;=0,_xlpm.d&lt;1),
      _xlpm.r/(_xlpm.q*(1-_xlpm.d)),
      ""
   )
)
)</f>
        <v>137.91999999999999</v>
      </c>
      <c r="I271" s="5">
        <f>_xlfn.LET(
_xlpm.q,RawData!G271,
_xlpm.u,RawData!H271,
_xlpm.d,RawData!I271,
_xlpm.r,RawData!J271,
IF(AND(ISNUMBER(_xlpm.d),_xlpm.d&gt;=0,_xlpm.d&lt;1),_xlpm.d,
   IF(AND(ISNUMBER(_xlpm.q),_xlpm.q&gt;0,ISNUMBER(_xlpm.u),_xlpm.u&gt;0,ISNUMBER(_xlpm.r),_xlpm.r&gt;=0),
      1-(_xlpm.r/(_xlpm.q*_xlpm.u)),
      ""
   )
)
)</f>
        <v>0.2</v>
      </c>
      <c r="J271" s="4">
        <f>_xlfn.LET(
_xlpm.q,RawData!G271,
_xlpm.u,RawData!H271,
_xlpm.d,RawData!I271,
_xlpm.r,RawData!J271,
IF(AND(ISNUMBER(_xlpm.r),_xlpm.r&gt;=0),_xlpm.r,
   IF(AND(ISNUMBER(_xlpm.q),_xlpm.q&gt;0,ISNUMBER(_xlpm.u),_xlpm.u&gt;0,ISNUMBER(_xlpm.d),_xlpm.d&gt;=0,_xlpm.d&lt;1),
      _xlpm.q*_xlpm.u*(1-_xlpm.d),
      ""
   )
)
)</f>
        <v>551.67999999999995</v>
      </c>
      <c r="K271" s="4">
        <f>_xlfn.LET(
_xlpm.c,RawData!K271,
_xlpm.r,RawData!J271,
_xlpm.p,RawData!L271,
IF(AND(ISNUMBER(_xlpm.c),_xlpm.c&gt;=0),_xlpm.c,
   IF(AND(ISNUMBER(_xlpm.r),ISNUMBER(_xlpm.p)),
      _xlpm.r-_xlpm.p,
      ""
   )
)
)</f>
        <v>322.66000000000003</v>
      </c>
      <c r="L271" s="4">
        <f>_xlfn.LET(
_xlpm.p,RawData!L271,
_xlpm.r,RawData!J271,
_xlpm.c,RawData!K271,
IF(ISNUMBER(_xlpm.p),_xlpm.p,
IF(AND(ISNUMBER(_xlpm.r),ISNUMBER(_xlpm.c)),
_xlpm.r-_xlpm.c,
""
)
))</f>
        <v>229.02</v>
      </c>
    </row>
    <row r="272" spans="1:12" x14ac:dyDescent="0.35">
      <c r="A272" t="s">
        <v>309</v>
      </c>
      <c r="B272" s="7">
        <v>45771</v>
      </c>
      <c r="C272" t="str">
        <f>IF(RawData!C272="","Unknown",PROPER(TRIM(CLEAN(SUBSTITUTE(RawData!C272,CHAR(160)," ")))))</f>
        <v>East</v>
      </c>
      <c r="D272" t="str">
        <f>IF(RawData!D272="","Unknown",PROPER(TRIM(CLEAN(SUBSTITUTE(RawData!D272,CHAR(160)," ")))))</f>
        <v>Patna</v>
      </c>
      <c r="E272" t="str">
        <f>IF(RawData!E272="","Unknown",PROPER(TRIM(CLEAN(SUBSTITUTE(RawData!E272,CHAR(160)," ")))))</f>
        <v>Headphones</v>
      </c>
      <c r="F272" t="str">
        <f>IF(RawData!F272="","Unknown",PROPER(TRIM(CLEAN(SUBSTITUTE(RawData!F272,CHAR(160)," ")))))</f>
        <v>Electronics</v>
      </c>
      <c r="G272">
        <f>_xlfn.LET(
_xlpm.q,RawData!G272,
_xlpm.u,RawData!H272,
_xlpm.d,RawData!I272,
_xlpm.r,RawData!J272,
IF(AND(ISNUMBER(_xlpm.q),_xlpm.q&gt;0),_xlpm.q,
   IF(AND(ISNUMBER(_xlpm.r),ISNUMBER(_xlpm.u),_xlpm.u&gt;0,ISNUMBER(_xlpm.d),_xlpm.d&gt;=0,_xlpm.d&lt;1),
      ROUND(_xlpm.r/(_xlpm.u*(1-_xlpm.d)),0),
      ""
   )
)
)</f>
        <v>2</v>
      </c>
      <c r="H272" s="4">
        <f>_xlfn.LET(
_xlpm.q,RawData!G272,
_xlpm.u,RawData!H272,
_xlpm.d,RawData!I272,
_xlpm.r,RawData!J272,
IF(AND(ISNUMBER(_xlpm.u),_xlpm.u&gt;0),_xlpm.u,
   IF(AND(ISNUMBER(_xlpm.q),_xlpm.q&gt;0,ISNUMBER(_xlpm.r),ISNUMBER(_xlpm.d),_xlpm.d&gt;=0,_xlpm.d&lt;1),
      _xlpm.r/(_xlpm.q*(1-_xlpm.d)),
      ""
   )
)
)</f>
        <v>90.9</v>
      </c>
      <c r="I272" s="5">
        <f>_xlfn.LET(
_xlpm.q,RawData!G272,
_xlpm.u,RawData!H272,
_xlpm.d,RawData!I272,
_xlpm.r,RawData!J272,
IF(AND(ISNUMBER(_xlpm.d),_xlpm.d&gt;=0,_xlpm.d&lt;1),_xlpm.d,
   IF(AND(ISNUMBER(_xlpm.q),_xlpm.q&gt;0,ISNUMBER(_xlpm.u),_xlpm.u&gt;0,ISNUMBER(_xlpm.r),_xlpm.r&gt;=0),
      1-(_xlpm.r/(_xlpm.q*_xlpm.u)),
      ""
   )
)
)</f>
        <v>0.15</v>
      </c>
      <c r="J272" s="4">
        <f>_xlfn.LET(
_xlpm.q,RawData!G272,
_xlpm.u,RawData!H272,
_xlpm.d,RawData!I272,
_xlpm.r,RawData!J272,
IF(AND(ISNUMBER(_xlpm.r),_xlpm.r&gt;=0),_xlpm.r,
   IF(AND(ISNUMBER(_xlpm.q),_xlpm.q&gt;0,ISNUMBER(_xlpm.u),_xlpm.u&gt;0,ISNUMBER(_xlpm.d),_xlpm.d&gt;=0,_xlpm.d&lt;1),
      _xlpm.q*_xlpm.u*(1-_xlpm.d),
      ""
   )
)
)</f>
        <v>154.53</v>
      </c>
      <c r="K272" s="4">
        <f>_xlfn.LET(
_xlpm.c,RawData!K272,
_xlpm.r,RawData!J272,
_xlpm.p,RawData!L272,
IF(AND(ISNUMBER(_xlpm.c),_xlpm.c&gt;=0),_xlpm.c,
   IF(AND(ISNUMBER(_xlpm.r),ISNUMBER(_xlpm.p)),
      _xlpm.r-_xlpm.p,
      ""
   )
)
)</f>
        <v>110.28</v>
      </c>
      <c r="L272" s="4">
        <f>_xlfn.LET(
_xlpm.p,RawData!L272,
_xlpm.r,RawData!J272,
_xlpm.c,RawData!K272,
IF(ISNUMBER(_xlpm.p),_xlpm.p,
IF(AND(ISNUMBER(_xlpm.r),ISNUMBER(_xlpm.c)),
_xlpm.r-_xlpm.c,
""
)
))</f>
        <v>44.25</v>
      </c>
    </row>
    <row r="273" spans="1:12" x14ac:dyDescent="0.35">
      <c r="A273" t="s">
        <v>310</v>
      </c>
      <c r="B273" s="7">
        <v>45716</v>
      </c>
      <c r="C273" t="str">
        <f>IF(RawData!C273="","Unknown",PROPER(TRIM(CLEAN(SUBSTITUTE(RawData!C273,CHAR(160)," ")))))</f>
        <v>South</v>
      </c>
      <c r="D273" t="str">
        <f>IF(RawData!D273="","Unknown",PROPER(TRIM(CLEAN(SUBSTITUTE(RawData!D273,CHAR(160)," ")))))</f>
        <v>Bengaluru</v>
      </c>
      <c r="E273" t="str">
        <f>IF(RawData!E273="","Unknown",PROPER(TRIM(CLEAN(SUBSTITUTE(RawData!E273,CHAR(160)," ")))))</f>
        <v>Desk</v>
      </c>
      <c r="F273" t="str">
        <f>IF(RawData!F273="","Unknown",PROPER(TRIM(CLEAN(SUBSTITUTE(RawData!F273,CHAR(160)," ")))))</f>
        <v>Furniture</v>
      </c>
      <c r="G273">
        <f>_xlfn.LET(
_xlpm.q,RawData!G273,
_xlpm.u,RawData!H273,
_xlpm.d,RawData!I273,
_xlpm.r,RawData!J273,
IF(AND(ISNUMBER(_xlpm.q),_xlpm.q&gt;0),_xlpm.q,
   IF(AND(ISNUMBER(_xlpm.r),ISNUMBER(_xlpm.u),_xlpm.u&gt;0,ISNUMBER(_xlpm.d),_xlpm.d&gt;=0,_xlpm.d&lt;1),
      ROUND(_xlpm.r/(_xlpm.u*(1-_xlpm.d)),0),
      ""
   )
)
)</f>
        <v>6</v>
      </c>
      <c r="H273" s="4">
        <f>_xlfn.LET(
_xlpm.q,RawData!G273,
_xlpm.u,RawData!H273,
_xlpm.d,RawData!I273,
_xlpm.r,RawData!J273,
IF(AND(ISNUMBER(_xlpm.u),_xlpm.u&gt;0),_xlpm.u,
   IF(AND(ISNUMBER(_xlpm.q),_xlpm.q&gt;0,ISNUMBER(_xlpm.r),ISNUMBER(_xlpm.d),_xlpm.d&gt;=0,_xlpm.d&lt;1),
      _xlpm.r/(_xlpm.q*(1-_xlpm.d)),
      ""
   )
)
)</f>
        <v>229.65</v>
      </c>
      <c r="I273" s="5">
        <f>_xlfn.LET(
_xlpm.q,RawData!G273,
_xlpm.u,RawData!H273,
_xlpm.d,RawData!I273,
_xlpm.r,RawData!J273,
IF(AND(ISNUMBER(_xlpm.d),_xlpm.d&gt;=0,_xlpm.d&lt;1),_xlpm.d,
   IF(AND(ISNUMBER(_xlpm.q),_xlpm.q&gt;0,ISNUMBER(_xlpm.u),_xlpm.u&gt;0,ISNUMBER(_xlpm.r),_xlpm.r&gt;=0),
      1-(_xlpm.r/(_xlpm.q*_xlpm.u)),
      ""
   )
)
)</f>
        <v>0.2</v>
      </c>
      <c r="J273" s="4">
        <f>_xlfn.LET(
_xlpm.q,RawData!G273,
_xlpm.u,RawData!H273,
_xlpm.d,RawData!I273,
_xlpm.r,RawData!J273,
IF(AND(ISNUMBER(_xlpm.r),_xlpm.r&gt;=0),_xlpm.r,
   IF(AND(ISNUMBER(_xlpm.q),_xlpm.q&gt;0,ISNUMBER(_xlpm.u),_xlpm.u&gt;0,ISNUMBER(_xlpm.d),_xlpm.d&gt;=0,_xlpm.d&lt;1),
      _xlpm.q*_xlpm.u*(1-_xlpm.d),
      ""
   )
)
)</f>
        <v>1102.32</v>
      </c>
      <c r="K273" s="4">
        <f>_xlfn.LET(
_xlpm.c,RawData!K273,
_xlpm.r,RawData!J273,
_xlpm.p,RawData!L273,
IF(AND(ISNUMBER(_xlpm.c),_xlpm.c&gt;=0),_xlpm.c,
   IF(AND(ISNUMBER(_xlpm.r),ISNUMBER(_xlpm.p)),
      _xlpm.r-_xlpm.p,
      ""
   )
)
)</f>
        <v>806.19</v>
      </c>
      <c r="L273" s="4">
        <f>_xlfn.LET(
_xlpm.p,RawData!L273,
_xlpm.r,RawData!J273,
_xlpm.c,RawData!K273,
IF(ISNUMBER(_xlpm.p),_xlpm.p,
IF(AND(ISNUMBER(_xlpm.r),ISNUMBER(_xlpm.c)),
_xlpm.r-_xlpm.c,
""
)
))</f>
        <v>296.13</v>
      </c>
    </row>
    <row r="274" spans="1:12" x14ac:dyDescent="0.35">
      <c r="A274" t="s">
        <v>311</v>
      </c>
      <c r="B274" s="7">
        <v>45733</v>
      </c>
      <c r="C274" t="str">
        <f>IF(RawData!C274="","Unknown",PROPER(TRIM(CLEAN(SUBSTITUTE(RawData!C274,CHAR(160)," ")))))</f>
        <v>South</v>
      </c>
      <c r="D274" t="str">
        <f>IF(RawData!D274="","Unknown",PROPER(TRIM(CLEAN(SUBSTITUTE(RawData!D274,CHAR(160)," ")))))</f>
        <v>Hyderabad</v>
      </c>
      <c r="E274" t="str">
        <f>IF(RawData!E274="","Unknown",PROPER(TRIM(CLEAN(SUBSTITUTE(RawData!E274,CHAR(160)," ")))))</f>
        <v>Smartphone</v>
      </c>
      <c r="F274" t="str">
        <f>IF(RawData!F274="","Unknown",PROPER(TRIM(CLEAN(SUBSTITUTE(RawData!F274,CHAR(160)," ")))))</f>
        <v>Electronics</v>
      </c>
      <c r="G274">
        <f>_xlfn.LET(
_xlpm.q,RawData!G274,
_xlpm.u,RawData!H274,
_xlpm.d,RawData!I274,
_xlpm.r,RawData!J274,
IF(AND(ISNUMBER(_xlpm.q),_xlpm.q&gt;0),_xlpm.q,
   IF(AND(ISNUMBER(_xlpm.r),ISNUMBER(_xlpm.u),_xlpm.u&gt;0,ISNUMBER(_xlpm.d),_xlpm.d&gt;=0,_xlpm.d&lt;1),
      ROUND(_xlpm.r/(_xlpm.u*(1-_xlpm.d)),0),
      ""
   )
)
)</f>
        <v>3</v>
      </c>
      <c r="H274" s="4">
        <f>_xlfn.LET(
_xlpm.q,RawData!G274,
_xlpm.u,RawData!H274,
_xlpm.d,RawData!I274,
_xlpm.r,RawData!J274,
IF(AND(ISNUMBER(_xlpm.u),_xlpm.u&gt;0),_xlpm.u,
   IF(AND(ISNUMBER(_xlpm.q),_xlpm.q&gt;0,ISNUMBER(_xlpm.r),ISNUMBER(_xlpm.d),_xlpm.d&gt;=0,_xlpm.d&lt;1),
      _xlpm.r/(_xlpm.q*(1-_xlpm.d)),
      ""
   )
)
)</f>
        <v>569.49</v>
      </c>
      <c r="I274" s="5">
        <f>_xlfn.LET(
_xlpm.q,RawData!G274,
_xlpm.u,RawData!H274,
_xlpm.d,RawData!I274,
_xlpm.r,RawData!J274,
IF(AND(ISNUMBER(_xlpm.d),_xlpm.d&gt;=0,_xlpm.d&lt;1),_xlpm.d,
   IF(AND(ISNUMBER(_xlpm.q),_xlpm.q&gt;0,ISNUMBER(_xlpm.u),_xlpm.u&gt;0,ISNUMBER(_xlpm.r),_xlpm.r&gt;=0),
      1-(_xlpm.r/(_xlpm.q*_xlpm.u)),
      ""
   )
)
)</f>
        <v>0.05</v>
      </c>
      <c r="J274" s="4">
        <f>_xlfn.LET(
_xlpm.q,RawData!G274,
_xlpm.u,RawData!H274,
_xlpm.d,RawData!I274,
_xlpm.r,RawData!J274,
IF(AND(ISNUMBER(_xlpm.r),_xlpm.r&gt;=0),_xlpm.r,
   IF(AND(ISNUMBER(_xlpm.q),_xlpm.q&gt;0,ISNUMBER(_xlpm.u),_xlpm.u&gt;0,ISNUMBER(_xlpm.d),_xlpm.d&gt;=0,_xlpm.d&lt;1),
      _xlpm.q*_xlpm.u*(1-_xlpm.d),
      ""
   )
)
)</f>
        <v>1623.05</v>
      </c>
      <c r="K274" s="4">
        <f>_xlfn.LET(
_xlpm.c,RawData!K274,
_xlpm.r,RawData!J274,
_xlpm.p,RawData!L274,
IF(AND(ISNUMBER(_xlpm.c),_xlpm.c&gt;=0),_xlpm.c,
   IF(AND(ISNUMBER(_xlpm.r),ISNUMBER(_xlpm.p)),
      _xlpm.r-_xlpm.p,
      ""
   )
)
)</f>
        <v>1049.6300000000001</v>
      </c>
      <c r="L274" s="4">
        <f>_xlfn.LET(
_xlpm.p,RawData!L274,
_xlpm.r,RawData!J274,
_xlpm.c,RawData!K274,
IF(ISNUMBER(_xlpm.p),_xlpm.p,
IF(AND(ISNUMBER(_xlpm.r),ISNUMBER(_xlpm.c)),
_xlpm.r-_xlpm.c,
""
)
))</f>
        <v>573.41999999999996</v>
      </c>
    </row>
    <row r="275" spans="1:12" x14ac:dyDescent="0.35">
      <c r="A275" t="s">
        <v>312</v>
      </c>
      <c r="B275" s="7">
        <v>45746</v>
      </c>
      <c r="C275" t="str">
        <f>IF(RawData!C275="","Unknown",PROPER(TRIM(CLEAN(SUBSTITUTE(RawData!C275,CHAR(160)," ")))))</f>
        <v>South</v>
      </c>
      <c r="D275" t="str">
        <f>IF(RawData!D275="","Unknown",PROPER(TRIM(CLEAN(SUBSTITUTE(RawData!D275,CHAR(160)," ")))))</f>
        <v>Bengaluru</v>
      </c>
      <c r="E275" t="str">
        <f>IF(RawData!E275="","Unknown",PROPER(TRIM(CLEAN(SUBSTITUTE(RawData!E275,CHAR(160)," ")))))</f>
        <v>Backpack</v>
      </c>
      <c r="F275" t="str">
        <f>IF(RawData!F275="","Unknown",PROPER(TRIM(CLEAN(SUBSTITUTE(RawData!F275,CHAR(160)," ")))))</f>
        <v>Accessories</v>
      </c>
      <c r="G275">
        <f>_xlfn.LET(
_xlpm.q,RawData!G275,
_xlpm.u,RawData!H275,
_xlpm.d,RawData!I275,
_xlpm.r,RawData!J275,
IF(AND(ISNUMBER(_xlpm.q),_xlpm.q&gt;0),_xlpm.q,
   IF(AND(ISNUMBER(_xlpm.r),ISNUMBER(_xlpm.u),_xlpm.u&gt;0,ISNUMBER(_xlpm.d),_xlpm.d&gt;=0,_xlpm.d&lt;1),
      ROUND(_xlpm.r/(_xlpm.u*(1-_xlpm.d)),0),
      ""
   )
)
)</f>
        <v>2</v>
      </c>
      <c r="H275" s="4">
        <f>_xlfn.LET(
_xlpm.q,RawData!G275,
_xlpm.u,RawData!H275,
_xlpm.d,RawData!I275,
_xlpm.r,RawData!J275,
IF(AND(ISNUMBER(_xlpm.u),_xlpm.u&gt;0),_xlpm.u,
   IF(AND(ISNUMBER(_xlpm.q),_xlpm.q&gt;0,ISNUMBER(_xlpm.r),ISNUMBER(_xlpm.d),_xlpm.d&gt;=0,_xlpm.d&lt;1),
      _xlpm.r/(_xlpm.q*(1-_xlpm.d)),
      ""
   )
)
)</f>
        <v>39.78</v>
      </c>
      <c r="I275" s="5">
        <f>_xlfn.LET(
_xlpm.q,RawData!G275,
_xlpm.u,RawData!H275,
_xlpm.d,RawData!I275,
_xlpm.r,RawData!J275,
IF(AND(ISNUMBER(_xlpm.d),_xlpm.d&gt;=0,_xlpm.d&lt;1),_xlpm.d,
   IF(AND(ISNUMBER(_xlpm.q),_xlpm.q&gt;0,ISNUMBER(_xlpm.u),_xlpm.u&gt;0,ISNUMBER(_xlpm.r),_xlpm.r&gt;=0),
      1-(_xlpm.r/(_xlpm.q*_xlpm.u)),
      ""
   )
)
)</f>
        <v>0.02</v>
      </c>
      <c r="J275" s="4">
        <f>_xlfn.LET(
_xlpm.q,RawData!G275,
_xlpm.u,RawData!H275,
_xlpm.d,RawData!I275,
_xlpm.r,RawData!J275,
IF(AND(ISNUMBER(_xlpm.r),_xlpm.r&gt;=0),_xlpm.r,
   IF(AND(ISNUMBER(_xlpm.q),_xlpm.q&gt;0,ISNUMBER(_xlpm.u),_xlpm.u&gt;0,ISNUMBER(_xlpm.d),_xlpm.d&gt;=0,_xlpm.d&lt;1),
      _xlpm.q*_xlpm.u*(1-_xlpm.d),
      ""
   )
)
)</f>
        <v>77.97</v>
      </c>
      <c r="K275" s="4">
        <f>_xlfn.LET(
_xlpm.c,RawData!K275,
_xlpm.r,RawData!J275,
_xlpm.p,RawData!L275,
IF(AND(ISNUMBER(_xlpm.c),_xlpm.c&gt;=0),_xlpm.c,
   IF(AND(ISNUMBER(_xlpm.r),ISNUMBER(_xlpm.p)),
      _xlpm.r-_xlpm.p,
      ""
   )
)
)</f>
        <v>57.02</v>
      </c>
      <c r="L275" s="4">
        <f>_xlfn.LET(
_xlpm.p,RawData!L275,
_xlpm.r,RawData!J275,
_xlpm.c,RawData!K275,
IF(ISNUMBER(_xlpm.p),_xlpm.p,
IF(AND(ISNUMBER(_xlpm.r),ISNUMBER(_xlpm.c)),
_xlpm.r-_xlpm.c,
""
)
))</f>
        <v>20.95</v>
      </c>
    </row>
    <row r="276" spans="1:12" x14ac:dyDescent="0.35">
      <c r="A276" t="s">
        <v>313</v>
      </c>
      <c r="B276" s="7">
        <v>45910</v>
      </c>
      <c r="C276" t="str">
        <f>IF(RawData!C276="","Unknown",PROPER(TRIM(CLEAN(SUBSTITUTE(RawData!C276,CHAR(160)," ")))))</f>
        <v>West</v>
      </c>
      <c r="D276" t="str">
        <f>IF(RawData!D276="","Unknown",PROPER(TRIM(CLEAN(SUBSTITUTE(RawData!D276,CHAR(160)," ")))))</f>
        <v>Ahmedabad</v>
      </c>
      <c r="E276" t="str">
        <f>IF(RawData!E276="","Unknown",PROPER(TRIM(CLEAN(SUBSTITUTE(RawData!E276,CHAR(160)," ")))))</f>
        <v>Pen Set</v>
      </c>
      <c r="F276" t="str">
        <f>IF(RawData!F276="","Unknown",PROPER(TRIM(CLEAN(SUBSTITUTE(RawData!F276,CHAR(160)," ")))))</f>
        <v>Office Supplies</v>
      </c>
      <c r="G276">
        <f>_xlfn.LET(
_xlpm.q,RawData!G276,
_xlpm.u,RawData!H276,
_xlpm.d,RawData!I276,
_xlpm.r,RawData!J276,
IF(AND(ISNUMBER(_xlpm.q),_xlpm.q&gt;0),_xlpm.q,
   IF(AND(ISNUMBER(_xlpm.r),ISNUMBER(_xlpm.u),_xlpm.u&gt;0,ISNUMBER(_xlpm.d),_xlpm.d&gt;=0,_xlpm.d&lt;1),
      ROUND(_xlpm.r/(_xlpm.u*(1-_xlpm.d)),0),
      ""
   )
)
)</f>
        <v>10</v>
      </c>
      <c r="H276" s="4">
        <f>_xlfn.LET(
_xlpm.q,RawData!G276,
_xlpm.u,RawData!H276,
_xlpm.d,RawData!I276,
_xlpm.r,RawData!J276,
IF(AND(ISNUMBER(_xlpm.u),_xlpm.u&gt;0),_xlpm.u,
   IF(AND(ISNUMBER(_xlpm.q),_xlpm.q&gt;0,ISNUMBER(_xlpm.r),ISNUMBER(_xlpm.d),_xlpm.d&gt;=0,_xlpm.d&lt;1),
      _xlpm.r/(_xlpm.q*(1-_xlpm.d)),
      ""
   )
)
)</f>
        <v>12.07</v>
      </c>
      <c r="I276" s="5">
        <f>_xlfn.LET(
_xlpm.q,RawData!G276,
_xlpm.u,RawData!H276,
_xlpm.d,RawData!I276,
_xlpm.r,RawData!J276,
IF(AND(ISNUMBER(_xlpm.d),_xlpm.d&gt;=0,_xlpm.d&lt;1),_xlpm.d,
   IF(AND(ISNUMBER(_xlpm.q),_xlpm.q&gt;0,ISNUMBER(_xlpm.u),_xlpm.u&gt;0,ISNUMBER(_xlpm.r),_xlpm.r&gt;=0),
      1-(_xlpm.r/(_xlpm.q*_xlpm.u)),
      ""
   )
)
)</f>
        <v>0.1</v>
      </c>
      <c r="J276" s="4">
        <f>_xlfn.LET(
_xlpm.q,RawData!G276,
_xlpm.u,RawData!H276,
_xlpm.d,RawData!I276,
_xlpm.r,RawData!J276,
IF(AND(ISNUMBER(_xlpm.r),_xlpm.r&gt;=0),_xlpm.r,
   IF(AND(ISNUMBER(_xlpm.q),_xlpm.q&gt;0,ISNUMBER(_xlpm.u),_xlpm.u&gt;0,ISNUMBER(_xlpm.d),_xlpm.d&gt;=0,_xlpm.d&lt;1),
      _xlpm.q*_xlpm.u*(1-_xlpm.d),
      ""
   )
)
)</f>
        <v>108.63</v>
      </c>
      <c r="K276" s="4">
        <f>_xlfn.LET(
_xlpm.c,RawData!K276,
_xlpm.r,RawData!J276,
_xlpm.p,RawData!L276,
IF(AND(ISNUMBER(_xlpm.c),_xlpm.c&gt;=0),_xlpm.c,
   IF(AND(ISNUMBER(_xlpm.r),ISNUMBER(_xlpm.p)),
      _xlpm.r-_xlpm.p,
      ""
   )
)
)</f>
        <v>82.4</v>
      </c>
      <c r="L276" s="4">
        <f>_xlfn.LET(
_xlpm.p,RawData!L276,
_xlpm.r,RawData!J276,
_xlpm.c,RawData!K276,
IF(ISNUMBER(_xlpm.p),_xlpm.p,
IF(AND(ISNUMBER(_xlpm.r),ISNUMBER(_xlpm.c)),
_xlpm.r-_xlpm.c,
""
)
))</f>
        <v>26.23</v>
      </c>
    </row>
    <row r="277" spans="1:12" x14ac:dyDescent="0.35">
      <c r="A277" t="s">
        <v>314</v>
      </c>
      <c r="B277" s="7">
        <v>45947</v>
      </c>
      <c r="C277" t="str">
        <f>IF(RawData!C277="","Unknown",PROPER(TRIM(CLEAN(SUBSTITUTE(RawData!C277,CHAR(160)," ")))))</f>
        <v>East</v>
      </c>
      <c r="D277" t="str">
        <f>IF(RawData!D277="","Unknown",PROPER(TRIM(CLEAN(SUBSTITUTE(RawData!D277,CHAR(160)," ")))))</f>
        <v>Bhubaneswar</v>
      </c>
      <c r="E277" t="str">
        <f>IF(RawData!E277="","Unknown",PROPER(TRIM(CLEAN(SUBSTITUTE(RawData!E277,CHAR(160)," ")))))</f>
        <v>Backpack</v>
      </c>
      <c r="F277" t="str">
        <f>IF(RawData!F277="","Unknown",PROPER(TRIM(CLEAN(SUBSTITUTE(RawData!F277,CHAR(160)," ")))))</f>
        <v>Accessories</v>
      </c>
      <c r="G277">
        <f>_xlfn.LET(
_xlpm.q,RawData!G277,
_xlpm.u,RawData!H277,
_xlpm.d,RawData!I277,
_xlpm.r,RawData!J277,
IF(AND(ISNUMBER(_xlpm.q),_xlpm.q&gt;0),_xlpm.q,
   IF(AND(ISNUMBER(_xlpm.r),ISNUMBER(_xlpm.u),_xlpm.u&gt;0,ISNUMBER(_xlpm.d),_xlpm.d&gt;=0,_xlpm.d&lt;1),
      ROUND(_xlpm.r/(_xlpm.u*(1-_xlpm.d)),0),
      ""
   )
)
)</f>
        <v>6</v>
      </c>
      <c r="H277" s="4">
        <f>_xlfn.LET(
_xlpm.q,RawData!G277,
_xlpm.u,RawData!H277,
_xlpm.d,RawData!I277,
_xlpm.r,RawData!J277,
IF(AND(ISNUMBER(_xlpm.u),_xlpm.u&gt;0),_xlpm.u,
   IF(AND(ISNUMBER(_xlpm.q),_xlpm.q&gt;0,ISNUMBER(_xlpm.r),ISNUMBER(_xlpm.d),_xlpm.d&gt;=0,_xlpm.d&lt;1),
      _xlpm.r/(_xlpm.q*(1-_xlpm.d)),
      ""
   )
)
)</f>
        <v>45.27</v>
      </c>
      <c r="I277" s="5">
        <f>_xlfn.LET(
_xlpm.q,RawData!G277,
_xlpm.u,RawData!H277,
_xlpm.d,RawData!I277,
_xlpm.r,RawData!J277,
IF(AND(ISNUMBER(_xlpm.d),_xlpm.d&gt;=0,_xlpm.d&lt;1),_xlpm.d,
   IF(AND(ISNUMBER(_xlpm.q),_xlpm.q&gt;0,ISNUMBER(_xlpm.u),_xlpm.u&gt;0,ISNUMBER(_xlpm.r),_xlpm.r&gt;=0),
      1-(_xlpm.r/(_xlpm.q*_xlpm.u)),
      ""
   )
)
)</f>
        <v>0.02</v>
      </c>
      <c r="J277" s="4">
        <f>_xlfn.LET(
_xlpm.q,RawData!G277,
_xlpm.u,RawData!H277,
_xlpm.d,RawData!I277,
_xlpm.r,RawData!J277,
IF(AND(ISNUMBER(_xlpm.r),_xlpm.r&gt;=0),_xlpm.r,
   IF(AND(ISNUMBER(_xlpm.q),_xlpm.q&gt;0,ISNUMBER(_xlpm.u),_xlpm.u&gt;0,ISNUMBER(_xlpm.d),_xlpm.d&gt;=0,_xlpm.d&lt;1),
      _xlpm.q*_xlpm.u*(1-_xlpm.d),
      ""
   )
)
)</f>
        <v>266.19</v>
      </c>
      <c r="K277" s="4">
        <f>_xlfn.LET(
_xlpm.c,RawData!K277,
_xlpm.r,RawData!J277,
_xlpm.p,RawData!L277,
IF(AND(ISNUMBER(_xlpm.c),_xlpm.c&gt;=0),_xlpm.c,
   IF(AND(ISNUMBER(_xlpm.r),ISNUMBER(_xlpm.p)),
      _xlpm.r-_xlpm.p,
      ""
   )
)
)</f>
        <v>207.65</v>
      </c>
      <c r="L277" s="4">
        <f>_xlfn.LET(
_xlpm.p,RawData!L277,
_xlpm.r,RawData!J277,
_xlpm.c,RawData!K277,
IF(ISNUMBER(_xlpm.p),_xlpm.p,
IF(AND(ISNUMBER(_xlpm.r),ISNUMBER(_xlpm.c)),
_xlpm.r-_xlpm.c,
""
)
))</f>
        <v>58.54</v>
      </c>
    </row>
    <row r="278" spans="1:12" x14ac:dyDescent="0.35">
      <c r="A278" t="s">
        <v>315</v>
      </c>
      <c r="B278" s="7">
        <v>45692</v>
      </c>
      <c r="C278" t="str">
        <f>IF(RawData!C278="","Unknown",PROPER(TRIM(CLEAN(SUBSTITUTE(RawData!C278,CHAR(160)," ")))))</f>
        <v>West</v>
      </c>
      <c r="D278" t="str">
        <f>IF(RawData!D278="","Unknown",PROPER(TRIM(CLEAN(SUBSTITUTE(RawData!D278,CHAR(160)," ")))))</f>
        <v>Chennai</v>
      </c>
      <c r="E278" t="str">
        <f>IF(RawData!E278="","Unknown",PROPER(TRIM(CLEAN(SUBSTITUTE(RawData!E278,CHAR(160)," ")))))</f>
        <v>Printer</v>
      </c>
      <c r="F278" t="str">
        <f>IF(RawData!F278="","Unknown",PROPER(TRIM(CLEAN(SUBSTITUTE(RawData!F278,CHAR(160)," ")))))</f>
        <v>Office Supplies</v>
      </c>
      <c r="G278">
        <f>_xlfn.LET(
_xlpm.q,RawData!G278,
_xlpm.u,RawData!H278,
_xlpm.d,RawData!I278,
_xlpm.r,RawData!J278,
IF(AND(ISNUMBER(_xlpm.q),_xlpm.q&gt;0),_xlpm.q,
   IF(AND(ISNUMBER(_xlpm.r),ISNUMBER(_xlpm.u),_xlpm.u&gt;0,ISNUMBER(_xlpm.d),_xlpm.d&gt;=0,_xlpm.d&lt;1),
      ROUND(_xlpm.r/(_xlpm.u*(1-_xlpm.d)),0),
      ""
   )
)
)</f>
        <v>5</v>
      </c>
      <c r="H278" s="4">
        <f>_xlfn.LET(
_xlpm.q,RawData!G278,
_xlpm.u,RawData!H278,
_xlpm.d,RawData!I278,
_xlpm.r,RawData!J278,
IF(AND(ISNUMBER(_xlpm.u),_xlpm.u&gt;0),_xlpm.u,
   IF(AND(ISNUMBER(_xlpm.q),_xlpm.q&gt;0,ISNUMBER(_xlpm.r),ISNUMBER(_xlpm.d),_xlpm.d&gt;=0,_xlpm.d&lt;1),
      _xlpm.r/(_xlpm.q*(1-_xlpm.d)),
      ""
   )
)
)</f>
        <v>162.49</v>
      </c>
      <c r="I278" s="5">
        <f>_xlfn.LET(
_xlpm.q,RawData!G278,
_xlpm.u,RawData!H278,
_xlpm.d,RawData!I278,
_xlpm.r,RawData!J278,
IF(AND(ISNUMBER(_xlpm.d),_xlpm.d&gt;=0,_xlpm.d&lt;1),_xlpm.d,
   IF(AND(ISNUMBER(_xlpm.q),_xlpm.q&gt;0,ISNUMBER(_xlpm.u),_xlpm.u&gt;0,ISNUMBER(_xlpm.r),_xlpm.r&gt;=0),
      1-(_xlpm.r/(_xlpm.q*_xlpm.u)),
      ""
   )
)
)</f>
        <v>0.05</v>
      </c>
      <c r="J278" s="4">
        <f>_xlfn.LET(
_xlpm.q,RawData!G278,
_xlpm.u,RawData!H278,
_xlpm.d,RawData!I278,
_xlpm.r,RawData!J278,
IF(AND(ISNUMBER(_xlpm.r),_xlpm.r&gt;=0),_xlpm.r,
   IF(AND(ISNUMBER(_xlpm.q),_xlpm.q&gt;0,ISNUMBER(_xlpm.u),_xlpm.u&gt;0,ISNUMBER(_xlpm.d),_xlpm.d&gt;=0,_xlpm.d&lt;1),
      _xlpm.q*_xlpm.u*(1-_xlpm.d),
      ""
   )
)
)</f>
        <v>771.83</v>
      </c>
      <c r="K278" s="4">
        <f>_xlfn.LET(
_xlpm.c,RawData!K278,
_xlpm.r,RawData!J278,
_xlpm.p,RawData!L278,
IF(AND(ISNUMBER(_xlpm.c),_xlpm.c&gt;=0),_xlpm.c,
   IF(AND(ISNUMBER(_xlpm.r),ISNUMBER(_xlpm.p)),
      _xlpm.r-_xlpm.p,
      ""
   )
)
)</f>
        <v>541.4</v>
      </c>
      <c r="L278" s="4">
        <f>_xlfn.LET(
_xlpm.p,RawData!L278,
_xlpm.r,RawData!J278,
_xlpm.c,RawData!K278,
IF(ISNUMBER(_xlpm.p),_xlpm.p,
IF(AND(ISNUMBER(_xlpm.r),ISNUMBER(_xlpm.c)),
_xlpm.r-_xlpm.c,
""
)
))</f>
        <v>230.43</v>
      </c>
    </row>
    <row r="279" spans="1:12" x14ac:dyDescent="0.35">
      <c r="A279" t="s">
        <v>317</v>
      </c>
      <c r="B279" s="7">
        <v>45686</v>
      </c>
      <c r="C279" t="str">
        <f>IF(RawData!C279="","Unknown",PROPER(TRIM(CLEAN(SUBSTITUTE(RawData!C279,CHAR(160)," ")))))</f>
        <v>East</v>
      </c>
      <c r="D279" t="str">
        <f>IF(RawData!D279="","Unknown",PROPER(TRIM(CLEAN(SUBSTITUTE(RawData!D279,CHAR(160)," ")))))</f>
        <v>Bhubaneswar</v>
      </c>
      <c r="E279" t="str">
        <f>IF(RawData!E279="","Unknown",PROPER(TRIM(CLEAN(SUBSTITUTE(RawData!E279,CHAR(160)," ")))))</f>
        <v>Notebook</v>
      </c>
      <c r="F279" t="str">
        <f>IF(RawData!F279="","Unknown",PROPER(TRIM(CLEAN(SUBSTITUTE(RawData!F279,CHAR(160)," ")))))</f>
        <v>Office Supplies</v>
      </c>
      <c r="G279">
        <f>_xlfn.LET(
_xlpm.q,RawData!G279,
_xlpm.u,RawData!H279,
_xlpm.d,RawData!I279,
_xlpm.r,RawData!J279,
IF(AND(ISNUMBER(_xlpm.q),_xlpm.q&gt;0),_xlpm.q,
   IF(AND(ISNUMBER(_xlpm.r),ISNUMBER(_xlpm.u),_xlpm.u&gt;0,ISNUMBER(_xlpm.d),_xlpm.d&gt;=0,_xlpm.d&lt;1),
      ROUND(_xlpm.r/(_xlpm.u*(1-_xlpm.d)),0),
      ""
   )
)
)</f>
        <v>2</v>
      </c>
      <c r="H279" s="4">
        <f>_xlfn.LET(
_xlpm.q,RawData!G279,
_xlpm.u,RawData!H279,
_xlpm.d,RawData!I279,
_xlpm.r,RawData!J279,
IF(AND(ISNUMBER(_xlpm.u),_xlpm.u&gt;0),_xlpm.u,
   IF(AND(ISNUMBER(_xlpm.q),_xlpm.q&gt;0,ISNUMBER(_xlpm.r),ISNUMBER(_xlpm.d),_xlpm.d&gt;=0,_xlpm.d&lt;1),
      _xlpm.r/(_xlpm.q*(1-_xlpm.d)),
      ""
   )
)
)</f>
        <v>8.9</v>
      </c>
      <c r="I279" s="5">
        <f>_xlfn.LET(
_xlpm.q,RawData!G279,
_xlpm.u,RawData!H279,
_xlpm.d,RawData!I279,
_xlpm.r,RawData!J279,
IF(AND(ISNUMBER(_xlpm.d),_xlpm.d&gt;=0,_xlpm.d&lt;1),_xlpm.d,
   IF(AND(ISNUMBER(_xlpm.q),_xlpm.q&gt;0,ISNUMBER(_xlpm.u),_xlpm.u&gt;0,ISNUMBER(_xlpm.r),_xlpm.r&gt;=0),
      1-(_xlpm.r/(_xlpm.q*_xlpm.u)),
      ""
   )
)
)</f>
        <v>0.05</v>
      </c>
      <c r="J279" s="4">
        <f>_xlfn.LET(
_xlpm.q,RawData!G279,
_xlpm.u,RawData!H279,
_xlpm.d,RawData!I279,
_xlpm.r,RawData!J279,
IF(AND(ISNUMBER(_xlpm.r),_xlpm.r&gt;=0),_xlpm.r,
   IF(AND(ISNUMBER(_xlpm.q),_xlpm.q&gt;0,ISNUMBER(_xlpm.u),_xlpm.u&gt;0,ISNUMBER(_xlpm.d),_xlpm.d&gt;=0,_xlpm.d&lt;1),
      _xlpm.q*_xlpm.u*(1-_xlpm.d),
      ""
   )
)
)</f>
        <v>16.91</v>
      </c>
      <c r="K279" s="4">
        <f>_xlfn.LET(
_xlpm.c,RawData!K279,
_xlpm.r,RawData!J279,
_xlpm.p,RawData!L279,
IF(AND(ISNUMBER(_xlpm.c),_xlpm.c&gt;=0),_xlpm.c,
   IF(AND(ISNUMBER(_xlpm.r),ISNUMBER(_xlpm.p)),
      _xlpm.r-_xlpm.p,
      ""
   )
)
)</f>
        <v>11.14</v>
      </c>
      <c r="L279" s="4">
        <f>_xlfn.LET(
_xlpm.p,RawData!L279,
_xlpm.r,RawData!J279,
_xlpm.c,RawData!K279,
IF(ISNUMBER(_xlpm.p),_xlpm.p,
IF(AND(ISNUMBER(_xlpm.r),ISNUMBER(_xlpm.c)),
_xlpm.r-_xlpm.c,
""
)
))</f>
        <v>5.77</v>
      </c>
    </row>
    <row r="280" spans="1:12" x14ac:dyDescent="0.35">
      <c r="A280" t="s">
        <v>318</v>
      </c>
      <c r="B280" s="7">
        <v>45889</v>
      </c>
      <c r="C280" t="str">
        <f>IF(RawData!C280="","Unknown",PROPER(TRIM(CLEAN(SUBSTITUTE(RawData!C280,CHAR(160)," ")))))</f>
        <v>North</v>
      </c>
      <c r="D280" t="str">
        <f>IF(RawData!D280="","Unknown",PROPER(TRIM(CLEAN(SUBSTITUTE(RawData!D280,CHAR(160)," ")))))</f>
        <v>Delhi</v>
      </c>
      <c r="E280" t="str">
        <f>IF(RawData!E280="","Unknown",PROPER(TRIM(CLEAN(SUBSTITUTE(RawData!E280,CHAR(160)," ")))))</f>
        <v>Laptop</v>
      </c>
      <c r="F280" t="str">
        <f>IF(RawData!F280="","Unknown",PROPER(TRIM(CLEAN(SUBSTITUTE(RawData!F280,CHAR(160)," ")))))</f>
        <v>Electronics</v>
      </c>
      <c r="G280">
        <f>_xlfn.LET(
_xlpm.q,RawData!G280,
_xlpm.u,RawData!H280,
_xlpm.d,RawData!I280,
_xlpm.r,RawData!J280,
IF(AND(ISNUMBER(_xlpm.q),_xlpm.q&gt;0),_xlpm.q,
   IF(AND(ISNUMBER(_xlpm.r),ISNUMBER(_xlpm.u),_xlpm.u&gt;0,ISNUMBER(_xlpm.d),_xlpm.d&gt;=0,_xlpm.d&lt;1),
      ROUND(_xlpm.r/(_xlpm.u*(1-_xlpm.d)),0),
      ""
   )
)
)</f>
        <v>6</v>
      </c>
      <c r="H280" s="4">
        <f>_xlfn.LET(
_xlpm.q,RawData!G280,
_xlpm.u,RawData!H280,
_xlpm.d,RawData!I280,
_xlpm.r,RawData!J280,
IF(AND(ISNUMBER(_xlpm.u),_xlpm.u&gt;0),_xlpm.u,
   IF(AND(ISNUMBER(_xlpm.q),_xlpm.q&gt;0,ISNUMBER(_xlpm.r),ISNUMBER(_xlpm.d),_xlpm.d&gt;=0,_xlpm.d&lt;1),
      _xlpm.r/(_xlpm.q*(1-_xlpm.d)),
      ""
   )
)
)</f>
        <v>756.67</v>
      </c>
      <c r="I280" s="5">
        <f>_xlfn.LET(
_xlpm.q,RawData!G280,
_xlpm.u,RawData!H280,
_xlpm.d,RawData!I280,
_xlpm.r,RawData!J280,
IF(AND(ISNUMBER(_xlpm.d),_xlpm.d&gt;=0,_xlpm.d&lt;1),_xlpm.d,
   IF(AND(ISNUMBER(_xlpm.q),_xlpm.q&gt;0,ISNUMBER(_xlpm.u),_xlpm.u&gt;0,ISNUMBER(_xlpm.r),_xlpm.r&gt;=0),
      1-(_xlpm.r/(_xlpm.q*_xlpm.u)),
      ""
   )
)
)</f>
        <v>0.05</v>
      </c>
      <c r="J280" s="4">
        <f>_xlfn.LET(
_xlpm.q,RawData!G280,
_xlpm.u,RawData!H280,
_xlpm.d,RawData!I280,
_xlpm.r,RawData!J280,
IF(AND(ISNUMBER(_xlpm.r),_xlpm.r&gt;=0),_xlpm.r,
   IF(AND(ISNUMBER(_xlpm.q),_xlpm.q&gt;0,ISNUMBER(_xlpm.u),_xlpm.u&gt;0,ISNUMBER(_xlpm.d),_xlpm.d&gt;=0,_xlpm.d&lt;1),
      _xlpm.q*_xlpm.u*(1-_xlpm.d),
      ""
   )
)
)</f>
        <v>4313.0200000000004</v>
      </c>
      <c r="K280" s="4">
        <f>_xlfn.LET(
_xlpm.c,RawData!K280,
_xlpm.r,RawData!J280,
_xlpm.p,RawData!L280,
IF(AND(ISNUMBER(_xlpm.c),_xlpm.c&gt;=0),_xlpm.c,
   IF(AND(ISNUMBER(_xlpm.r),ISNUMBER(_xlpm.p)),
      _xlpm.r-_xlpm.p,
      ""
   )
)
)</f>
        <v>2405.6799999999998</v>
      </c>
      <c r="L280" s="4">
        <f>_xlfn.LET(
_xlpm.p,RawData!L280,
_xlpm.r,RawData!J280,
_xlpm.c,RawData!K280,
IF(ISNUMBER(_xlpm.p),_xlpm.p,
IF(AND(ISNUMBER(_xlpm.r),ISNUMBER(_xlpm.c)),
_xlpm.r-_xlpm.c,
""
)
))</f>
        <v>1907.34</v>
      </c>
    </row>
    <row r="281" spans="1:12" x14ac:dyDescent="0.35">
      <c r="A281" t="s">
        <v>319</v>
      </c>
      <c r="B281" s="7">
        <v>45988</v>
      </c>
      <c r="C281" t="str">
        <f>IF(RawData!C281="","Unknown",PROPER(TRIM(CLEAN(SUBSTITUTE(RawData!C281,CHAR(160)," ")))))</f>
        <v>North</v>
      </c>
      <c r="D281" t="str">
        <f>IF(RawData!D281="","Unknown",PROPER(TRIM(CLEAN(SUBSTITUTE(RawData!D281,CHAR(160)," ")))))</f>
        <v>Jaipur</v>
      </c>
      <c r="E281" t="str">
        <f>IF(RawData!E281="","Unknown",PROPER(TRIM(CLEAN(SUBSTITUTE(RawData!E281,CHAR(160)," ")))))</f>
        <v>Pen Set</v>
      </c>
      <c r="F281" t="str">
        <f>IF(RawData!F281="","Unknown",PROPER(TRIM(CLEAN(SUBSTITUTE(RawData!F281,CHAR(160)," ")))))</f>
        <v>Office Supplies</v>
      </c>
      <c r="G281">
        <f>_xlfn.LET(
_xlpm.q,RawData!G281,
_xlpm.u,RawData!H281,
_xlpm.d,RawData!I281,
_xlpm.r,RawData!J281,
IF(AND(ISNUMBER(_xlpm.q),_xlpm.q&gt;0),_xlpm.q,
   IF(AND(ISNUMBER(_xlpm.r),ISNUMBER(_xlpm.u),_xlpm.u&gt;0,ISNUMBER(_xlpm.d),_xlpm.d&gt;=0,_xlpm.d&lt;1),
      ROUND(_xlpm.r/(_xlpm.u*(1-_xlpm.d)),0),
      ""
   )
)
)</f>
        <v>10</v>
      </c>
      <c r="H281" s="4">
        <f>_xlfn.LET(
_xlpm.q,RawData!G281,
_xlpm.u,RawData!H281,
_xlpm.d,RawData!I281,
_xlpm.r,RawData!J281,
IF(AND(ISNUMBER(_xlpm.u),_xlpm.u&gt;0),_xlpm.u,
   IF(AND(ISNUMBER(_xlpm.q),_xlpm.q&gt;0,ISNUMBER(_xlpm.r),ISNUMBER(_xlpm.d),_xlpm.d&gt;=0,_xlpm.d&lt;1),
      _xlpm.r/(_xlpm.q*(1-_xlpm.d)),
      ""
   )
)
)</f>
        <v>12.92</v>
      </c>
      <c r="I281" s="5">
        <f>_xlfn.LET(
_xlpm.q,RawData!G281,
_xlpm.u,RawData!H281,
_xlpm.d,RawData!I281,
_xlpm.r,RawData!J281,
IF(AND(ISNUMBER(_xlpm.d),_xlpm.d&gt;=0,_xlpm.d&lt;1),_xlpm.d,
   IF(AND(ISNUMBER(_xlpm.q),_xlpm.q&gt;0,ISNUMBER(_xlpm.u),_xlpm.u&gt;0,ISNUMBER(_xlpm.r),_xlpm.r&gt;=0),
      1-(_xlpm.r/(_xlpm.q*_xlpm.u)),
      ""
   )
)
)</f>
        <v>0.15</v>
      </c>
      <c r="J281" s="4">
        <f>_xlfn.LET(
_xlpm.q,RawData!G281,
_xlpm.u,RawData!H281,
_xlpm.d,RawData!I281,
_xlpm.r,RawData!J281,
IF(AND(ISNUMBER(_xlpm.r),_xlpm.r&gt;=0),_xlpm.r,
   IF(AND(ISNUMBER(_xlpm.q),_xlpm.q&gt;0,ISNUMBER(_xlpm.u),_xlpm.u&gt;0,ISNUMBER(_xlpm.d),_xlpm.d&gt;=0,_xlpm.d&lt;1),
      _xlpm.q*_xlpm.u*(1-_xlpm.d),
      ""
   )
)
)</f>
        <v>109.82</v>
      </c>
      <c r="K281" s="4">
        <f>_xlfn.LET(
_xlpm.c,RawData!K281,
_xlpm.r,RawData!J281,
_xlpm.p,RawData!L281,
IF(AND(ISNUMBER(_xlpm.c),_xlpm.c&gt;=0),_xlpm.c,
   IF(AND(ISNUMBER(_xlpm.r),ISNUMBER(_xlpm.p)),
      _xlpm.r-_xlpm.p,
      ""
   )
)
)</f>
        <v>78.790000000000006</v>
      </c>
      <c r="L281" s="4">
        <f>_xlfn.LET(
_xlpm.p,RawData!L281,
_xlpm.r,RawData!J281,
_xlpm.c,RawData!K281,
IF(ISNUMBER(_xlpm.p),_xlpm.p,
IF(AND(ISNUMBER(_xlpm.r),ISNUMBER(_xlpm.c)),
_xlpm.r-_xlpm.c,
""
)
))</f>
        <v>31.03</v>
      </c>
    </row>
    <row r="282" spans="1:12" x14ac:dyDescent="0.35">
      <c r="A282" t="s">
        <v>320</v>
      </c>
      <c r="B282" s="7">
        <v>45894</v>
      </c>
      <c r="C282" t="str">
        <f>IF(RawData!C282="","Unknown",PROPER(TRIM(CLEAN(SUBSTITUTE(RawData!C282,CHAR(160)," ")))))</f>
        <v>North</v>
      </c>
      <c r="D282" t="str">
        <f>IF(RawData!D282="","Unknown",PROPER(TRIM(CLEAN(SUBSTITUTE(RawData!D282,CHAR(160)," ")))))</f>
        <v>Delhi</v>
      </c>
      <c r="E282" t="str">
        <f>IF(RawData!E282="","Unknown",PROPER(TRIM(CLEAN(SUBSTITUTE(RawData!E282,CHAR(160)," ")))))</f>
        <v>Printer</v>
      </c>
      <c r="F282" t="str">
        <f>IF(RawData!F282="","Unknown",PROPER(TRIM(CLEAN(SUBSTITUTE(RawData!F282,CHAR(160)," ")))))</f>
        <v>Office Supplies</v>
      </c>
      <c r="G282">
        <f>_xlfn.LET(
_xlpm.q,RawData!G282,
_xlpm.u,RawData!H282,
_xlpm.d,RawData!I282,
_xlpm.r,RawData!J282,
IF(AND(ISNUMBER(_xlpm.q),_xlpm.q&gt;0),_xlpm.q,
   IF(AND(ISNUMBER(_xlpm.r),ISNUMBER(_xlpm.u),_xlpm.u&gt;0,ISNUMBER(_xlpm.d),_xlpm.d&gt;=0,_xlpm.d&lt;1),
      ROUND(_xlpm.r/(_xlpm.u*(1-_xlpm.d)),0),
      ""
   )
)
)</f>
        <v>10</v>
      </c>
      <c r="H282" s="4">
        <f>_xlfn.LET(
_xlpm.q,RawData!G282,
_xlpm.u,RawData!H282,
_xlpm.d,RawData!I282,
_xlpm.r,RawData!J282,
IF(AND(ISNUMBER(_xlpm.u),_xlpm.u&gt;0),_xlpm.u,
   IF(AND(ISNUMBER(_xlpm.q),_xlpm.q&gt;0,ISNUMBER(_xlpm.r),ISNUMBER(_xlpm.d),_xlpm.d&gt;=0,_xlpm.d&lt;1),
      _xlpm.r/(_xlpm.q*(1-_xlpm.d)),
      ""
   )
)
)</f>
        <v>169.8</v>
      </c>
      <c r="I282" s="5">
        <f>_xlfn.LET(
_xlpm.q,RawData!G282,
_xlpm.u,RawData!H282,
_xlpm.d,RawData!I282,
_xlpm.r,RawData!J282,
IF(AND(ISNUMBER(_xlpm.d),_xlpm.d&gt;=0,_xlpm.d&lt;1),_xlpm.d,
   IF(AND(ISNUMBER(_xlpm.q),_xlpm.q&gt;0,ISNUMBER(_xlpm.u),_xlpm.u&gt;0,ISNUMBER(_xlpm.r),_xlpm.r&gt;=0),
      1-(_xlpm.r/(_xlpm.q*_xlpm.u)),
      ""
   )
)
)</f>
        <v>0.2</v>
      </c>
      <c r="J282" s="4">
        <f>_xlfn.LET(
_xlpm.q,RawData!G282,
_xlpm.u,RawData!H282,
_xlpm.d,RawData!I282,
_xlpm.r,RawData!J282,
IF(AND(ISNUMBER(_xlpm.r),_xlpm.r&gt;=0),_xlpm.r,
   IF(AND(ISNUMBER(_xlpm.q),_xlpm.q&gt;0,ISNUMBER(_xlpm.u),_xlpm.u&gt;0,ISNUMBER(_xlpm.d),_xlpm.d&gt;=0,_xlpm.d&lt;1),
      _xlpm.q*_xlpm.u*(1-_xlpm.d),
      ""
   )
)
)</f>
        <v>1358.4</v>
      </c>
      <c r="K282" s="4">
        <f>_xlfn.LET(
_xlpm.c,RawData!K282,
_xlpm.r,RawData!J282,
_xlpm.p,RawData!L282,
IF(AND(ISNUMBER(_xlpm.c),_xlpm.c&gt;=0),_xlpm.c,
   IF(AND(ISNUMBER(_xlpm.r),ISNUMBER(_xlpm.p)),
      _xlpm.r-_xlpm.p,
      ""
   )
)
)</f>
        <v>825.23</v>
      </c>
      <c r="L282" s="4">
        <f>_xlfn.LET(
_xlpm.p,RawData!L282,
_xlpm.r,RawData!J282,
_xlpm.c,RawData!K282,
IF(ISNUMBER(_xlpm.p),_xlpm.p,
IF(AND(ISNUMBER(_xlpm.r),ISNUMBER(_xlpm.c)),
_xlpm.r-_xlpm.c,
""
)
))</f>
        <v>533.16999999999996</v>
      </c>
    </row>
    <row r="283" spans="1:12" x14ac:dyDescent="0.35">
      <c r="A283" t="s">
        <v>321</v>
      </c>
      <c r="B283" s="7">
        <v>45822</v>
      </c>
      <c r="C283" t="str">
        <f>IF(RawData!C283="","Unknown",PROPER(TRIM(CLEAN(SUBSTITUTE(RawData!C283,CHAR(160)," ")))))</f>
        <v>West</v>
      </c>
      <c r="D283" t="str">
        <f>IF(RawData!D283="","Unknown",PROPER(TRIM(CLEAN(SUBSTITUTE(RawData!D283,CHAR(160)," ")))))</f>
        <v>Pune</v>
      </c>
      <c r="E283" t="str">
        <f>IF(RawData!E283="","Unknown",PROPER(TRIM(CLEAN(SUBSTITUTE(RawData!E283,CHAR(160)," ")))))</f>
        <v>Notebook</v>
      </c>
      <c r="F283" t="str">
        <f>IF(RawData!F283="","Unknown",PROPER(TRIM(CLEAN(SUBSTITUTE(RawData!F283,CHAR(160)," ")))))</f>
        <v>Office Supplies</v>
      </c>
      <c r="G283">
        <f>_xlfn.LET(
_xlpm.q,RawData!G283,
_xlpm.u,RawData!H283,
_xlpm.d,RawData!I283,
_xlpm.r,RawData!J283,
IF(AND(ISNUMBER(_xlpm.q),_xlpm.q&gt;0),_xlpm.q,
   IF(AND(ISNUMBER(_xlpm.r),ISNUMBER(_xlpm.u),_xlpm.u&gt;0,ISNUMBER(_xlpm.d),_xlpm.d&gt;=0,_xlpm.d&lt;1),
      ROUND(_xlpm.r/(_xlpm.u*(1-_xlpm.d)),0),
      ""
   )
)
)</f>
        <v>3</v>
      </c>
      <c r="H283" s="4">
        <f>_xlfn.LET(
_xlpm.q,RawData!G283,
_xlpm.u,RawData!H283,
_xlpm.d,RawData!I283,
_xlpm.r,RawData!J283,
IF(AND(ISNUMBER(_xlpm.u),_xlpm.u&gt;0),_xlpm.u,
   IF(AND(ISNUMBER(_xlpm.q),_xlpm.q&gt;0,ISNUMBER(_xlpm.r),ISNUMBER(_xlpm.d),_xlpm.d&gt;=0,_xlpm.d&lt;1),
      _xlpm.r/(_xlpm.q*(1-_xlpm.d)),
      ""
   )
)
)</f>
        <v>7.13</v>
      </c>
      <c r="I283" s="5">
        <f>_xlfn.LET(
_xlpm.q,RawData!G283,
_xlpm.u,RawData!H283,
_xlpm.d,RawData!I283,
_xlpm.r,RawData!J283,
IF(AND(ISNUMBER(_xlpm.d),_xlpm.d&gt;=0,_xlpm.d&lt;1),_xlpm.d,
   IF(AND(ISNUMBER(_xlpm.q),_xlpm.q&gt;0,ISNUMBER(_xlpm.u),_xlpm.u&gt;0,ISNUMBER(_xlpm.r),_xlpm.r&gt;=0),
      1-(_xlpm.r/(_xlpm.q*_xlpm.u)),
      ""
   )
)
)</f>
        <v>0</v>
      </c>
      <c r="J283" s="4">
        <f>_xlfn.LET(
_xlpm.q,RawData!G283,
_xlpm.u,RawData!H283,
_xlpm.d,RawData!I283,
_xlpm.r,RawData!J283,
IF(AND(ISNUMBER(_xlpm.r),_xlpm.r&gt;=0),_xlpm.r,
   IF(AND(ISNUMBER(_xlpm.q),_xlpm.q&gt;0,ISNUMBER(_xlpm.u),_xlpm.u&gt;0,ISNUMBER(_xlpm.d),_xlpm.d&gt;=0,_xlpm.d&lt;1),
      _xlpm.q*_xlpm.u*(1-_xlpm.d),
      ""
   )
)
)</f>
        <v>21.39</v>
      </c>
      <c r="K283" s="4">
        <f>_xlfn.LET(
_xlpm.c,RawData!K283,
_xlpm.r,RawData!J283,
_xlpm.p,RawData!L283,
IF(AND(ISNUMBER(_xlpm.c),_xlpm.c&gt;=0),_xlpm.c,
   IF(AND(ISNUMBER(_xlpm.r),ISNUMBER(_xlpm.p)),
      _xlpm.r-_xlpm.p,
      ""
   )
)
)</f>
        <v>11.85</v>
      </c>
      <c r="L283" s="4">
        <f>_xlfn.LET(
_xlpm.p,RawData!L283,
_xlpm.r,RawData!J283,
_xlpm.c,RawData!K283,
IF(ISNUMBER(_xlpm.p),_xlpm.p,
IF(AND(ISNUMBER(_xlpm.r),ISNUMBER(_xlpm.c)),
_xlpm.r-_xlpm.c,
""
)
))</f>
        <v>9.5399999999999991</v>
      </c>
    </row>
    <row r="284" spans="1:12" x14ac:dyDescent="0.35">
      <c r="A284" t="s">
        <v>322</v>
      </c>
      <c r="B284" s="7">
        <v>45710</v>
      </c>
      <c r="C284" t="str">
        <f>IF(RawData!C284="","Unknown",PROPER(TRIM(CLEAN(SUBSTITUTE(RawData!C284,CHAR(160)," ")))))</f>
        <v>East</v>
      </c>
      <c r="D284" t="str">
        <f>IF(RawData!D284="","Unknown",PROPER(TRIM(CLEAN(SUBSTITUTE(RawData!D284,CHAR(160)," ")))))</f>
        <v>Patna</v>
      </c>
      <c r="E284" t="str">
        <f>IF(RawData!E284="","Unknown",PROPER(TRIM(CLEAN(SUBSTITUTE(RawData!E284,CHAR(160)," ")))))</f>
        <v>Keyboard</v>
      </c>
      <c r="F284" t="str">
        <f>IF(RawData!F284="","Unknown",PROPER(TRIM(CLEAN(SUBSTITUTE(RawData!F284,CHAR(160)," ")))))</f>
        <v>Accessories</v>
      </c>
      <c r="G284">
        <f>_xlfn.LET(
_xlpm.q,RawData!G284,
_xlpm.u,RawData!H284,
_xlpm.d,RawData!I284,
_xlpm.r,RawData!J284,
IF(AND(ISNUMBER(_xlpm.q),_xlpm.q&gt;0),_xlpm.q,
   IF(AND(ISNUMBER(_xlpm.r),ISNUMBER(_xlpm.u),_xlpm.u&gt;0,ISNUMBER(_xlpm.d),_xlpm.d&gt;=0,_xlpm.d&lt;1),
      ROUND(_xlpm.r/(_xlpm.u*(1-_xlpm.d)),0),
      ""
   )
)
)</f>
        <v>2</v>
      </c>
      <c r="H284" s="4">
        <f>_xlfn.LET(
_xlpm.q,RawData!G284,
_xlpm.u,RawData!H284,
_xlpm.d,RawData!I284,
_xlpm.r,RawData!J284,
IF(AND(ISNUMBER(_xlpm.u),_xlpm.u&gt;0),_xlpm.u,
   IF(AND(ISNUMBER(_xlpm.q),_xlpm.q&gt;0,ISNUMBER(_xlpm.r),ISNUMBER(_xlpm.d),_xlpm.d&gt;=0,_xlpm.d&lt;1),
      _xlpm.r/(_xlpm.q*(1-_xlpm.d)),
      ""
   )
)
)</f>
        <v>33.43</v>
      </c>
      <c r="I284" s="5">
        <f>_xlfn.LET(
_xlpm.q,RawData!G284,
_xlpm.u,RawData!H284,
_xlpm.d,RawData!I284,
_xlpm.r,RawData!J284,
IF(AND(ISNUMBER(_xlpm.d),_xlpm.d&gt;=0,_xlpm.d&lt;1),_xlpm.d,
   IF(AND(ISNUMBER(_xlpm.q),_xlpm.q&gt;0,ISNUMBER(_xlpm.u),_xlpm.u&gt;0,ISNUMBER(_xlpm.r),_xlpm.r&gt;=0),
      1-(_xlpm.r/(_xlpm.q*_xlpm.u)),
      ""
   )
)
)</f>
        <v>0.15</v>
      </c>
      <c r="J284" s="4">
        <f>_xlfn.LET(
_xlpm.q,RawData!G284,
_xlpm.u,RawData!H284,
_xlpm.d,RawData!I284,
_xlpm.r,RawData!J284,
IF(AND(ISNUMBER(_xlpm.r),_xlpm.r&gt;=0),_xlpm.r,
   IF(AND(ISNUMBER(_xlpm.q),_xlpm.q&gt;0,ISNUMBER(_xlpm.u),_xlpm.u&gt;0,ISNUMBER(_xlpm.d),_xlpm.d&gt;=0,_xlpm.d&lt;1),
      _xlpm.q*_xlpm.u*(1-_xlpm.d),
      ""
   )
)
)</f>
        <v>56.83</v>
      </c>
      <c r="K284" s="4">
        <f>_xlfn.LET(
_xlpm.c,RawData!K284,
_xlpm.r,RawData!J284,
_xlpm.p,RawData!L284,
IF(AND(ISNUMBER(_xlpm.c),_xlpm.c&gt;=0),_xlpm.c,
   IF(AND(ISNUMBER(_xlpm.r),ISNUMBER(_xlpm.p)),
      _xlpm.r-_xlpm.p,
      ""
   )
)
)</f>
        <v>40.31</v>
      </c>
      <c r="L284" s="4">
        <f>_xlfn.LET(
_xlpm.p,RawData!L284,
_xlpm.r,RawData!J284,
_xlpm.c,RawData!K284,
IF(ISNUMBER(_xlpm.p),_xlpm.p,
IF(AND(ISNUMBER(_xlpm.r),ISNUMBER(_xlpm.c)),
_xlpm.r-_xlpm.c,
""
)
))</f>
        <v>16.52</v>
      </c>
    </row>
    <row r="285" spans="1:12" x14ac:dyDescent="0.35">
      <c r="A285" t="s">
        <v>323</v>
      </c>
      <c r="B285" s="7">
        <v>45746</v>
      </c>
      <c r="C285" t="str">
        <f>IF(RawData!C285="","Unknown",PROPER(TRIM(CLEAN(SUBSTITUTE(RawData!C285,CHAR(160)," ")))))</f>
        <v>North</v>
      </c>
      <c r="D285" t="str">
        <f>IF(RawData!D285="","Unknown",PROPER(TRIM(CLEAN(SUBSTITUTE(RawData!D285,CHAR(160)," ")))))</f>
        <v>Lucknow</v>
      </c>
      <c r="E285" t="str">
        <f>IF(RawData!E285="","Unknown",PROPER(TRIM(CLEAN(SUBSTITUTE(RawData!E285,CHAR(160)," ")))))</f>
        <v>Monitor</v>
      </c>
      <c r="F285" t="str">
        <f>IF(RawData!F285="","Unknown",PROPER(TRIM(CLEAN(SUBSTITUTE(RawData!F285,CHAR(160)," ")))))</f>
        <v>Electronics</v>
      </c>
      <c r="G285">
        <f>_xlfn.LET(
_xlpm.q,RawData!G285,
_xlpm.u,RawData!H285,
_xlpm.d,RawData!I285,
_xlpm.r,RawData!J285,
IF(AND(ISNUMBER(_xlpm.q),_xlpm.q&gt;0),_xlpm.q,
   IF(AND(ISNUMBER(_xlpm.r),ISNUMBER(_xlpm.u),_xlpm.u&gt;0,ISNUMBER(_xlpm.d),_xlpm.d&gt;=0,_xlpm.d&lt;1),
      ROUND(_xlpm.r/(_xlpm.u*(1-_xlpm.d)),0),
      ""
   )
)
)</f>
        <v>8</v>
      </c>
      <c r="H285" s="4">
        <f>_xlfn.LET(
_xlpm.q,RawData!G285,
_xlpm.u,RawData!H285,
_xlpm.d,RawData!I285,
_xlpm.r,RawData!J285,
IF(AND(ISNUMBER(_xlpm.u),_xlpm.u&gt;0),_xlpm.u,
   IF(AND(ISNUMBER(_xlpm.q),_xlpm.q&gt;0,ISNUMBER(_xlpm.r),ISNUMBER(_xlpm.d),_xlpm.d&gt;=0,_xlpm.d&lt;1),
      _xlpm.r/(_xlpm.q*(1-_xlpm.d)),
      ""
   )
)
)</f>
        <v>212.89</v>
      </c>
      <c r="I285" s="5">
        <f>_xlfn.LET(
_xlpm.q,RawData!G285,
_xlpm.u,RawData!H285,
_xlpm.d,RawData!I285,
_xlpm.r,RawData!J285,
IF(AND(ISNUMBER(_xlpm.d),_xlpm.d&gt;=0,_xlpm.d&lt;1),_xlpm.d,
   IF(AND(ISNUMBER(_xlpm.q),_xlpm.q&gt;0,ISNUMBER(_xlpm.u),_xlpm.u&gt;0,ISNUMBER(_xlpm.r),_xlpm.r&gt;=0),
      1-(_xlpm.r/(_xlpm.q*_xlpm.u)),
      ""
   )
)
)</f>
        <v>0.1</v>
      </c>
      <c r="J285" s="4">
        <f>_xlfn.LET(
_xlpm.q,RawData!G285,
_xlpm.u,RawData!H285,
_xlpm.d,RawData!I285,
_xlpm.r,RawData!J285,
IF(AND(ISNUMBER(_xlpm.r),_xlpm.r&gt;=0),_xlpm.r,
   IF(AND(ISNUMBER(_xlpm.q),_xlpm.q&gt;0,ISNUMBER(_xlpm.u),_xlpm.u&gt;0,ISNUMBER(_xlpm.d),_xlpm.d&gt;=0,_xlpm.d&lt;1),
      _xlpm.q*_xlpm.u*(1-_xlpm.d),
      ""
   )
)
)</f>
        <v>1532.81</v>
      </c>
      <c r="K285" s="4">
        <f>_xlfn.LET(
_xlpm.c,RawData!K285,
_xlpm.r,RawData!J285,
_xlpm.p,RawData!L285,
IF(AND(ISNUMBER(_xlpm.c),_xlpm.c&gt;=0),_xlpm.c,
   IF(AND(ISNUMBER(_xlpm.r),ISNUMBER(_xlpm.p)),
      _xlpm.r-_xlpm.p,
      ""
   )
)
)</f>
        <v>1024.0999999999999</v>
      </c>
      <c r="L285" s="4">
        <f>_xlfn.LET(
_xlpm.p,RawData!L285,
_xlpm.r,RawData!J285,
_xlpm.c,RawData!K285,
IF(ISNUMBER(_xlpm.p),_xlpm.p,
IF(AND(ISNUMBER(_xlpm.r),ISNUMBER(_xlpm.c)),
_xlpm.r-_xlpm.c,
""
)
))</f>
        <v>508.71</v>
      </c>
    </row>
    <row r="286" spans="1:12" x14ac:dyDescent="0.35">
      <c r="A286" t="s">
        <v>324</v>
      </c>
      <c r="B286" s="7">
        <v>45925</v>
      </c>
      <c r="C286" t="str">
        <f>IF(RawData!C286="","Unknown",PROPER(TRIM(CLEAN(SUBSTITUTE(RawData!C286,CHAR(160)," ")))))</f>
        <v>South</v>
      </c>
      <c r="D286" t="str">
        <f>IF(RawData!D286="","Unknown",PROPER(TRIM(CLEAN(SUBSTITUTE(RawData!D286,CHAR(160)," ")))))</f>
        <v>Chennai</v>
      </c>
      <c r="E286" t="str">
        <f>IF(RawData!E286="","Unknown",PROPER(TRIM(CLEAN(SUBSTITUTE(RawData!E286,CHAR(160)," ")))))</f>
        <v>Desk</v>
      </c>
      <c r="F286" t="str">
        <f>IF(RawData!F286="","Unknown",PROPER(TRIM(CLEAN(SUBSTITUTE(RawData!F286,CHAR(160)," ")))))</f>
        <v>Furniture</v>
      </c>
      <c r="G286">
        <f>_xlfn.LET(
_xlpm.q,RawData!G286,
_xlpm.u,RawData!H286,
_xlpm.d,RawData!I286,
_xlpm.r,RawData!J286,
IF(AND(ISNUMBER(_xlpm.q),_xlpm.q&gt;0),_xlpm.q,
   IF(AND(ISNUMBER(_xlpm.r),ISNUMBER(_xlpm.u),_xlpm.u&gt;0,ISNUMBER(_xlpm.d),_xlpm.d&gt;=0,_xlpm.d&lt;1),
      ROUND(_xlpm.r/(_xlpm.u*(1-_xlpm.d)),0),
      ""
   )
)
)</f>
        <v>6</v>
      </c>
      <c r="H286" s="4">
        <f>_xlfn.LET(
_xlpm.q,RawData!G286,
_xlpm.u,RawData!H286,
_xlpm.d,RawData!I286,
_xlpm.r,RawData!J286,
IF(AND(ISNUMBER(_xlpm.u),_xlpm.u&gt;0),_xlpm.u,
   IF(AND(ISNUMBER(_xlpm.q),_xlpm.q&gt;0,ISNUMBER(_xlpm.r),ISNUMBER(_xlpm.d),_xlpm.d&gt;=0,_xlpm.d&lt;1),
      _xlpm.r/(_xlpm.q*(1-_xlpm.d)),
      ""
   )
)
)</f>
        <v>280.31</v>
      </c>
      <c r="I286" s="5">
        <f>_xlfn.LET(
_xlpm.q,RawData!G286,
_xlpm.u,RawData!H286,
_xlpm.d,RawData!I286,
_xlpm.r,RawData!J286,
IF(AND(ISNUMBER(_xlpm.d),_xlpm.d&gt;=0,_xlpm.d&lt;1),_xlpm.d,
   IF(AND(ISNUMBER(_xlpm.q),_xlpm.q&gt;0,ISNUMBER(_xlpm.u),_xlpm.u&gt;0,ISNUMBER(_xlpm.r),_xlpm.r&gt;=0),
      1-(_xlpm.r/(_xlpm.q*_xlpm.u)),
      ""
   )
)
)</f>
        <v>0.05</v>
      </c>
      <c r="J286" s="4">
        <f>_xlfn.LET(
_xlpm.q,RawData!G286,
_xlpm.u,RawData!H286,
_xlpm.d,RawData!I286,
_xlpm.r,RawData!J286,
IF(AND(ISNUMBER(_xlpm.r),_xlpm.r&gt;=0),_xlpm.r,
   IF(AND(ISNUMBER(_xlpm.q),_xlpm.q&gt;0,ISNUMBER(_xlpm.u),_xlpm.u&gt;0,ISNUMBER(_xlpm.d),_xlpm.d&gt;=0,_xlpm.d&lt;1),
      _xlpm.q*_xlpm.u*(1-_xlpm.d),
      ""
   )
)
)</f>
        <v>1597.77</v>
      </c>
      <c r="K286" s="4">
        <f>_xlfn.LET(
_xlpm.c,RawData!K286,
_xlpm.r,RawData!J286,
_xlpm.p,RawData!L286,
IF(AND(ISNUMBER(_xlpm.c),_xlpm.c&gt;=0),_xlpm.c,
   IF(AND(ISNUMBER(_xlpm.r),ISNUMBER(_xlpm.p)),
      _xlpm.r-_xlpm.p,
      ""
   )
)
)</f>
        <v>1029.01</v>
      </c>
      <c r="L286" s="4">
        <f>_xlfn.LET(
_xlpm.p,RawData!L286,
_xlpm.r,RawData!J286,
_xlpm.c,RawData!K286,
IF(ISNUMBER(_xlpm.p),_xlpm.p,
IF(AND(ISNUMBER(_xlpm.r),ISNUMBER(_xlpm.c)),
_xlpm.r-_xlpm.c,
""
)
))</f>
        <v>568.76</v>
      </c>
    </row>
    <row r="287" spans="1:12" x14ac:dyDescent="0.35">
      <c r="A287" t="s">
        <v>325</v>
      </c>
      <c r="B287" s="7">
        <v>45867</v>
      </c>
      <c r="C287" t="str">
        <f>IF(RawData!C287="","Unknown",PROPER(TRIM(CLEAN(SUBSTITUTE(RawData!C287,CHAR(160)," ")))))</f>
        <v>East</v>
      </c>
      <c r="D287" t="str">
        <f>IF(RawData!D287="","Unknown",PROPER(TRIM(CLEAN(SUBSTITUTE(RawData!D287,CHAR(160)," ")))))</f>
        <v>Patna</v>
      </c>
      <c r="E287" t="str">
        <f>IF(RawData!E287="","Unknown",PROPER(TRIM(CLEAN(SUBSTITUTE(RawData!E287,CHAR(160)," ")))))</f>
        <v>Backpack</v>
      </c>
      <c r="F287" t="str">
        <f>IF(RawData!F287="","Unknown",PROPER(TRIM(CLEAN(SUBSTITUTE(RawData!F287,CHAR(160)," ")))))</f>
        <v>Accessories</v>
      </c>
      <c r="G287">
        <f>_xlfn.LET(
_xlpm.q,RawData!G287,
_xlpm.u,RawData!H287,
_xlpm.d,RawData!I287,
_xlpm.r,RawData!J287,
IF(AND(ISNUMBER(_xlpm.q),_xlpm.q&gt;0),_xlpm.q,
   IF(AND(ISNUMBER(_xlpm.r),ISNUMBER(_xlpm.u),_xlpm.u&gt;0,ISNUMBER(_xlpm.d),_xlpm.d&gt;=0,_xlpm.d&lt;1),
      ROUND(_xlpm.r/(_xlpm.u*(1-_xlpm.d)),0),
      ""
   )
)
)</f>
        <v>10</v>
      </c>
      <c r="H287" s="4">
        <f>_xlfn.LET(
_xlpm.q,RawData!G287,
_xlpm.u,RawData!H287,
_xlpm.d,RawData!I287,
_xlpm.r,RawData!J287,
IF(AND(ISNUMBER(_xlpm.u),_xlpm.u&gt;0),_xlpm.u,
   IF(AND(ISNUMBER(_xlpm.q),_xlpm.q&gt;0,ISNUMBER(_xlpm.r),ISNUMBER(_xlpm.d),_xlpm.d&gt;=0,_xlpm.d&lt;1),
      _xlpm.r/(_xlpm.q*(1-_xlpm.d)),
      ""
   )
)
)</f>
        <v>45.19</v>
      </c>
      <c r="I287" s="5">
        <f>_xlfn.LET(
_xlpm.q,RawData!G287,
_xlpm.u,RawData!H287,
_xlpm.d,RawData!I287,
_xlpm.r,RawData!J287,
IF(AND(ISNUMBER(_xlpm.d),_xlpm.d&gt;=0,_xlpm.d&lt;1),_xlpm.d,
   IF(AND(ISNUMBER(_xlpm.q),_xlpm.q&gt;0,ISNUMBER(_xlpm.u),_xlpm.u&gt;0,ISNUMBER(_xlpm.r),_xlpm.r&gt;=0),
      1-(_xlpm.r/(_xlpm.q*_xlpm.u)),
      ""
   )
)
)</f>
        <v>0</v>
      </c>
      <c r="J287" s="4">
        <f>_xlfn.LET(
_xlpm.q,RawData!G287,
_xlpm.u,RawData!H287,
_xlpm.d,RawData!I287,
_xlpm.r,RawData!J287,
IF(AND(ISNUMBER(_xlpm.r),_xlpm.r&gt;=0),_xlpm.r,
   IF(AND(ISNUMBER(_xlpm.q),_xlpm.q&gt;0,ISNUMBER(_xlpm.u),_xlpm.u&gt;0,ISNUMBER(_xlpm.d),_xlpm.d&gt;=0,_xlpm.d&lt;1),
      _xlpm.q*_xlpm.u*(1-_xlpm.d),
      ""
   )
)
)</f>
        <v>451.9</v>
      </c>
      <c r="K287" s="4">
        <f>_xlfn.LET(
_xlpm.c,RawData!K287,
_xlpm.r,RawData!J287,
_xlpm.p,RawData!L287,
IF(AND(ISNUMBER(_xlpm.c),_xlpm.c&gt;=0),_xlpm.c,
   IF(AND(ISNUMBER(_xlpm.r),ISNUMBER(_xlpm.p)),
      _xlpm.r-_xlpm.p,
      ""
   )
)
)</f>
        <v>344.16</v>
      </c>
      <c r="L287" s="4">
        <f>_xlfn.LET(
_xlpm.p,RawData!L287,
_xlpm.r,RawData!J287,
_xlpm.c,RawData!K287,
IF(ISNUMBER(_xlpm.p),_xlpm.p,
IF(AND(ISNUMBER(_xlpm.r),ISNUMBER(_xlpm.c)),
_xlpm.r-_xlpm.c,
""
)
))</f>
        <v>107.74</v>
      </c>
    </row>
    <row r="288" spans="1:12" x14ac:dyDescent="0.35">
      <c r="A288" t="s">
        <v>326</v>
      </c>
      <c r="B288" s="7">
        <v>45989</v>
      </c>
      <c r="C288" t="str">
        <f>IF(RawData!C288="","Unknown",PROPER(TRIM(CLEAN(SUBSTITUTE(RawData!C288,CHAR(160)," ")))))</f>
        <v>East</v>
      </c>
      <c r="D288" t="str">
        <f>IF(RawData!D288="","Unknown",PROPER(TRIM(CLEAN(SUBSTITUTE(RawData!D288,CHAR(160)," ")))))</f>
        <v>Patna</v>
      </c>
      <c r="E288" t="str">
        <f>IF(RawData!E288="","Unknown",PROPER(TRIM(CLEAN(SUBSTITUTE(RawData!E288,CHAR(160)," ")))))</f>
        <v>Smartphone</v>
      </c>
      <c r="F288" t="str">
        <f>IF(RawData!F288="","Unknown",PROPER(TRIM(CLEAN(SUBSTITUTE(RawData!F288,CHAR(160)," ")))))</f>
        <v>Electronics</v>
      </c>
      <c r="G288">
        <f>_xlfn.LET(
_xlpm.q,RawData!G288,
_xlpm.u,RawData!H288,
_xlpm.d,RawData!I288,
_xlpm.r,RawData!J288,
IF(AND(ISNUMBER(_xlpm.q),_xlpm.q&gt;0),_xlpm.q,
   IF(AND(ISNUMBER(_xlpm.r),ISNUMBER(_xlpm.u),_xlpm.u&gt;0,ISNUMBER(_xlpm.d),_xlpm.d&gt;=0,_xlpm.d&lt;1),
      ROUND(_xlpm.r/(_xlpm.u*(1-_xlpm.d)),0),
      ""
   )
)
)</f>
        <v>6</v>
      </c>
      <c r="H288" s="4">
        <f>_xlfn.LET(
_xlpm.q,RawData!G288,
_xlpm.u,RawData!H288,
_xlpm.d,RawData!I288,
_xlpm.r,RawData!J288,
IF(AND(ISNUMBER(_xlpm.u),_xlpm.u&gt;0),_xlpm.u,
   IF(AND(ISNUMBER(_xlpm.q),_xlpm.q&gt;0,ISNUMBER(_xlpm.r),ISNUMBER(_xlpm.d),_xlpm.d&gt;=0,_xlpm.d&lt;1),
      _xlpm.r/(_xlpm.q*(1-_xlpm.d)),
      ""
   )
)
)</f>
        <v>532.92999999999995</v>
      </c>
      <c r="I288" s="5">
        <f>_xlfn.LET(
_xlpm.q,RawData!G288,
_xlpm.u,RawData!H288,
_xlpm.d,RawData!I288,
_xlpm.r,RawData!J288,
IF(AND(ISNUMBER(_xlpm.d),_xlpm.d&gt;=0,_xlpm.d&lt;1),_xlpm.d,
   IF(AND(ISNUMBER(_xlpm.q),_xlpm.q&gt;0,ISNUMBER(_xlpm.u),_xlpm.u&gt;0,ISNUMBER(_xlpm.r),_xlpm.r&gt;=0),
      1-(_xlpm.r/(_xlpm.q*_xlpm.u)),
      ""
   )
)
)</f>
        <v>0</v>
      </c>
      <c r="J288" s="4">
        <f>_xlfn.LET(
_xlpm.q,RawData!G288,
_xlpm.u,RawData!H288,
_xlpm.d,RawData!I288,
_xlpm.r,RawData!J288,
IF(AND(ISNUMBER(_xlpm.r),_xlpm.r&gt;=0),_xlpm.r,
   IF(AND(ISNUMBER(_xlpm.q),_xlpm.q&gt;0,ISNUMBER(_xlpm.u),_xlpm.u&gt;0,ISNUMBER(_xlpm.d),_xlpm.d&gt;=0,_xlpm.d&lt;1),
      _xlpm.q*_xlpm.u*(1-_xlpm.d),
      ""
   )
)
)</f>
        <v>3197.58</v>
      </c>
      <c r="K288" s="4">
        <f>_xlfn.LET(
_xlpm.c,RawData!K288,
_xlpm.r,RawData!J288,
_xlpm.p,RawData!L288,
IF(AND(ISNUMBER(_xlpm.c),_xlpm.c&gt;=0),_xlpm.c,
   IF(AND(ISNUMBER(_xlpm.r),ISNUMBER(_xlpm.p)),
      _xlpm.r-_xlpm.p,
      ""
   )
)
)</f>
        <v>2295.75</v>
      </c>
      <c r="L288" s="4">
        <f>_xlfn.LET(
_xlpm.p,RawData!L288,
_xlpm.r,RawData!J288,
_xlpm.c,RawData!K288,
IF(ISNUMBER(_xlpm.p),_xlpm.p,
IF(AND(ISNUMBER(_xlpm.r),ISNUMBER(_xlpm.c)),
_xlpm.r-_xlpm.c,
""
)
))</f>
        <v>901.83</v>
      </c>
    </row>
    <row r="289" spans="1:12" x14ac:dyDescent="0.35">
      <c r="A289" t="s">
        <v>327</v>
      </c>
      <c r="B289" s="7">
        <v>46005</v>
      </c>
      <c r="C289" t="str">
        <f>IF(RawData!C289="","Unknown",PROPER(TRIM(CLEAN(SUBSTITUTE(RawData!C289,CHAR(160)," ")))))</f>
        <v>West</v>
      </c>
      <c r="D289" t="str">
        <f>IF(RawData!D289="","Unknown",PROPER(TRIM(CLEAN(SUBSTITUTE(RawData!D289,CHAR(160)," ")))))</f>
        <v>Ahmedabad</v>
      </c>
      <c r="E289" t="str">
        <f>IF(RawData!E289="","Unknown",PROPER(TRIM(CLEAN(SUBSTITUTE(RawData!E289,CHAR(160)," ")))))</f>
        <v>Office Chair</v>
      </c>
      <c r="F289" t="str">
        <f>IF(RawData!F289="","Unknown",PROPER(TRIM(CLEAN(SUBSTITUTE(RawData!F289,CHAR(160)," ")))))</f>
        <v>Furniture</v>
      </c>
      <c r="G289">
        <f>_xlfn.LET(
_xlpm.q,RawData!G289,
_xlpm.u,RawData!H289,
_xlpm.d,RawData!I289,
_xlpm.r,RawData!J289,
IF(AND(ISNUMBER(_xlpm.q),_xlpm.q&gt;0),_xlpm.q,
   IF(AND(ISNUMBER(_xlpm.r),ISNUMBER(_xlpm.u),_xlpm.u&gt;0,ISNUMBER(_xlpm.d),_xlpm.d&gt;=0,_xlpm.d&lt;1),
      ROUND(_xlpm.r/(_xlpm.u*(1-_xlpm.d)),0),
      ""
   )
)
)</f>
        <v>5</v>
      </c>
      <c r="H289" s="4">
        <f>_xlfn.LET(
_xlpm.q,RawData!G289,
_xlpm.u,RawData!H289,
_xlpm.d,RawData!I289,
_xlpm.r,RawData!J289,
IF(AND(ISNUMBER(_xlpm.u),_xlpm.u&gt;0),_xlpm.u,
   IF(AND(ISNUMBER(_xlpm.q),_xlpm.q&gt;0,ISNUMBER(_xlpm.r),ISNUMBER(_xlpm.d),_xlpm.d&gt;=0,_xlpm.d&lt;1),
      _xlpm.r/(_xlpm.q*(1-_xlpm.d)),
      ""
   )
)
)</f>
        <v>199.57</v>
      </c>
      <c r="I289" s="5">
        <f>_xlfn.LET(
_xlpm.q,RawData!G289,
_xlpm.u,RawData!H289,
_xlpm.d,RawData!I289,
_xlpm.r,RawData!J289,
IF(AND(ISNUMBER(_xlpm.d),_xlpm.d&gt;=0,_xlpm.d&lt;1),_xlpm.d,
   IF(AND(ISNUMBER(_xlpm.q),_xlpm.q&gt;0,ISNUMBER(_xlpm.u),_xlpm.u&gt;0,ISNUMBER(_xlpm.r),_xlpm.r&gt;=0),
      1-(_xlpm.r/(_xlpm.q*_xlpm.u)),
      ""
   )
)
)</f>
        <v>0.2</v>
      </c>
      <c r="J289" s="4">
        <f>_xlfn.LET(
_xlpm.q,RawData!G289,
_xlpm.u,RawData!H289,
_xlpm.d,RawData!I289,
_xlpm.r,RawData!J289,
IF(AND(ISNUMBER(_xlpm.r),_xlpm.r&gt;=0),_xlpm.r,
   IF(AND(ISNUMBER(_xlpm.q),_xlpm.q&gt;0,ISNUMBER(_xlpm.u),_xlpm.u&gt;0,ISNUMBER(_xlpm.d),_xlpm.d&gt;=0,_xlpm.d&lt;1),
      _xlpm.q*_xlpm.u*(1-_xlpm.d),
      ""
   )
)
)</f>
        <v>798.28</v>
      </c>
      <c r="K289" s="4">
        <f>_xlfn.LET(
_xlpm.c,RawData!K289,
_xlpm.r,RawData!J289,
_xlpm.p,RawData!L289,
IF(AND(ISNUMBER(_xlpm.c),_xlpm.c&gt;=0),_xlpm.c,
   IF(AND(ISNUMBER(_xlpm.r),ISNUMBER(_xlpm.p)),
      _xlpm.r-_xlpm.p,
      ""
   )
)
)</f>
        <v>643.71</v>
      </c>
      <c r="L289" s="4">
        <f>_xlfn.LET(
_xlpm.p,RawData!L289,
_xlpm.r,RawData!J289,
_xlpm.c,RawData!K289,
IF(ISNUMBER(_xlpm.p),_xlpm.p,
IF(AND(ISNUMBER(_xlpm.r),ISNUMBER(_xlpm.c)),
_xlpm.r-_xlpm.c,
""
)
))</f>
        <v>154.57</v>
      </c>
    </row>
    <row r="290" spans="1:12" x14ac:dyDescent="0.35">
      <c r="A290" t="s">
        <v>328</v>
      </c>
      <c r="B290" s="7">
        <v>45966</v>
      </c>
      <c r="C290" t="str">
        <f>IF(RawData!C290="","Unknown",PROPER(TRIM(CLEAN(SUBSTITUTE(RawData!C290,CHAR(160)," ")))))</f>
        <v>South</v>
      </c>
      <c r="D290" t="str">
        <f>IF(RawData!D290="","Unknown",PROPER(TRIM(CLEAN(SUBSTITUTE(RawData!D290,CHAR(160)," ")))))</f>
        <v>Bengaluru</v>
      </c>
      <c r="E290" t="str">
        <f>IF(RawData!E290="","Unknown",PROPER(TRIM(CLEAN(SUBSTITUTE(RawData!E290,CHAR(160)," ")))))</f>
        <v>Desk</v>
      </c>
      <c r="F290" t="str">
        <f>IF(RawData!F290="","Unknown",PROPER(TRIM(CLEAN(SUBSTITUTE(RawData!F290,CHAR(160)," ")))))</f>
        <v>Furniture</v>
      </c>
      <c r="G290">
        <f>_xlfn.LET(
_xlpm.q,RawData!G290,
_xlpm.u,RawData!H290,
_xlpm.d,RawData!I290,
_xlpm.r,RawData!J290,
IF(AND(ISNUMBER(_xlpm.q),_xlpm.q&gt;0),_xlpm.q,
   IF(AND(ISNUMBER(_xlpm.r),ISNUMBER(_xlpm.u),_xlpm.u&gt;0,ISNUMBER(_xlpm.d),_xlpm.d&gt;=0,_xlpm.d&lt;1),
      ROUND(_xlpm.r/(_xlpm.u*(1-_xlpm.d)),0),
      ""
   )
)
)</f>
        <v>2</v>
      </c>
      <c r="H290" s="4">
        <f>_xlfn.LET(
_xlpm.q,RawData!G290,
_xlpm.u,RawData!H290,
_xlpm.d,RawData!I290,
_xlpm.r,RawData!J290,
IF(AND(ISNUMBER(_xlpm.u),_xlpm.u&gt;0),_xlpm.u,
   IF(AND(ISNUMBER(_xlpm.q),_xlpm.q&gt;0,ISNUMBER(_xlpm.r),ISNUMBER(_xlpm.d),_xlpm.d&gt;=0,_xlpm.d&lt;1),
      _xlpm.r/(_xlpm.q*(1-_xlpm.d)),
      ""
   )
)
)</f>
        <v>223.53</v>
      </c>
      <c r="I290" s="5">
        <f>_xlfn.LET(
_xlpm.q,RawData!G290,
_xlpm.u,RawData!H290,
_xlpm.d,RawData!I290,
_xlpm.r,RawData!J290,
IF(AND(ISNUMBER(_xlpm.d),_xlpm.d&gt;=0,_xlpm.d&lt;1),_xlpm.d,
   IF(AND(ISNUMBER(_xlpm.q),_xlpm.q&gt;0,ISNUMBER(_xlpm.u),_xlpm.u&gt;0,ISNUMBER(_xlpm.r),_xlpm.r&gt;=0),
      1-(_xlpm.r/(_xlpm.q*_xlpm.u)),
      ""
   )
)
)</f>
        <v>0.15</v>
      </c>
      <c r="J290" s="4">
        <f>_xlfn.LET(
_xlpm.q,RawData!G290,
_xlpm.u,RawData!H290,
_xlpm.d,RawData!I290,
_xlpm.r,RawData!J290,
IF(AND(ISNUMBER(_xlpm.r),_xlpm.r&gt;=0),_xlpm.r,
   IF(AND(ISNUMBER(_xlpm.q),_xlpm.q&gt;0,ISNUMBER(_xlpm.u),_xlpm.u&gt;0,ISNUMBER(_xlpm.d),_xlpm.d&gt;=0,_xlpm.d&lt;1),
      _xlpm.q*_xlpm.u*(1-_xlpm.d),
      ""
   )
)
)</f>
        <v>380</v>
      </c>
      <c r="K290" s="4">
        <f>_xlfn.LET(
_xlpm.c,RawData!K290,
_xlpm.r,RawData!J290,
_xlpm.p,RawData!L290,
IF(AND(ISNUMBER(_xlpm.c),_xlpm.c&gt;=0),_xlpm.c,
   IF(AND(ISNUMBER(_xlpm.r),ISNUMBER(_xlpm.p)),
      _xlpm.r-_xlpm.p,
      ""
   )
)
)</f>
        <v>304.07</v>
      </c>
      <c r="L290" s="4">
        <f>_xlfn.LET(
_xlpm.p,RawData!L290,
_xlpm.r,RawData!J290,
_xlpm.c,RawData!K290,
IF(ISNUMBER(_xlpm.p),_xlpm.p,
IF(AND(ISNUMBER(_xlpm.r),ISNUMBER(_xlpm.c)),
_xlpm.r-_xlpm.c,
""
)
))</f>
        <v>75.930000000000007</v>
      </c>
    </row>
    <row r="291" spans="1:12" x14ac:dyDescent="0.35">
      <c r="A291" t="s">
        <v>329</v>
      </c>
      <c r="B291" s="7">
        <v>45730</v>
      </c>
      <c r="C291" t="str">
        <f>IF(RawData!C291="","Unknown",PROPER(TRIM(CLEAN(SUBSTITUTE(RawData!C291,CHAR(160)," ")))))</f>
        <v>East</v>
      </c>
      <c r="D291" t="str">
        <f>IF(RawData!D291="","Unknown",PROPER(TRIM(CLEAN(SUBSTITUTE(RawData!D291,CHAR(160)," ")))))</f>
        <v>Patna</v>
      </c>
      <c r="E291" t="str">
        <f>IF(RawData!E291="","Unknown",PROPER(TRIM(CLEAN(SUBSTITUTE(RawData!E291,CHAR(160)," ")))))</f>
        <v>Office Chair</v>
      </c>
      <c r="F291" t="str">
        <f>IF(RawData!F291="","Unknown",PROPER(TRIM(CLEAN(SUBSTITUTE(RawData!F291,CHAR(160)," ")))))</f>
        <v>Furniture</v>
      </c>
      <c r="G291">
        <f>_xlfn.LET(
_xlpm.q,RawData!G291,
_xlpm.u,RawData!H291,
_xlpm.d,RawData!I291,
_xlpm.r,RawData!J291,
IF(AND(ISNUMBER(_xlpm.q),_xlpm.q&gt;0),_xlpm.q,
   IF(AND(ISNUMBER(_xlpm.r),ISNUMBER(_xlpm.u),_xlpm.u&gt;0,ISNUMBER(_xlpm.d),_xlpm.d&gt;=0,_xlpm.d&lt;1),
      ROUND(_xlpm.r/(_xlpm.u*(1-_xlpm.d)),0),
      ""
   )
)
)</f>
        <v>7</v>
      </c>
      <c r="H291" s="4">
        <f>_xlfn.LET(
_xlpm.q,RawData!G291,
_xlpm.u,RawData!H291,
_xlpm.d,RawData!I291,
_xlpm.r,RawData!J291,
IF(AND(ISNUMBER(_xlpm.u),_xlpm.u&gt;0),_xlpm.u,
   IF(AND(ISNUMBER(_xlpm.q),_xlpm.q&gt;0,ISNUMBER(_xlpm.r),ISNUMBER(_xlpm.d),_xlpm.d&gt;=0,_xlpm.d&lt;1),
      _xlpm.r/(_xlpm.q*(1-_xlpm.d)),
      ""
   )
)
)</f>
        <v>179.57</v>
      </c>
      <c r="I291" s="5">
        <f>_xlfn.LET(
_xlpm.q,RawData!G291,
_xlpm.u,RawData!H291,
_xlpm.d,RawData!I291,
_xlpm.r,RawData!J291,
IF(AND(ISNUMBER(_xlpm.d),_xlpm.d&gt;=0,_xlpm.d&lt;1),_xlpm.d,
   IF(AND(ISNUMBER(_xlpm.q),_xlpm.q&gt;0,ISNUMBER(_xlpm.u),_xlpm.u&gt;0,ISNUMBER(_xlpm.r),_xlpm.r&gt;=0),
      1-(_xlpm.r/(_xlpm.q*_xlpm.u)),
      ""
   )
)
)</f>
        <v>0.02</v>
      </c>
      <c r="J291" s="4">
        <f>_xlfn.LET(
_xlpm.q,RawData!G291,
_xlpm.u,RawData!H291,
_xlpm.d,RawData!I291,
_xlpm.r,RawData!J291,
IF(AND(ISNUMBER(_xlpm.r),_xlpm.r&gt;=0),_xlpm.r,
   IF(AND(ISNUMBER(_xlpm.q),_xlpm.q&gt;0,ISNUMBER(_xlpm.u),_xlpm.u&gt;0,ISNUMBER(_xlpm.d),_xlpm.d&gt;=0,_xlpm.d&lt;1),
      _xlpm.q*_xlpm.u*(1-_xlpm.d),
      ""
   )
)
)</f>
        <v>1231.8499999999999</v>
      </c>
      <c r="K291" s="4">
        <f>_xlfn.LET(
_xlpm.c,RawData!K291,
_xlpm.r,RawData!J291,
_xlpm.p,RawData!L291,
IF(AND(ISNUMBER(_xlpm.c),_xlpm.c&gt;=0),_xlpm.c,
   IF(AND(ISNUMBER(_xlpm.r),ISNUMBER(_xlpm.p)),
      _xlpm.r-_xlpm.p,
      ""
   )
)
)</f>
        <v>763.41</v>
      </c>
      <c r="L291" s="4">
        <f>_xlfn.LET(
_xlpm.p,RawData!L291,
_xlpm.r,RawData!J291,
_xlpm.c,RawData!K291,
IF(ISNUMBER(_xlpm.p),_xlpm.p,
IF(AND(ISNUMBER(_xlpm.r),ISNUMBER(_xlpm.c)),
_xlpm.r-_xlpm.c,
""
)
))</f>
        <v>468.44</v>
      </c>
    </row>
    <row r="292" spans="1:12" x14ac:dyDescent="0.35">
      <c r="A292" t="s">
        <v>330</v>
      </c>
      <c r="B292" s="7">
        <v>46020</v>
      </c>
      <c r="C292" t="str">
        <f>IF(RawData!C292="","Unknown",PROPER(TRIM(CLEAN(SUBSTITUTE(RawData!C292,CHAR(160)," ")))))</f>
        <v>North</v>
      </c>
      <c r="D292" t="str">
        <f>IF(RawData!D292="","Unknown",PROPER(TRIM(CLEAN(SUBSTITUTE(RawData!D292,CHAR(160)," ")))))</f>
        <v>Lucknow</v>
      </c>
      <c r="E292" t="str">
        <f>IF(RawData!E292="","Unknown",PROPER(TRIM(CLEAN(SUBSTITUTE(RawData!E292,CHAR(160)," ")))))</f>
        <v>Office Chair</v>
      </c>
      <c r="F292" t="str">
        <f>IF(RawData!F292="","Unknown",PROPER(TRIM(CLEAN(SUBSTITUTE(RawData!F292,CHAR(160)," ")))))</f>
        <v>Furniture</v>
      </c>
      <c r="G292">
        <f>_xlfn.LET(
_xlpm.q,RawData!G292,
_xlpm.u,RawData!H292,
_xlpm.d,RawData!I292,
_xlpm.r,RawData!J292,
IF(AND(ISNUMBER(_xlpm.q),_xlpm.q&gt;0),_xlpm.q,
   IF(AND(ISNUMBER(_xlpm.r),ISNUMBER(_xlpm.u),_xlpm.u&gt;0,ISNUMBER(_xlpm.d),_xlpm.d&gt;=0,_xlpm.d&lt;1),
      ROUND(_xlpm.r/(_xlpm.u*(1-_xlpm.d)),0),
      ""
   )
)
)</f>
        <v>9</v>
      </c>
      <c r="H292" s="4">
        <f>_xlfn.LET(
_xlpm.q,RawData!G292,
_xlpm.u,RawData!H292,
_xlpm.d,RawData!I292,
_xlpm.r,RawData!J292,
IF(AND(ISNUMBER(_xlpm.u),_xlpm.u&gt;0),_xlpm.u,
   IF(AND(ISNUMBER(_xlpm.q),_xlpm.q&gt;0,ISNUMBER(_xlpm.r),ISNUMBER(_xlpm.d),_xlpm.d&gt;=0,_xlpm.d&lt;1),
      _xlpm.r/(_xlpm.q*(1-_xlpm.d)),
      ""
   )
)
)</f>
        <v>177.79</v>
      </c>
      <c r="I292" s="5">
        <f>_xlfn.LET(
_xlpm.q,RawData!G292,
_xlpm.u,RawData!H292,
_xlpm.d,RawData!I292,
_xlpm.r,RawData!J292,
IF(AND(ISNUMBER(_xlpm.d),_xlpm.d&gt;=0,_xlpm.d&lt;1),_xlpm.d,
   IF(AND(ISNUMBER(_xlpm.q),_xlpm.q&gt;0,ISNUMBER(_xlpm.u),_xlpm.u&gt;0,ISNUMBER(_xlpm.r),_xlpm.r&gt;=0),
      1-(_xlpm.r/(_xlpm.q*_xlpm.u)),
      ""
   )
)
)</f>
        <v>0.1</v>
      </c>
      <c r="J292" s="4">
        <f>_xlfn.LET(
_xlpm.q,RawData!G292,
_xlpm.u,RawData!H292,
_xlpm.d,RawData!I292,
_xlpm.r,RawData!J292,
IF(AND(ISNUMBER(_xlpm.r),_xlpm.r&gt;=0),_xlpm.r,
   IF(AND(ISNUMBER(_xlpm.q),_xlpm.q&gt;0,ISNUMBER(_xlpm.u),_xlpm.u&gt;0,ISNUMBER(_xlpm.d),_xlpm.d&gt;=0,_xlpm.d&lt;1),
      _xlpm.q*_xlpm.u*(1-_xlpm.d),
      ""
   )
)
)</f>
        <v>1440.1</v>
      </c>
      <c r="K292" s="4">
        <f>_xlfn.LET(
_xlpm.c,RawData!K292,
_xlpm.r,RawData!J292,
_xlpm.p,RawData!L292,
IF(AND(ISNUMBER(_xlpm.c),_xlpm.c&gt;=0),_xlpm.c,
   IF(AND(ISNUMBER(_xlpm.r),ISNUMBER(_xlpm.p)),
      _xlpm.r-_xlpm.p,
      ""
   )
)
)</f>
        <v>1173.1199999999999</v>
      </c>
      <c r="L292" s="4">
        <f>_xlfn.LET(
_xlpm.p,RawData!L292,
_xlpm.r,RawData!J292,
_xlpm.c,RawData!K292,
IF(ISNUMBER(_xlpm.p),_xlpm.p,
IF(AND(ISNUMBER(_xlpm.r),ISNUMBER(_xlpm.c)),
_xlpm.r-_xlpm.c,
""
)
))</f>
        <v>266.98</v>
      </c>
    </row>
    <row r="293" spans="1:12" x14ac:dyDescent="0.35">
      <c r="A293" t="s">
        <v>331</v>
      </c>
      <c r="B293" s="7">
        <v>45826</v>
      </c>
      <c r="C293" t="str">
        <f>IF(RawData!C293="","Unknown",PROPER(TRIM(CLEAN(SUBSTITUTE(RawData!C293,CHAR(160)," ")))))</f>
        <v>South</v>
      </c>
      <c r="D293" t="str">
        <f>IF(RawData!D293="","Unknown",PROPER(TRIM(CLEAN(SUBSTITUTE(RawData!D293,CHAR(160)," ")))))</f>
        <v>Bengaluru</v>
      </c>
      <c r="E293" t="str">
        <f>IF(RawData!E293="","Unknown",PROPER(TRIM(CLEAN(SUBSTITUTE(RawData!E293,CHAR(160)," ")))))</f>
        <v>Backpack</v>
      </c>
      <c r="F293" t="str">
        <f>IF(RawData!F293="","Unknown",PROPER(TRIM(CLEAN(SUBSTITUTE(RawData!F293,CHAR(160)," ")))))</f>
        <v>Accessories</v>
      </c>
      <c r="G293">
        <f>_xlfn.LET(
_xlpm.q,RawData!G293,
_xlpm.u,RawData!H293,
_xlpm.d,RawData!I293,
_xlpm.r,RawData!J293,
IF(AND(ISNUMBER(_xlpm.q),_xlpm.q&gt;0),_xlpm.q,
   IF(AND(ISNUMBER(_xlpm.r),ISNUMBER(_xlpm.u),_xlpm.u&gt;0,ISNUMBER(_xlpm.d),_xlpm.d&gt;=0,_xlpm.d&lt;1),
      ROUND(_xlpm.r/(_xlpm.u*(1-_xlpm.d)),0),
      ""
   )
)
)</f>
        <v>9</v>
      </c>
      <c r="H293" s="4">
        <f>_xlfn.LET(
_xlpm.q,RawData!G293,
_xlpm.u,RawData!H293,
_xlpm.d,RawData!I293,
_xlpm.r,RawData!J293,
IF(AND(ISNUMBER(_xlpm.u),_xlpm.u&gt;0),_xlpm.u,
   IF(AND(ISNUMBER(_xlpm.q),_xlpm.q&gt;0,ISNUMBER(_xlpm.r),ISNUMBER(_xlpm.d),_xlpm.d&gt;=0,_xlpm.d&lt;1),
      _xlpm.r/(_xlpm.q*(1-_xlpm.d)),
      ""
   )
)
)</f>
        <v>44.9</v>
      </c>
      <c r="I293" s="5">
        <f>_xlfn.LET(
_xlpm.q,RawData!G293,
_xlpm.u,RawData!H293,
_xlpm.d,RawData!I293,
_xlpm.r,RawData!J293,
IF(AND(ISNUMBER(_xlpm.d),_xlpm.d&gt;=0,_xlpm.d&lt;1),_xlpm.d,
   IF(AND(ISNUMBER(_xlpm.q),_xlpm.q&gt;0,ISNUMBER(_xlpm.u),_xlpm.u&gt;0,ISNUMBER(_xlpm.r),_xlpm.r&gt;=0),
      1-(_xlpm.r/(_xlpm.q*_xlpm.u)),
      ""
   )
)
)</f>
        <v>0</v>
      </c>
      <c r="J293" s="4">
        <f>_xlfn.LET(
_xlpm.q,RawData!G293,
_xlpm.u,RawData!H293,
_xlpm.d,RawData!I293,
_xlpm.r,RawData!J293,
IF(AND(ISNUMBER(_xlpm.r),_xlpm.r&gt;=0),_xlpm.r,
   IF(AND(ISNUMBER(_xlpm.q),_xlpm.q&gt;0,ISNUMBER(_xlpm.u),_xlpm.u&gt;0,ISNUMBER(_xlpm.d),_xlpm.d&gt;=0,_xlpm.d&lt;1),
      _xlpm.q*_xlpm.u*(1-_xlpm.d),
      ""
   )
)
)</f>
        <v>404.1</v>
      </c>
      <c r="K293" s="4">
        <f>_xlfn.LET(
_xlpm.c,RawData!K293,
_xlpm.r,RawData!J293,
_xlpm.p,RawData!L293,
IF(AND(ISNUMBER(_xlpm.c),_xlpm.c&gt;=0),_xlpm.c,
   IF(AND(ISNUMBER(_xlpm.r),ISNUMBER(_xlpm.p)),
      _xlpm.r-_xlpm.p,
      ""
   )
)
)</f>
        <v>258.12</v>
      </c>
      <c r="L293" s="4">
        <f>_xlfn.LET(
_xlpm.p,RawData!L293,
_xlpm.r,RawData!J293,
_xlpm.c,RawData!K293,
IF(ISNUMBER(_xlpm.p),_xlpm.p,
IF(AND(ISNUMBER(_xlpm.r),ISNUMBER(_xlpm.c)),
_xlpm.r-_xlpm.c,
""
)
))</f>
        <v>145.97999999999999</v>
      </c>
    </row>
    <row r="294" spans="1:12" x14ac:dyDescent="0.35">
      <c r="A294" t="s">
        <v>332</v>
      </c>
      <c r="B294" s="7">
        <v>46001</v>
      </c>
      <c r="C294" t="str">
        <f>IF(RawData!C294="","Unknown",PROPER(TRIM(CLEAN(SUBSTITUTE(RawData!C294,CHAR(160)," ")))))</f>
        <v>West</v>
      </c>
      <c r="D294" t="str">
        <f>IF(RawData!D294="","Unknown",PROPER(TRIM(CLEAN(SUBSTITUTE(RawData!D294,CHAR(160)," ")))))</f>
        <v>Pune</v>
      </c>
      <c r="E294" t="str">
        <f>IF(RawData!E294="","Unknown",PROPER(TRIM(CLEAN(SUBSTITUTE(RawData!E294,CHAR(160)," ")))))</f>
        <v>Notebook</v>
      </c>
      <c r="F294" t="str">
        <f>IF(RawData!F294="","Unknown",PROPER(TRIM(CLEAN(SUBSTITUTE(RawData!F294,CHAR(160)," ")))))</f>
        <v>Office Supplies</v>
      </c>
      <c r="G294">
        <f>_xlfn.LET(
_xlpm.q,RawData!G294,
_xlpm.u,RawData!H294,
_xlpm.d,RawData!I294,
_xlpm.r,RawData!J294,
IF(AND(ISNUMBER(_xlpm.q),_xlpm.q&gt;0),_xlpm.q,
   IF(AND(ISNUMBER(_xlpm.r),ISNUMBER(_xlpm.u),_xlpm.u&gt;0,ISNUMBER(_xlpm.d),_xlpm.d&gt;=0,_xlpm.d&lt;1),
      ROUND(_xlpm.r/(_xlpm.u*(1-_xlpm.d)),0),
      ""
   )
)
)</f>
        <v>6</v>
      </c>
      <c r="H294" s="4">
        <f>_xlfn.LET(
_xlpm.q,RawData!G294,
_xlpm.u,RawData!H294,
_xlpm.d,RawData!I294,
_xlpm.r,RawData!J294,
IF(AND(ISNUMBER(_xlpm.u),_xlpm.u&gt;0),_xlpm.u,
   IF(AND(ISNUMBER(_xlpm.q),_xlpm.q&gt;0,ISNUMBER(_xlpm.r),ISNUMBER(_xlpm.d),_xlpm.d&gt;=0,_xlpm.d&lt;1),
      _xlpm.r/(_xlpm.q*(1-_xlpm.d)),
      ""
   )
)
)</f>
        <v>8.32</v>
      </c>
      <c r="I294" s="5">
        <f>_xlfn.LET(
_xlpm.q,RawData!G294,
_xlpm.u,RawData!H294,
_xlpm.d,RawData!I294,
_xlpm.r,RawData!J294,
IF(AND(ISNUMBER(_xlpm.d),_xlpm.d&gt;=0,_xlpm.d&lt;1),_xlpm.d,
   IF(AND(ISNUMBER(_xlpm.q),_xlpm.q&gt;0,ISNUMBER(_xlpm.u),_xlpm.u&gt;0,ISNUMBER(_xlpm.r),_xlpm.r&gt;=0),
      1-(_xlpm.r/(_xlpm.q*_xlpm.u)),
      ""
   )
)
)</f>
        <v>0</v>
      </c>
      <c r="J294" s="4">
        <f>_xlfn.LET(
_xlpm.q,RawData!G294,
_xlpm.u,RawData!H294,
_xlpm.d,RawData!I294,
_xlpm.r,RawData!J294,
IF(AND(ISNUMBER(_xlpm.r),_xlpm.r&gt;=0),_xlpm.r,
   IF(AND(ISNUMBER(_xlpm.q),_xlpm.q&gt;0,ISNUMBER(_xlpm.u),_xlpm.u&gt;0,ISNUMBER(_xlpm.d),_xlpm.d&gt;=0,_xlpm.d&lt;1),
      _xlpm.q*_xlpm.u*(1-_xlpm.d),
      ""
   )
)
)</f>
        <v>49.92</v>
      </c>
      <c r="K294" s="4">
        <f>_xlfn.LET(
_xlpm.c,RawData!K294,
_xlpm.r,RawData!J294,
_xlpm.p,RawData!L294,
IF(AND(ISNUMBER(_xlpm.c),_xlpm.c&gt;=0),_xlpm.c,
   IF(AND(ISNUMBER(_xlpm.r),ISNUMBER(_xlpm.p)),
      _xlpm.r-_xlpm.p,
      ""
   )
)
)</f>
        <v>30.69</v>
      </c>
      <c r="L294" s="4">
        <f>_xlfn.LET(
_xlpm.p,RawData!L294,
_xlpm.r,RawData!J294,
_xlpm.c,RawData!K294,
IF(ISNUMBER(_xlpm.p),_xlpm.p,
IF(AND(ISNUMBER(_xlpm.r),ISNUMBER(_xlpm.c)),
_xlpm.r-_xlpm.c,
""
)
))</f>
        <v>19.23</v>
      </c>
    </row>
    <row r="295" spans="1:12" x14ac:dyDescent="0.35">
      <c r="A295" t="s">
        <v>333</v>
      </c>
      <c r="B295" s="7">
        <v>45816</v>
      </c>
      <c r="C295" t="str">
        <f>IF(RawData!C295="","Unknown",PROPER(TRIM(CLEAN(SUBSTITUTE(RawData!C295,CHAR(160)," ")))))</f>
        <v>South</v>
      </c>
      <c r="D295" t="str">
        <f>IF(RawData!D295="","Unknown",PROPER(TRIM(CLEAN(SUBSTITUTE(RawData!D295,CHAR(160)," ")))))</f>
        <v>Hyderabad</v>
      </c>
      <c r="E295" t="str">
        <f>IF(RawData!E295="","Unknown",PROPER(TRIM(CLEAN(SUBSTITUTE(RawData!E295,CHAR(160)," ")))))</f>
        <v>Monitor</v>
      </c>
      <c r="F295" t="str">
        <f>IF(RawData!F295="","Unknown",PROPER(TRIM(CLEAN(SUBSTITUTE(RawData!F295,CHAR(160)," ")))))</f>
        <v>Electronics</v>
      </c>
      <c r="G295">
        <f>_xlfn.LET(
_xlpm.q,RawData!G295,
_xlpm.u,RawData!H295,
_xlpm.d,RawData!I295,
_xlpm.r,RawData!J295,
IF(AND(ISNUMBER(_xlpm.q),_xlpm.q&gt;0),_xlpm.q,
   IF(AND(ISNUMBER(_xlpm.r),ISNUMBER(_xlpm.u),_xlpm.u&gt;0,ISNUMBER(_xlpm.d),_xlpm.d&gt;=0,_xlpm.d&lt;1),
      ROUND(_xlpm.r/(_xlpm.u*(1-_xlpm.d)),0),
      ""
   )
)
)</f>
        <v>6</v>
      </c>
      <c r="H295" s="4">
        <f>_xlfn.LET(
_xlpm.q,RawData!G295,
_xlpm.u,RawData!H295,
_xlpm.d,RawData!I295,
_xlpm.r,RawData!J295,
IF(AND(ISNUMBER(_xlpm.u),_xlpm.u&gt;0),_xlpm.u,
   IF(AND(ISNUMBER(_xlpm.q),_xlpm.q&gt;0,ISNUMBER(_xlpm.r),ISNUMBER(_xlpm.d),_xlpm.d&gt;=0,_xlpm.d&lt;1),
      _xlpm.r/(_xlpm.q*(1-_xlpm.d)),
      ""
   )
)
)</f>
        <v>192.01</v>
      </c>
      <c r="I295" s="5">
        <f>_xlfn.LET(
_xlpm.q,RawData!G295,
_xlpm.u,RawData!H295,
_xlpm.d,RawData!I295,
_xlpm.r,RawData!J295,
IF(AND(ISNUMBER(_xlpm.d),_xlpm.d&gt;=0,_xlpm.d&lt;1),_xlpm.d,
   IF(AND(ISNUMBER(_xlpm.q),_xlpm.q&gt;0,ISNUMBER(_xlpm.u),_xlpm.u&gt;0,ISNUMBER(_xlpm.r),_xlpm.r&gt;=0),
      1-(_xlpm.r/(_xlpm.q*_xlpm.u)),
      ""
   )
)
)</f>
        <v>0.1</v>
      </c>
      <c r="J295" s="4">
        <f>_xlfn.LET(
_xlpm.q,RawData!G295,
_xlpm.u,RawData!H295,
_xlpm.d,RawData!I295,
_xlpm.r,RawData!J295,
IF(AND(ISNUMBER(_xlpm.r),_xlpm.r&gt;=0),_xlpm.r,
   IF(AND(ISNUMBER(_xlpm.q),_xlpm.q&gt;0,ISNUMBER(_xlpm.u),_xlpm.u&gt;0,ISNUMBER(_xlpm.d),_xlpm.d&gt;=0,_xlpm.d&lt;1),
      _xlpm.q*_xlpm.u*(1-_xlpm.d),
      ""
   )
)
)</f>
        <v>1036.8499999999999</v>
      </c>
      <c r="K295" s="4">
        <f>_xlfn.LET(
_xlpm.c,RawData!K295,
_xlpm.r,RawData!J295,
_xlpm.p,RawData!L295,
IF(AND(ISNUMBER(_xlpm.c),_xlpm.c&gt;=0),_xlpm.c,
   IF(AND(ISNUMBER(_xlpm.r),ISNUMBER(_xlpm.p)),
      _xlpm.r-_xlpm.p,
      ""
   )
)
)</f>
        <v>606.35</v>
      </c>
      <c r="L295" s="4">
        <f>_xlfn.LET(
_xlpm.p,RawData!L295,
_xlpm.r,RawData!J295,
_xlpm.c,RawData!K295,
IF(ISNUMBER(_xlpm.p),_xlpm.p,
IF(AND(ISNUMBER(_xlpm.r),ISNUMBER(_xlpm.c)),
_xlpm.r-_xlpm.c,
""
)
))</f>
        <v>430.5</v>
      </c>
    </row>
    <row r="296" spans="1:12" x14ac:dyDescent="0.35">
      <c r="A296" t="s">
        <v>334</v>
      </c>
      <c r="B296" s="7">
        <v>45773</v>
      </c>
      <c r="C296" t="str">
        <f>IF(RawData!C296="","Unknown",PROPER(TRIM(CLEAN(SUBSTITUTE(RawData!C296,CHAR(160)," ")))))</f>
        <v>South</v>
      </c>
      <c r="D296" t="str">
        <f>IF(RawData!D296="","Unknown",PROPER(TRIM(CLEAN(SUBSTITUTE(RawData!D296,CHAR(160)," ")))))</f>
        <v>Hyderabad</v>
      </c>
      <c r="E296" t="str">
        <f>IF(RawData!E296="","Unknown",PROPER(TRIM(CLEAN(SUBSTITUTE(RawData!E296,CHAR(160)," ")))))</f>
        <v>Headphones</v>
      </c>
      <c r="F296" t="str">
        <f>IF(RawData!F296="","Unknown",PROPER(TRIM(CLEAN(SUBSTITUTE(RawData!F296,CHAR(160)," ")))))</f>
        <v>Electronics</v>
      </c>
      <c r="G296">
        <f>_xlfn.LET(
_xlpm.q,RawData!G296,
_xlpm.u,RawData!H296,
_xlpm.d,RawData!I296,
_xlpm.r,RawData!J296,
IF(AND(ISNUMBER(_xlpm.q),_xlpm.q&gt;0),_xlpm.q,
   IF(AND(ISNUMBER(_xlpm.r),ISNUMBER(_xlpm.u),_xlpm.u&gt;0,ISNUMBER(_xlpm.d),_xlpm.d&gt;=0,_xlpm.d&lt;1),
      ROUND(_xlpm.r/(_xlpm.u*(1-_xlpm.d)),0),
      ""
   )
)
)</f>
        <v>2</v>
      </c>
      <c r="H296" s="4">
        <f>_xlfn.LET(
_xlpm.q,RawData!G296,
_xlpm.u,RawData!H296,
_xlpm.d,RawData!I296,
_xlpm.r,RawData!J296,
IF(AND(ISNUMBER(_xlpm.u),_xlpm.u&gt;0),_xlpm.u,
   IF(AND(ISNUMBER(_xlpm.q),_xlpm.q&gt;0,ISNUMBER(_xlpm.r),ISNUMBER(_xlpm.d),_xlpm.d&gt;=0,_xlpm.d&lt;1),
      _xlpm.r/(_xlpm.q*(1-_xlpm.d)),
      ""
   )
)
)</f>
        <v>71.069999999999993</v>
      </c>
      <c r="I296" s="5">
        <f>_xlfn.LET(
_xlpm.q,RawData!G296,
_xlpm.u,RawData!H296,
_xlpm.d,RawData!I296,
_xlpm.r,RawData!J296,
IF(AND(ISNUMBER(_xlpm.d),_xlpm.d&gt;=0,_xlpm.d&lt;1),_xlpm.d,
   IF(AND(ISNUMBER(_xlpm.q),_xlpm.q&gt;0,ISNUMBER(_xlpm.u),_xlpm.u&gt;0,ISNUMBER(_xlpm.r),_xlpm.r&gt;=0),
      1-(_xlpm.r/(_xlpm.q*_xlpm.u)),
      ""
   )
)
)</f>
        <v>0.05</v>
      </c>
      <c r="J296" s="4">
        <f>_xlfn.LET(
_xlpm.q,RawData!G296,
_xlpm.u,RawData!H296,
_xlpm.d,RawData!I296,
_xlpm.r,RawData!J296,
IF(AND(ISNUMBER(_xlpm.r),_xlpm.r&gt;=0),_xlpm.r,
   IF(AND(ISNUMBER(_xlpm.q),_xlpm.q&gt;0,ISNUMBER(_xlpm.u),_xlpm.u&gt;0,ISNUMBER(_xlpm.d),_xlpm.d&gt;=0,_xlpm.d&lt;1),
      _xlpm.q*_xlpm.u*(1-_xlpm.d),
      ""
   )
)
)</f>
        <v>135.03</v>
      </c>
      <c r="K296" s="4">
        <f>_xlfn.LET(
_xlpm.c,RawData!K296,
_xlpm.r,RawData!J296,
_xlpm.p,RawData!L296,
IF(AND(ISNUMBER(_xlpm.c),_xlpm.c&gt;=0),_xlpm.c,
   IF(AND(ISNUMBER(_xlpm.r),ISNUMBER(_xlpm.p)),
      _xlpm.r-_xlpm.p,
      ""
   )
)
)</f>
        <v>79.8</v>
      </c>
      <c r="L296" s="4">
        <f>_xlfn.LET(
_xlpm.p,RawData!L296,
_xlpm.r,RawData!J296,
_xlpm.c,RawData!K296,
IF(ISNUMBER(_xlpm.p),_xlpm.p,
IF(AND(ISNUMBER(_xlpm.r),ISNUMBER(_xlpm.c)),
_xlpm.r-_xlpm.c,
""
)
))</f>
        <v>55.23</v>
      </c>
    </row>
    <row r="297" spans="1:12" x14ac:dyDescent="0.35">
      <c r="A297" t="s">
        <v>335</v>
      </c>
      <c r="B297" s="7">
        <v>45917</v>
      </c>
      <c r="C297" t="str">
        <f>IF(RawData!C297="","Unknown",PROPER(TRIM(CLEAN(SUBSTITUTE(RawData!C297,CHAR(160)," ")))))</f>
        <v>North</v>
      </c>
      <c r="D297" t="str">
        <f>IF(RawData!D297="","Unknown",PROPER(TRIM(CLEAN(SUBSTITUTE(RawData!D297,CHAR(160)," ")))))</f>
        <v>Delhi</v>
      </c>
      <c r="E297" t="str">
        <f>IF(RawData!E297="","Unknown",PROPER(TRIM(CLEAN(SUBSTITUTE(RawData!E297,CHAR(160)," ")))))</f>
        <v>Backpack</v>
      </c>
      <c r="F297" t="str">
        <f>IF(RawData!F297="","Unknown",PROPER(TRIM(CLEAN(SUBSTITUTE(RawData!F297,CHAR(160)," ")))))</f>
        <v>Accessories</v>
      </c>
      <c r="G297">
        <f>_xlfn.LET(
_xlpm.q,RawData!G297,
_xlpm.u,RawData!H297,
_xlpm.d,RawData!I297,
_xlpm.r,RawData!J297,
IF(AND(ISNUMBER(_xlpm.q),_xlpm.q&gt;0),_xlpm.q,
   IF(AND(ISNUMBER(_xlpm.r),ISNUMBER(_xlpm.u),_xlpm.u&gt;0,ISNUMBER(_xlpm.d),_xlpm.d&gt;=0,_xlpm.d&lt;1),
      ROUND(_xlpm.r/(_xlpm.u*(1-_xlpm.d)),0),
      ""
   )
)
)</f>
        <v>6</v>
      </c>
      <c r="H297" s="4">
        <f>_xlfn.LET(
_xlpm.q,RawData!G297,
_xlpm.u,RawData!H297,
_xlpm.d,RawData!I297,
_xlpm.r,RawData!J297,
IF(AND(ISNUMBER(_xlpm.u),_xlpm.u&gt;0),_xlpm.u,
   IF(AND(ISNUMBER(_xlpm.q),_xlpm.q&gt;0,ISNUMBER(_xlpm.r),ISNUMBER(_xlpm.d),_xlpm.d&gt;=0,_xlpm.d&lt;1),
      _xlpm.r/(_xlpm.q*(1-_xlpm.d)),
      ""
   )
)
)</f>
        <v>40.119999999999997</v>
      </c>
      <c r="I297" s="5">
        <f>_xlfn.LET(
_xlpm.q,RawData!G297,
_xlpm.u,RawData!H297,
_xlpm.d,RawData!I297,
_xlpm.r,RawData!J297,
IF(AND(ISNUMBER(_xlpm.d),_xlpm.d&gt;=0,_xlpm.d&lt;1),_xlpm.d,
   IF(AND(ISNUMBER(_xlpm.q),_xlpm.q&gt;0,ISNUMBER(_xlpm.u),_xlpm.u&gt;0,ISNUMBER(_xlpm.r),_xlpm.r&gt;=0),
      1-(_xlpm.r/(_xlpm.q*_xlpm.u)),
      ""
   )
)
)</f>
        <v>0.15</v>
      </c>
      <c r="J297" s="4">
        <f>_xlfn.LET(
_xlpm.q,RawData!G297,
_xlpm.u,RawData!H297,
_xlpm.d,RawData!I297,
_xlpm.r,RawData!J297,
IF(AND(ISNUMBER(_xlpm.r),_xlpm.r&gt;=0),_xlpm.r,
   IF(AND(ISNUMBER(_xlpm.q),_xlpm.q&gt;0,ISNUMBER(_xlpm.u),_xlpm.u&gt;0,ISNUMBER(_xlpm.d),_xlpm.d&gt;=0,_xlpm.d&lt;1),
      _xlpm.q*_xlpm.u*(1-_xlpm.d),
      ""
   )
)
)</f>
        <v>204.61</v>
      </c>
      <c r="K297" s="4">
        <f>_xlfn.LET(
_xlpm.c,RawData!K297,
_xlpm.r,RawData!J297,
_xlpm.p,RawData!L297,
IF(AND(ISNUMBER(_xlpm.c),_xlpm.c&gt;=0),_xlpm.c,
   IF(AND(ISNUMBER(_xlpm.r),ISNUMBER(_xlpm.p)),
      _xlpm.r-_xlpm.p,
      ""
   )
)
)</f>
        <v>147.94</v>
      </c>
      <c r="L297" s="4">
        <f>_xlfn.LET(
_xlpm.p,RawData!L297,
_xlpm.r,RawData!J297,
_xlpm.c,RawData!K297,
IF(ISNUMBER(_xlpm.p),_xlpm.p,
IF(AND(ISNUMBER(_xlpm.r),ISNUMBER(_xlpm.c)),
_xlpm.r-_xlpm.c,
""
)
))</f>
        <v>56.67</v>
      </c>
    </row>
    <row r="298" spans="1:12" x14ac:dyDescent="0.35">
      <c r="A298" t="s">
        <v>336</v>
      </c>
      <c r="B298" s="7">
        <v>45963</v>
      </c>
      <c r="C298" t="str">
        <f>IF(RawData!C298="","Unknown",PROPER(TRIM(CLEAN(SUBSTITUTE(RawData!C298,CHAR(160)," ")))))</f>
        <v>West</v>
      </c>
      <c r="D298" t="str">
        <f>IF(RawData!D298="","Unknown",PROPER(TRIM(CLEAN(SUBSTITUTE(RawData!D298,CHAR(160)," ")))))</f>
        <v>Ahmedabad</v>
      </c>
      <c r="E298" t="str">
        <f>IF(RawData!E298="","Unknown",PROPER(TRIM(CLEAN(SUBSTITUTE(RawData!E298,CHAR(160)," ")))))</f>
        <v>Headphones</v>
      </c>
      <c r="F298" t="str">
        <f>IF(RawData!F298="","Unknown",PROPER(TRIM(CLEAN(SUBSTITUTE(RawData!F298,CHAR(160)," ")))))</f>
        <v>Electronics</v>
      </c>
      <c r="G298">
        <f>_xlfn.LET(
_xlpm.q,RawData!G298,
_xlpm.u,RawData!H298,
_xlpm.d,RawData!I298,
_xlpm.r,RawData!J298,
IF(AND(ISNUMBER(_xlpm.q),_xlpm.q&gt;0),_xlpm.q,
   IF(AND(ISNUMBER(_xlpm.r),ISNUMBER(_xlpm.u),_xlpm.u&gt;0,ISNUMBER(_xlpm.d),_xlpm.d&gt;=0,_xlpm.d&lt;1),
      ROUND(_xlpm.r/(_xlpm.u*(1-_xlpm.d)),0),
      ""
   )
)
)</f>
        <v>3</v>
      </c>
      <c r="H298" s="4">
        <f>_xlfn.LET(
_xlpm.q,RawData!G298,
_xlpm.u,RawData!H298,
_xlpm.d,RawData!I298,
_xlpm.r,RawData!J298,
IF(AND(ISNUMBER(_xlpm.u),_xlpm.u&gt;0),_xlpm.u,
   IF(AND(ISNUMBER(_xlpm.q),_xlpm.q&gt;0,ISNUMBER(_xlpm.r),ISNUMBER(_xlpm.d),_xlpm.d&gt;=0,_xlpm.d&lt;1),
      _xlpm.r/(_xlpm.q*(1-_xlpm.d)),
      ""
   )
)
)</f>
        <v>72.37</v>
      </c>
      <c r="I298" s="5">
        <f>_xlfn.LET(
_xlpm.q,RawData!G298,
_xlpm.u,RawData!H298,
_xlpm.d,RawData!I298,
_xlpm.r,RawData!J298,
IF(AND(ISNUMBER(_xlpm.d),_xlpm.d&gt;=0,_xlpm.d&lt;1),_xlpm.d,
   IF(AND(ISNUMBER(_xlpm.q),_xlpm.q&gt;0,ISNUMBER(_xlpm.u),_xlpm.u&gt;0,ISNUMBER(_xlpm.r),_xlpm.r&gt;=0),
      1-(_xlpm.r/(_xlpm.q*_xlpm.u)),
      ""
   )
)
)</f>
        <v>0.02</v>
      </c>
      <c r="J298" s="4">
        <f>_xlfn.LET(
_xlpm.q,RawData!G298,
_xlpm.u,RawData!H298,
_xlpm.d,RawData!I298,
_xlpm.r,RawData!J298,
IF(AND(ISNUMBER(_xlpm.r),_xlpm.r&gt;=0),_xlpm.r,
   IF(AND(ISNUMBER(_xlpm.q),_xlpm.q&gt;0,ISNUMBER(_xlpm.u),_xlpm.u&gt;0,ISNUMBER(_xlpm.d),_xlpm.d&gt;=0,_xlpm.d&lt;1),
      _xlpm.q*_xlpm.u*(1-_xlpm.d),
      ""
   )
)
)</f>
        <v>212.77</v>
      </c>
      <c r="K298" s="4">
        <f>_xlfn.LET(
_xlpm.c,RawData!K298,
_xlpm.r,RawData!J298,
_xlpm.p,RawData!L298,
IF(AND(ISNUMBER(_xlpm.c),_xlpm.c&gt;=0),_xlpm.c,
   IF(AND(ISNUMBER(_xlpm.r),ISNUMBER(_xlpm.p)),
      _xlpm.r-_xlpm.p,
      ""
   )
)
)</f>
        <v>136.88</v>
      </c>
      <c r="L298" s="4">
        <f>_xlfn.LET(
_xlpm.p,RawData!L298,
_xlpm.r,RawData!J298,
_xlpm.c,RawData!K298,
IF(ISNUMBER(_xlpm.p),_xlpm.p,
IF(AND(ISNUMBER(_xlpm.r),ISNUMBER(_xlpm.c)),
_xlpm.r-_xlpm.c,
""
)
))</f>
        <v>75.89</v>
      </c>
    </row>
    <row r="299" spans="1:12" x14ac:dyDescent="0.35">
      <c r="A299" t="s">
        <v>337</v>
      </c>
      <c r="B299" s="7">
        <v>45977</v>
      </c>
      <c r="C299" t="str">
        <f>IF(RawData!C299="","Unknown",PROPER(TRIM(CLEAN(SUBSTITUTE(RawData!C299,CHAR(160)," ")))))</f>
        <v>South</v>
      </c>
      <c r="D299" t="str">
        <f>IF(RawData!D299="","Unknown",PROPER(TRIM(CLEAN(SUBSTITUTE(RawData!D299,CHAR(160)," ")))))</f>
        <v>Chennai</v>
      </c>
      <c r="E299" t="str">
        <f>IF(RawData!E299="","Unknown",PROPER(TRIM(CLEAN(SUBSTITUTE(RawData!E299,CHAR(160)," ")))))</f>
        <v>Keyboard</v>
      </c>
      <c r="F299" t="str">
        <f>IF(RawData!F299="","Unknown",PROPER(TRIM(CLEAN(SUBSTITUTE(RawData!F299,CHAR(160)," ")))))</f>
        <v>Accessories</v>
      </c>
      <c r="G299">
        <f>_xlfn.LET(
_xlpm.q,RawData!G299,
_xlpm.u,RawData!H299,
_xlpm.d,RawData!I299,
_xlpm.r,RawData!J299,
IF(AND(ISNUMBER(_xlpm.q),_xlpm.q&gt;0),_xlpm.q,
   IF(AND(ISNUMBER(_xlpm.r),ISNUMBER(_xlpm.u),_xlpm.u&gt;0,ISNUMBER(_xlpm.d),_xlpm.d&gt;=0,_xlpm.d&lt;1),
      ROUND(_xlpm.r/(_xlpm.u*(1-_xlpm.d)),0),
      ""
   )
)
)</f>
        <v>8</v>
      </c>
      <c r="H299" s="4">
        <f>_xlfn.LET(
_xlpm.q,RawData!G299,
_xlpm.u,RawData!H299,
_xlpm.d,RawData!I299,
_xlpm.r,RawData!J299,
IF(AND(ISNUMBER(_xlpm.u),_xlpm.u&gt;0),_xlpm.u,
   IF(AND(ISNUMBER(_xlpm.q),_xlpm.q&gt;0,ISNUMBER(_xlpm.r),ISNUMBER(_xlpm.d),_xlpm.d&gt;=0,_xlpm.d&lt;1),
      _xlpm.r/(_xlpm.q*(1-_xlpm.d)),
      ""
   )
)
)</f>
        <v>39.17</v>
      </c>
      <c r="I299" s="5">
        <f>_xlfn.LET(
_xlpm.q,RawData!G299,
_xlpm.u,RawData!H299,
_xlpm.d,RawData!I299,
_xlpm.r,RawData!J299,
IF(AND(ISNUMBER(_xlpm.d),_xlpm.d&gt;=0,_xlpm.d&lt;1),_xlpm.d,
   IF(AND(ISNUMBER(_xlpm.q),_xlpm.q&gt;0,ISNUMBER(_xlpm.u),_xlpm.u&gt;0,ISNUMBER(_xlpm.r),_xlpm.r&gt;=0),
      1-(_xlpm.r/(_xlpm.q*_xlpm.u)),
      ""
   )
)
)</f>
        <v>0</v>
      </c>
      <c r="J299" s="4">
        <f>_xlfn.LET(
_xlpm.q,RawData!G299,
_xlpm.u,RawData!H299,
_xlpm.d,RawData!I299,
_xlpm.r,RawData!J299,
IF(AND(ISNUMBER(_xlpm.r),_xlpm.r&gt;=0),_xlpm.r,
   IF(AND(ISNUMBER(_xlpm.q),_xlpm.q&gt;0,ISNUMBER(_xlpm.u),_xlpm.u&gt;0,ISNUMBER(_xlpm.d),_xlpm.d&gt;=0,_xlpm.d&lt;1),
      _xlpm.q*_xlpm.u*(1-_xlpm.d),
      ""
   )
)
)</f>
        <v>313.36</v>
      </c>
      <c r="K299" s="4">
        <f>_xlfn.LET(
_xlpm.c,RawData!K299,
_xlpm.r,RawData!J299,
_xlpm.p,RawData!L299,
IF(AND(ISNUMBER(_xlpm.c),_xlpm.c&gt;=0),_xlpm.c,
   IF(AND(ISNUMBER(_xlpm.r),ISNUMBER(_xlpm.p)),
      _xlpm.r-_xlpm.p,
      ""
   )
)
)</f>
        <v>212.45</v>
      </c>
      <c r="L299" s="4">
        <f>_xlfn.LET(
_xlpm.p,RawData!L299,
_xlpm.r,RawData!J299,
_xlpm.c,RawData!K299,
IF(ISNUMBER(_xlpm.p),_xlpm.p,
IF(AND(ISNUMBER(_xlpm.r),ISNUMBER(_xlpm.c)),
_xlpm.r-_xlpm.c,
""
)
))</f>
        <v>100.91</v>
      </c>
    </row>
    <row r="300" spans="1:12" x14ac:dyDescent="0.35">
      <c r="A300" t="s">
        <v>338</v>
      </c>
      <c r="B300" s="7">
        <v>45844</v>
      </c>
      <c r="C300" t="str">
        <f>IF(RawData!C300="","Unknown",PROPER(TRIM(CLEAN(SUBSTITUTE(RawData!C300,CHAR(160)," ")))))</f>
        <v>South</v>
      </c>
      <c r="D300" t="str">
        <f>IF(RawData!D300="","Unknown",PROPER(TRIM(CLEAN(SUBSTITUTE(RawData!D300,CHAR(160)," ")))))</f>
        <v>Bengaluru</v>
      </c>
      <c r="E300" t="str">
        <f>IF(RawData!E300="","Unknown",PROPER(TRIM(CLEAN(SUBSTITUTE(RawData!E300,CHAR(160)," ")))))</f>
        <v>Printer</v>
      </c>
      <c r="F300" t="str">
        <f>IF(RawData!F300="","Unknown",PROPER(TRIM(CLEAN(SUBSTITUTE(RawData!F300,CHAR(160)," ")))))</f>
        <v>Office Supplies</v>
      </c>
      <c r="G300">
        <f>_xlfn.LET(
_xlpm.q,RawData!G300,
_xlpm.u,RawData!H300,
_xlpm.d,RawData!I300,
_xlpm.r,RawData!J300,
IF(AND(ISNUMBER(_xlpm.q),_xlpm.q&gt;0),_xlpm.q,
   IF(AND(ISNUMBER(_xlpm.r),ISNUMBER(_xlpm.u),_xlpm.u&gt;0,ISNUMBER(_xlpm.d),_xlpm.d&gt;=0,_xlpm.d&lt;1),
      ROUND(_xlpm.r/(_xlpm.u*(1-_xlpm.d)),0),
      ""
   )
)
)</f>
        <v>10</v>
      </c>
      <c r="H300" s="4">
        <f>_xlfn.LET(
_xlpm.q,RawData!G300,
_xlpm.u,RawData!H300,
_xlpm.d,RawData!I300,
_xlpm.r,RawData!J300,
IF(AND(ISNUMBER(_xlpm.u),_xlpm.u&gt;0),_xlpm.u,
   IF(AND(ISNUMBER(_xlpm.q),_xlpm.q&gt;0,ISNUMBER(_xlpm.r),ISNUMBER(_xlpm.d),_xlpm.d&gt;=0,_xlpm.d&lt;1),
      _xlpm.r/(_xlpm.q*(1-_xlpm.d)),
      ""
   )
)
)</f>
        <v>168.04</v>
      </c>
      <c r="I300" s="5">
        <f>_xlfn.LET(
_xlpm.q,RawData!G300,
_xlpm.u,RawData!H300,
_xlpm.d,RawData!I300,
_xlpm.r,RawData!J300,
IF(AND(ISNUMBER(_xlpm.d),_xlpm.d&gt;=0,_xlpm.d&lt;1),_xlpm.d,
   IF(AND(ISNUMBER(_xlpm.q),_xlpm.q&gt;0,ISNUMBER(_xlpm.u),_xlpm.u&gt;0,ISNUMBER(_xlpm.r),_xlpm.r&gt;=0),
      1-(_xlpm.r/(_xlpm.q*_xlpm.u)),
      ""
   )
)
)</f>
        <v>0.05</v>
      </c>
      <c r="J300" s="4">
        <f>_xlfn.LET(
_xlpm.q,RawData!G300,
_xlpm.u,RawData!H300,
_xlpm.d,RawData!I300,
_xlpm.r,RawData!J300,
IF(AND(ISNUMBER(_xlpm.r),_xlpm.r&gt;=0),_xlpm.r,
   IF(AND(ISNUMBER(_xlpm.q),_xlpm.q&gt;0,ISNUMBER(_xlpm.u),_xlpm.u&gt;0,ISNUMBER(_xlpm.d),_xlpm.d&gt;=0,_xlpm.d&lt;1),
      _xlpm.q*_xlpm.u*(1-_xlpm.d),
      ""
   )
)
)</f>
        <v>1596.38</v>
      </c>
      <c r="K300" s="4">
        <f>_xlfn.LET(
_xlpm.c,RawData!K300,
_xlpm.r,RawData!J300,
_xlpm.p,RawData!L300,
IF(AND(ISNUMBER(_xlpm.c),_xlpm.c&gt;=0),_xlpm.c,
   IF(AND(ISNUMBER(_xlpm.r),ISNUMBER(_xlpm.p)),
      _xlpm.r-_xlpm.p,
      ""
   )
)
)</f>
        <v>952.28</v>
      </c>
      <c r="L300" s="4">
        <f>_xlfn.LET(
_xlpm.p,RawData!L300,
_xlpm.r,RawData!J300,
_xlpm.c,RawData!K300,
IF(ISNUMBER(_xlpm.p),_xlpm.p,
IF(AND(ISNUMBER(_xlpm.r),ISNUMBER(_xlpm.c)),
_xlpm.r-_xlpm.c,
""
)
))</f>
        <v>644.1</v>
      </c>
    </row>
    <row r="301" spans="1:12" x14ac:dyDescent="0.35">
      <c r="A301" t="s">
        <v>339</v>
      </c>
      <c r="B301" s="7">
        <v>45887</v>
      </c>
      <c r="C301" t="str">
        <f>IF(RawData!C301="","Unknown",PROPER(TRIM(CLEAN(SUBSTITUTE(RawData!C301,CHAR(160)," ")))))</f>
        <v>South</v>
      </c>
      <c r="D301" t="str">
        <f>IF(RawData!D301="","Unknown",PROPER(TRIM(CLEAN(SUBSTITUTE(RawData!D301,CHAR(160)," ")))))</f>
        <v>Chennai</v>
      </c>
      <c r="E301" t="str">
        <f>IF(RawData!E301="","Unknown",PROPER(TRIM(CLEAN(SUBSTITUTE(RawData!E301,CHAR(160)," ")))))</f>
        <v>Notebook</v>
      </c>
      <c r="F301" t="str">
        <f>IF(RawData!F301="","Unknown",PROPER(TRIM(CLEAN(SUBSTITUTE(RawData!F301,CHAR(160)," ")))))</f>
        <v>Office Supplies</v>
      </c>
      <c r="G301">
        <f>_xlfn.LET(
_xlpm.q,RawData!G301,
_xlpm.u,RawData!H301,
_xlpm.d,RawData!I301,
_xlpm.r,RawData!J301,
IF(AND(ISNUMBER(_xlpm.q),_xlpm.q&gt;0),_xlpm.q,
   IF(AND(ISNUMBER(_xlpm.r),ISNUMBER(_xlpm.u),_xlpm.u&gt;0,ISNUMBER(_xlpm.d),_xlpm.d&gt;=0,_xlpm.d&lt;1),
      ROUND(_xlpm.r/(_xlpm.u*(1-_xlpm.d)),0),
      ""
   )
)
)</f>
        <v>4</v>
      </c>
      <c r="H301" s="4">
        <f>_xlfn.LET(
_xlpm.q,RawData!G301,
_xlpm.u,RawData!H301,
_xlpm.d,RawData!I301,
_xlpm.r,RawData!J301,
IF(AND(ISNUMBER(_xlpm.u),_xlpm.u&gt;0),_xlpm.u,
   IF(AND(ISNUMBER(_xlpm.q),_xlpm.q&gt;0,ISNUMBER(_xlpm.r),ISNUMBER(_xlpm.d),_xlpm.d&gt;=0,_xlpm.d&lt;1),
      _xlpm.r/(_xlpm.q*(1-_xlpm.d)),
      ""
   )
)
)</f>
        <v>7.26</v>
      </c>
      <c r="I301" s="5">
        <f>_xlfn.LET(
_xlpm.q,RawData!G301,
_xlpm.u,RawData!H301,
_xlpm.d,RawData!I301,
_xlpm.r,RawData!J301,
IF(AND(ISNUMBER(_xlpm.d),_xlpm.d&gt;=0,_xlpm.d&lt;1),_xlpm.d,
   IF(AND(ISNUMBER(_xlpm.q),_xlpm.q&gt;0,ISNUMBER(_xlpm.u),_xlpm.u&gt;0,ISNUMBER(_xlpm.r),_xlpm.r&gt;=0),
      1-(_xlpm.r/(_xlpm.q*_xlpm.u)),
      ""
   )
)
)</f>
        <v>0.05</v>
      </c>
      <c r="J301" s="4">
        <f>_xlfn.LET(
_xlpm.q,RawData!G301,
_xlpm.u,RawData!H301,
_xlpm.d,RawData!I301,
_xlpm.r,RawData!J301,
IF(AND(ISNUMBER(_xlpm.r),_xlpm.r&gt;=0),_xlpm.r,
   IF(AND(ISNUMBER(_xlpm.q),_xlpm.q&gt;0,ISNUMBER(_xlpm.u),_xlpm.u&gt;0,ISNUMBER(_xlpm.d),_xlpm.d&gt;=0,_xlpm.d&lt;1),
      _xlpm.q*_xlpm.u*(1-_xlpm.d),
      ""
   )
)
)</f>
        <v>27.59</v>
      </c>
      <c r="K301" s="4">
        <f>_xlfn.LET(
_xlpm.c,RawData!K301,
_xlpm.r,RawData!J301,
_xlpm.p,RawData!L301,
IF(AND(ISNUMBER(_xlpm.c),_xlpm.c&gt;=0),_xlpm.c,
   IF(AND(ISNUMBER(_xlpm.r),ISNUMBER(_xlpm.p)),
      _xlpm.r-_xlpm.p,
      ""
   )
)
)</f>
        <v>15.48</v>
      </c>
      <c r="L301" s="4">
        <f>_xlfn.LET(
_xlpm.p,RawData!L301,
_xlpm.r,RawData!J301,
_xlpm.c,RawData!K301,
IF(ISNUMBER(_xlpm.p),_xlpm.p,
IF(AND(ISNUMBER(_xlpm.r),ISNUMBER(_xlpm.c)),
_xlpm.r-_xlpm.c,
""
)
))</f>
        <v>12.11</v>
      </c>
    </row>
    <row r="302" spans="1:12" x14ac:dyDescent="0.35">
      <c r="A302" t="s">
        <v>340</v>
      </c>
      <c r="B302" s="7">
        <v>45757</v>
      </c>
      <c r="C302" t="str">
        <f>IF(RawData!C302="","Unknown",PROPER(TRIM(CLEAN(SUBSTITUTE(RawData!C302,CHAR(160)," ")))))</f>
        <v>East</v>
      </c>
      <c r="D302" t="str">
        <f>IF(RawData!D302="","Unknown",PROPER(TRIM(CLEAN(SUBSTITUTE(RawData!D302,CHAR(160)," ")))))</f>
        <v>Bhubaneswar</v>
      </c>
      <c r="E302" t="str">
        <f>IF(RawData!E302="","Unknown",PROPER(TRIM(CLEAN(SUBSTITUTE(RawData!E302,CHAR(160)," ")))))</f>
        <v>Backpack</v>
      </c>
      <c r="F302" t="str">
        <f>IF(RawData!F302="","Unknown",PROPER(TRIM(CLEAN(SUBSTITUTE(RawData!F302,CHAR(160)," ")))))</f>
        <v>Accessories</v>
      </c>
      <c r="G302">
        <f>_xlfn.LET(
_xlpm.q,RawData!G302,
_xlpm.u,RawData!H302,
_xlpm.d,RawData!I302,
_xlpm.r,RawData!J302,
IF(AND(ISNUMBER(_xlpm.q),_xlpm.q&gt;0),_xlpm.q,
   IF(AND(ISNUMBER(_xlpm.r),ISNUMBER(_xlpm.u),_xlpm.u&gt;0,ISNUMBER(_xlpm.d),_xlpm.d&gt;=0,_xlpm.d&lt;1),
      ROUND(_xlpm.r/(_xlpm.u*(1-_xlpm.d)),0),
      ""
   )
)
)</f>
        <v>10</v>
      </c>
      <c r="H302" s="4">
        <f>_xlfn.LET(
_xlpm.q,RawData!G302,
_xlpm.u,RawData!H302,
_xlpm.d,RawData!I302,
_xlpm.r,RawData!J302,
IF(AND(ISNUMBER(_xlpm.u),_xlpm.u&gt;0),_xlpm.u,
   IF(AND(ISNUMBER(_xlpm.q),_xlpm.q&gt;0,ISNUMBER(_xlpm.r),ISNUMBER(_xlpm.d),_xlpm.d&gt;=0,_xlpm.d&lt;1),
      _xlpm.r/(_xlpm.q*(1-_xlpm.d)),
      ""
   )
)
)</f>
        <v>40.53</v>
      </c>
      <c r="I302" s="5">
        <f>_xlfn.LET(
_xlpm.q,RawData!G302,
_xlpm.u,RawData!H302,
_xlpm.d,RawData!I302,
_xlpm.r,RawData!J302,
IF(AND(ISNUMBER(_xlpm.d),_xlpm.d&gt;=0,_xlpm.d&lt;1),_xlpm.d,
   IF(AND(ISNUMBER(_xlpm.q),_xlpm.q&gt;0,ISNUMBER(_xlpm.u),_xlpm.u&gt;0,ISNUMBER(_xlpm.r),_xlpm.r&gt;=0),
      1-(_xlpm.r/(_xlpm.q*_xlpm.u)),
      ""
   )
)
)</f>
        <v>0.1</v>
      </c>
      <c r="J302" s="4">
        <f>_xlfn.LET(
_xlpm.q,RawData!G302,
_xlpm.u,RawData!H302,
_xlpm.d,RawData!I302,
_xlpm.r,RawData!J302,
IF(AND(ISNUMBER(_xlpm.r),_xlpm.r&gt;=0),_xlpm.r,
   IF(AND(ISNUMBER(_xlpm.q),_xlpm.q&gt;0,ISNUMBER(_xlpm.u),_xlpm.u&gt;0,ISNUMBER(_xlpm.d),_xlpm.d&gt;=0,_xlpm.d&lt;1),
      _xlpm.q*_xlpm.u*(1-_xlpm.d),
      ""
   )
)
)</f>
        <v>364.77</v>
      </c>
      <c r="K302" s="4">
        <f>_xlfn.LET(
_xlpm.c,RawData!K302,
_xlpm.r,RawData!J302,
_xlpm.p,RawData!L302,
IF(AND(ISNUMBER(_xlpm.c),_xlpm.c&gt;=0),_xlpm.c,
   IF(AND(ISNUMBER(_xlpm.r),ISNUMBER(_xlpm.p)),
      _xlpm.r-_xlpm.p,
      ""
   )
)
)</f>
        <v>228.06</v>
      </c>
      <c r="L302" s="4">
        <f>_xlfn.LET(
_xlpm.p,RawData!L302,
_xlpm.r,RawData!J302,
_xlpm.c,RawData!K302,
IF(ISNUMBER(_xlpm.p),_xlpm.p,
IF(AND(ISNUMBER(_xlpm.r),ISNUMBER(_xlpm.c)),
_xlpm.r-_xlpm.c,
""
)
))</f>
        <v>136.71</v>
      </c>
    </row>
    <row r="303" spans="1:12" x14ac:dyDescent="0.35">
      <c r="A303" t="s">
        <v>341</v>
      </c>
      <c r="B303" s="7">
        <v>45802</v>
      </c>
      <c r="C303" t="str">
        <f>IF(RawData!C303="","Unknown",PROPER(TRIM(CLEAN(SUBSTITUTE(RawData!C303,CHAR(160)," ")))))</f>
        <v>West</v>
      </c>
      <c r="D303" t="str">
        <f>IF(RawData!D303="","Unknown",PROPER(TRIM(CLEAN(SUBSTITUTE(RawData!D303,CHAR(160)," ")))))</f>
        <v>Mumbai</v>
      </c>
      <c r="E303" t="str">
        <f>IF(RawData!E303="","Unknown",PROPER(TRIM(CLEAN(SUBSTITUTE(RawData!E303,CHAR(160)," ")))))</f>
        <v>Notebook</v>
      </c>
      <c r="F303" t="str">
        <f>IF(RawData!F303="","Unknown",PROPER(TRIM(CLEAN(SUBSTITUTE(RawData!F303,CHAR(160)," ")))))</f>
        <v>Office Supplies</v>
      </c>
      <c r="G303">
        <f>_xlfn.LET(
_xlpm.q,RawData!G303,
_xlpm.u,RawData!H303,
_xlpm.d,RawData!I303,
_xlpm.r,RawData!J303,
IF(AND(ISNUMBER(_xlpm.q),_xlpm.q&gt;0),_xlpm.q,
   IF(AND(ISNUMBER(_xlpm.r),ISNUMBER(_xlpm.u),_xlpm.u&gt;0,ISNUMBER(_xlpm.d),_xlpm.d&gt;=0,_xlpm.d&lt;1),
      ROUND(_xlpm.r/(_xlpm.u*(1-_xlpm.d)),0),
      ""
   )
)
)</f>
        <v>9</v>
      </c>
      <c r="H303" s="4">
        <f>_xlfn.LET(
_xlpm.q,RawData!G303,
_xlpm.u,RawData!H303,
_xlpm.d,RawData!I303,
_xlpm.r,RawData!J303,
IF(AND(ISNUMBER(_xlpm.u),_xlpm.u&gt;0),_xlpm.u,
   IF(AND(ISNUMBER(_xlpm.q),_xlpm.q&gt;0,ISNUMBER(_xlpm.r),ISNUMBER(_xlpm.d),_xlpm.d&gt;=0,_xlpm.d&lt;1),
      _xlpm.r/(_xlpm.q*(1-_xlpm.d)),
      ""
   )
)
)</f>
        <v>7.22</v>
      </c>
      <c r="I303" s="5">
        <f>_xlfn.LET(
_xlpm.q,RawData!G303,
_xlpm.u,RawData!H303,
_xlpm.d,RawData!I303,
_xlpm.r,RawData!J303,
IF(AND(ISNUMBER(_xlpm.d),_xlpm.d&gt;=0,_xlpm.d&lt;1),_xlpm.d,
   IF(AND(ISNUMBER(_xlpm.q),_xlpm.q&gt;0,ISNUMBER(_xlpm.u),_xlpm.u&gt;0,ISNUMBER(_xlpm.r),_xlpm.r&gt;=0),
      1-(_xlpm.r/(_xlpm.q*_xlpm.u)),
      ""
   )
)
)</f>
        <v>0.1</v>
      </c>
      <c r="J303" s="4">
        <f>_xlfn.LET(
_xlpm.q,RawData!G303,
_xlpm.u,RawData!H303,
_xlpm.d,RawData!I303,
_xlpm.r,RawData!J303,
IF(AND(ISNUMBER(_xlpm.r),_xlpm.r&gt;=0),_xlpm.r,
   IF(AND(ISNUMBER(_xlpm.q),_xlpm.q&gt;0,ISNUMBER(_xlpm.u),_xlpm.u&gt;0,ISNUMBER(_xlpm.d),_xlpm.d&gt;=0,_xlpm.d&lt;1),
      _xlpm.q*_xlpm.u*(1-_xlpm.d),
      ""
   )
)
)</f>
        <v>58.48</v>
      </c>
      <c r="K303" s="4">
        <f>_xlfn.LET(
_xlpm.c,RawData!K303,
_xlpm.r,RawData!J303,
_xlpm.p,RawData!L303,
IF(AND(ISNUMBER(_xlpm.c),_xlpm.c&gt;=0),_xlpm.c,
   IF(AND(ISNUMBER(_xlpm.r),ISNUMBER(_xlpm.p)),
      _xlpm.r-_xlpm.p,
      ""
   )
)
)</f>
        <v>33.56</v>
      </c>
      <c r="L303" s="4">
        <f>_xlfn.LET(
_xlpm.p,RawData!L303,
_xlpm.r,RawData!J303,
_xlpm.c,RawData!K303,
IF(ISNUMBER(_xlpm.p),_xlpm.p,
IF(AND(ISNUMBER(_xlpm.r),ISNUMBER(_xlpm.c)),
_xlpm.r-_xlpm.c,
""
)
))</f>
        <v>24.92</v>
      </c>
    </row>
    <row r="304" spans="1:12" x14ac:dyDescent="0.35">
      <c r="A304" t="s">
        <v>342</v>
      </c>
      <c r="B304" s="7">
        <v>45760</v>
      </c>
      <c r="C304" t="str">
        <f>IF(RawData!C304="","Unknown",PROPER(TRIM(CLEAN(SUBSTITUTE(RawData!C304,CHAR(160)," ")))))</f>
        <v>South</v>
      </c>
      <c r="D304" t="str">
        <f>IF(RawData!D304="","Unknown",PROPER(TRIM(CLEAN(SUBSTITUTE(RawData!D304,CHAR(160)," ")))))</f>
        <v>Chennai</v>
      </c>
      <c r="E304" t="str">
        <f>IF(RawData!E304="","Unknown",PROPER(TRIM(CLEAN(SUBSTITUTE(RawData!E304,CHAR(160)," ")))))</f>
        <v>Office Chair</v>
      </c>
      <c r="F304" t="str">
        <f>IF(RawData!F304="","Unknown",PROPER(TRIM(CLEAN(SUBSTITUTE(RawData!F304,CHAR(160)," ")))))</f>
        <v>Furniture</v>
      </c>
      <c r="G304">
        <f>_xlfn.LET(
_xlpm.q,RawData!G304,
_xlpm.u,RawData!H304,
_xlpm.d,RawData!I304,
_xlpm.r,RawData!J304,
IF(AND(ISNUMBER(_xlpm.q),_xlpm.q&gt;0),_xlpm.q,
   IF(AND(ISNUMBER(_xlpm.r),ISNUMBER(_xlpm.u),_xlpm.u&gt;0,ISNUMBER(_xlpm.d),_xlpm.d&gt;=0,_xlpm.d&lt;1),
      ROUND(_xlpm.r/(_xlpm.u*(1-_xlpm.d)),0),
      ""
   )
)
)</f>
        <v>1</v>
      </c>
      <c r="H304" s="4">
        <f>_xlfn.LET(
_xlpm.q,RawData!G304,
_xlpm.u,RawData!H304,
_xlpm.d,RawData!I304,
_xlpm.r,RawData!J304,
IF(AND(ISNUMBER(_xlpm.u),_xlpm.u&gt;0),_xlpm.u,
   IF(AND(ISNUMBER(_xlpm.q),_xlpm.q&gt;0,ISNUMBER(_xlpm.r),ISNUMBER(_xlpm.d),_xlpm.d&gt;=0,_xlpm.d&lt;1),
      _xlpm.r/(_xlpm.q*(1-_xlpm.d)),
      ""
   )
)
)</f>
        <v>159.51</v>
      </c>
      <c r="I304" s="5">
        <f>_xlfn.LET(
_xlpm.q,RawData!G304,
_xlpm.u,RawData!H304,
_xlpm.d,RawData!I304,
_xlpm.r,RawData!J304,
IF(AND(ISNUMBER(_xlpm.d),_xlpm.d&gt;=0,_xlpm.d&lt;1),_xlpm.d,
   IF(AND(ISNUMBER(_xlpm.q),_xlpm.q&gt;0,ISNUMBER(_xlpm.u),_xlpm.u&gt;0,ISNUMBER(_xlpm.r),_xlpm.r&gt;=0),
      1-(_xlpm.r/(_xlpm.q*_xlpm.u)),
      ""
   )
)
)</f>
        <v>0.2</v>
      </c>
      <c r="J304" s="4">
        <f>_xlfn.LET(
_xlpm.q,RawData!G304,
_xlpm.u,RawData!H304,
_xlpm.d,RawData!I304,
_xlpm.r,RawData!J304,
IF(AND(ISNUMBER(_xlpm.r),_xlpm.r&gt;=0),_xlpm.r,
   IF(AND(ISNUMBER(_xlpm.q),_xlpm.q&gt;0,ISNUMBER(_xlpm.u),_xlpm.u&gt;0,ISNUMBER(_xlpm.d),_xlpm.d&gt;=0,_xlpm.d&lt;1),
      _xlpm.q*_xlpm.u*(1-_xlpm.d),
      ""
   )
)
)</f>
        <v>127.61</v>
      </c>
      <c r="K304" s="4">
        <f>_xlfn.LET(
_xlpm.c,RawData!K304,
_xlpm.r,RawData!J304,
_xlpm.p,RawData!L304,
IF(AND(ISNUMBER(_xlpm.c),_xlpm.c&gt;=0),_xlpm.c,
   IF(AND(ISNUMBER(_xlpm.r),ISNUMBER(_xlpm.p)),
      _xlpm.r-_xlpm.p,
      ""
   )
)
)</f>
        <v>86.06</v>
      </c>
      <c r="L304" s="4">
        <f>_xlfn.LET(
_xlpm.p,RawData!L304,
_xlpm.r,RawData!J304,
_xlpm.c,RawData!K304,
IF(ISNUMBER(_xlpm.p),_xlpm.p,
IF(AND(ISNUMBER(_xlpm.r),ISNUMBER(_xlpm.c)),
_xlpm.r-_xlpm.c,
""
)
))</f>
        <v>41.55</v>
      </c>
    </row>
    <row r="305" spans="1:12" x14ac:dyDescent="0.35">
      <c r="A305" t="s">
        <v>343</v>
      </c>
      <c r="B305" s="7">
        <v>45848</v>
      </c>
      <c r="C305" t="str">
        <f>IF(RawData!C305="","Unknown",PROPER(TRIM(CLEAN(SUBSTITUTE(RawData!C305,CHAR(160)," ")))))</f>
        <v>North</v>
      </c>
      <c r="D305" t="str">
        <f>IF(RawData!D305="","Unknown",PROPER(TRIM(CLEAN(SUBSTITUTE(RawData!D305,CHAR(160)," ")))))</f>
        <v>Jaipur</v>
      </c>
      <c r="E305" t="str">
        <f>IF(RawData!E305="","Unknown",PROPER(TRIM(CLEAN(SUBSTITUTE(RawData!E305,CHAR(160)," ")))))</f>
        <v>Keyboard</v>
      </c>
      <c r="F305" t="str">
        <f>IF(RawData!F305="","Unknown",PROPER(TRIM(CLEAN(SUBSTITUTE(RawData!F305,CHAR(160)," ")))))</f>
        <v>Accessories</v>
      </c>
      <c r="G305">
        <f>_xlfn.LET(
_xlpm.q,RawData!G305,
_xlpm.u,RawData!H305,
_xlpm.d,RawData!I305,
_xlpm.r,RawData!J305,
IF(AND(ISNUMBER(_xlpm.q),_xlpm.q&gt;0),_xlpm.q,
   IF(AND(ISNUMBER(_xlpm.r),ISNUMBER(_xlpm.u),_xlpm.u&gt;0,ISNUMBER(_xlpm.d),_xlpm.d&gt;=0,_xlpm.d&lt;1),
      ROUND(_xlpm.r/(_xlpm.u*(1-_xlpm.d)),0),
      ""
   )
)
)</f>
        <v>9</v>
      </c>
      <c r="H305" s="4">
        <f>_xlfn.LET(
_xlpm.q,RawData!G305,
_xlpm.u,RawData!H305,
_xlpm.d,RawData!I305,
_xlpm.r,RawData!J305,
IF(AND(ISNUMBER(_xlpm.u),_xlpm.u&gt;0),_xlpm.u,
   IF(AND(ISNUMBER(_xlpm.q),_xlpm.q&gt;0,ISNUMBER(_xlpm.r),ISNUMBER(_xlpm.d),_xlpm.d&gt;=0,_xlpm.d&lt;1),
      _xlpm.r/(_xlpm.q*(1-_xlpm.d)),
      ""
   )
)
)</f>
        <v>31.92</v>
      </c>
      <c r="I305" s="5">
        <f>_xlfn.LET(
_xlpm.q,RawData!G305,
_xlpm.u,RawData!H305,
_xlpm.d,RawData!I305,
_xlpm.r,RawData!J305,
IF(AND(ISNUMBER(_xlpm.d),_xlpm.d&gt;=0,_xlpm.d&lt;1),_xlpm.d,
   IF(AND(ISNUMBER(_xlpm.q),_xlpm.q&gt;0,ISNUMBER(_xlpm.u),_xlpm.u&gt;0,ISNUMBER(_xlpm.r),_xlpm.r&gt;=0),
      1-(_xlpm.r/(_xlpm.q*_xlpm.u)),
      ""
   )
)
)</f>
        <v>0</v>
      </c>
      <c r="J305" s="4">
        <f>_xlfn.LET(
_xlpm.q,RawData!G305,
_xlpm.u,RawData!H305,
_xlpm.d,RawData!I305,
_xlpm.r,RawData!J305,
IF(AND(ISNUMBER(_xlpm.r),_xlpm.r&gt;=0),_xlpm.r,
   IF(AND(ISNUMBER(_xlpm.q),_xlpm.q&gt;0,ISNUMBER(_xlpm.u),_xlpm.u&gt;0,ISNUMBER(_xlpm.d),_xlpm.d&gt;=0,_xlpm.d&lt;1),
      _xlpm.q*_xlpm.u*(1-_xlpm.d),
      ""
   )
)
)</f>
        <v>287.27999999999997</v>
      </c>
      <c r="K305" s="4">
        <f>_xlfn.LET(
_xlpm.c,RawData!K305,
_xlpm.r,RawData!J305,
_xlpm.p,RawData!L305,
IF(AND(ISNUMBER(_xlpm.c),_xlpm.c&gt;=0),_xlpm.c,
   IF(AND(ISNUMBER(_xlpm.r),ISNUMBER(_xlpm.p)),
      _xlpm.r-_xlpm.p,
      ""
   )
)
)</f>
        <v>186.26</v>
      </c>
      <c r="L305" s="4">
        <f>_xlfn.LET(
_xlpm.p,RawData!L305,
_xlpm.r,RawData!J305,
_xlpm.c,RawData!K305,
IF(ISNUMBER(_xlpm.p),_xlpm.p,
IF(AND(ISNUMBER(_xlpm.r),ISNUMBER(_xlpm.c)),
_xlpm.r-_xlpm.c,
""
)
))</f>
        <v>101.02</v>
      </c>
    </row>
    <row r="306" spans="1:12" x14ac:dyDescent="0.35">
      <c r="A306" t="s">
        <v>344</v>
      </c>
      <c r="B306" s="7">
        <v>45700</v>
      </c>
      <c r="C306" t="str">
        <f>IF(RawData!C306="","Unknown",PROPER(TRIM(CLEAN(SUBSTITUTE(RawData!C306,CHAR(160)," ")))))</f>
        <v>South</v>
      </c>
      <c r="D306" t="str">
        <f>IF(RawData!D306="","Unknown",PROPER(TRIM(CLEAN(SUBSTITUTE(RawData!D306,CHAR(160)," ")))))</f>
        <v>Hyderabad</v>
      </c>
      <c r="E306" t="str">
        <f>IF(RawData!E306="","Unknown",PROPER(TRIM(CLEAN(SUBSTITUTE(RawData!E306,CHAR(160)," ")))))</f>
        <v>Office Chair</v>
      </c>
      <c r="F306" t="str">
        <f>IF(RawData!F306="","Unknown",PROPER(TRIM(CLEAN(SUBSTITUTE(RawData!F306,CHAR(160)," ")))))</f>
        <v>Furniture</v>
      </c>
      <c r="G306">
        <f>_xlfn.LET(
_xlpm.q,RawData!G306,
_xlpm.u,RawData!H306,
_xlpm.d,RawData!I306,
_xlpm.r,RawData!J306,
IF(AND(ISNUMBER(_xlpm.q),_xlpm.q&gt;0),_xlpm.q,
   IF(AND(ISNUMBER(_xlpm.r),ISNUMBER(_xlpm.u),_xlpm.u&gt;0,ISNUMBER(_xlpm.d),_xlpm.d&gt;=0,_xlpm.d&lt;1),
      ROUND(_xlpm.r/(_xlpm.u*(1-_xlpm.d)),0),
      ""
   )
)
)</f>
        <v>8</v>
      </c>
      <c r="H306" s="4">
        <f>_xlfn.LET(
_xlpm.q,RawData!G306,
_xlpm.u,RawData!H306,
_xlpm.d,RawData!I306,
_xlpm.r,RawData!J306,
IF(AND(ISNUMBER(_xlpm.u),_xlpm.u&gt;0),_xlpm.u,
   IF(AND(ISNUMBER(_xlpm.q),_xlpm.q&gt;0,ISNUMBER(_xlpm.r),ISNUMBER(_xlpm.d),_xlpm.d&gt;=0,_xlpm.d&lt;1),
      _xlpm.r/(_xlpm.q*(1-_xlpm.d)),
      ""
   )
)
)</f>
        <v>180.18</v>
      </c>
      <c r="I306" s="5">
        <f>_xlfn.LET(
_xlpm.q,RawData!G306,
_xlpm.u,RawData!H306,
_xlpm.d,RawData!I306,
_xlpm.r,RawData!J306,
IF(AND(ISNUMBER(_xlpm.d),_xlpm.d&gt;=0,_xlpm.d&lt;1),_xlpm.d,
   IF(AND(ISNUMBER(_xlpm.q),_xlpm.q&gt;0,ISNUMBER(_xlpm.u),_xlpm.u&gt;0,ISNUMBER(_xlpm.r),_xlpm.r&gt;=0),
      1-(_xlpm.r/(_xlpm.q*_xlpm.u)),
      ""
   )
)
)</f>
        <v>0.15</v>
      </c>
      <c r="J306" s="4">
        <f>_xlfn.LET(
_xlpm.q,RawData!G306,
_xlpm.u,RawData!H306,
_xlpm.d,RawData!I306,
_xlpm.r,RawData!J306,
IF(AND(ISNUMBER(_xlpm.r),_xlpm.r&gt;=0),_xlpm.r,
   IF(AND(ISNUMBER(_xlpm.q),_xlpm.q&gt;0,ISNUMBER(_xlpm.u),_xlpm.u&gt;0,ISNUMBER(_xlpm.d),_xlpm.d&gt;=0,_xlpm.d&lt;1),
      _xlpm.q*_xlpm.u*(1-_xlpm.d),
      ""
   )
)
)</f>
        <v>1225.22</v>
      </c>
      <c r="K306" s="4">
        <f>_xlfn.LET(
_xlpm.c,RawData!K306,
_xlpm.r,RawData!J306,
_xlpm.p,RawData!L306,
IF(AND(ISNUMBER(_xlpm.c),_xlpm.c&gt;=0),_xlpm.c,
   IF(AND(ISNUMBER(_xlpm.r),ISNUMBER(_xlpm.p)),
      _xlpm.r-_xlpm.p,
      ""
   )
)
)</f>
        <v>902.26</v>
      </c>
      <c r="L306" s="4">
        <f>_xlfn.LET(
_xlpm.p,RawData!L306,
_xlpm.r,RawData!J306,
_xlpm.c,RawData!K306,
IF(ISNUMBER(_xlpm.p),_xlpm.p,
IF(AND(ISNUMBER(_xlpm.r),ISNUMBER(_xlpm.c)),
_xlpm.r-_xlpm.c,
""
)
))</f>
        <v>322.95999999999998</v>
      </c>
    </row>
    <row r="307" spans="1:12" x14ac:dyDescent="0.35">
      <c r="A307" t="s">
        <v>345</v>
      </c>
      <c r="B307" s="7">
        <v>45881</v>
      </c>
      <c r="C307" t="str">
        <f>IF(RawData!C307="","Unknown",PROPER(TRIM(CLEAN(SUBSTITUTE(RawData!C307,CHAR(160)," ")))))</f>
        <v>North</v>
      </c>
      <c r="D307" t="str">
        <f>IF(RawData!D307="","Unknown",PROPER(TRIM(CLEAN(SUBSTITUTE(RawData!D307,CHAR(160)," ")))))</f>
        <v>Delhi</v>
      </c>
      <c r="E307" t="str">
        <f>IF(RawData!E307="","Unknown",PROPER(TRIM(CLEAN(SUBSTITUTE(RawData!E307,CHAR(160)," ")))))</f>
        <v>Monitor</v>
      </c>
      <c r="F307" t="str">
        <f>IF(RawData!F307="","Unknown",PROPER(TRIM(CLEAN(SUBSTITUTE(RawData!F307,CHAR(160)," ")))))</f>
        <v>Electronics</v>
      </c>
      <c r="G307">
        <f>_xlfn.LET(
_xlpm.q,RawData!G307,
_xlpm.u,RawData!H307,
_xlpm.d,RawData!I307,
_xlpm.r,RawData!J307,
IF(AND(ISNUMBER(_xlpm.q),_xlpm.q&gt;0),_xlpm.q,
   IF(AND(ISNUMBER(_xlpm.r),ISNUMBER(_xlpm.u),_xlpm.u&gt;0,ISNUMBER(_xlpm.d),_xlpm.d&gt;=0,_xlpm.d&lt;1),
      ROUND(_xlpm.r/(_xlpm.u*(1-_xlpm.d)),0),
      ""
   )
)
)</f>
        <v>8</v>
      </c>
      <c r="H307" s="4">
        <f>_xlfn.LET(
_xlpm.q,RawData!G307,
_xlpm.u,RawData!H307,
_xlpm.d,RawData!I307,
_xlpm.r,RawData!J307,
IF(AND(ISNUMBER(_xlpm.u),_xlpm.u&gt;0),_xlpm.u,
   IF(AND(ISNUMBER(_xlpm.q),_xlpm.q&gt;0,ISNUMBER(_xlpm.r),ISNUMBER(_xlpm.d),_xlpm.d&gt;=0,_xlpm.d&lt;1),
      _xlpm.r/(_xlpm.q*(1-_xlpm.d)),
      ""
   )
)
)</f>
        <v>189.59</v>
      </c>
      <c r="I307" s="5">
        <f>_xlfn.LET(
_xlpm.q,RawData!G307,
_xlpm.u,RawData!H307,
_xlpm.d,RawData!I307,
_xlpm.r,RawData!J307,
IF(AND(ISNUMBER(_xlpm.d),_xlpm.d&gt;=0,_xlpm.d&lt;1),_xlpm.d,
   IF(AND(ISNUMBER(_xlpm.q),_xlpm.q&gt;0,ISNUMBER(_xlpm.u),_xlpm.u&gt;0,ISNUMBER(_xlpm.r),_xlpm.r&gt;=0),
      1-(_xlpm.r/(_xlpm.q*_xlpm.u)),
      ""
   )
)
)</f>
        <v>0.05</v>
      </c>
      <c r="J307" s="4">
        <f>_xlfn.LET(
_xlpm.q,RawData!G307,
_xlpm.u,RawData!H307,
_xlpm.d,RawData!I307,
_xlpm.r,RawData!J307,
IF(AND(ISNUMBER(_xlpm.r),_xlpm.r&gt;=0),_xlpm.r,
   IF(AND(ISNUMBER(_xlpm.q),_xlpm.q&gt;0,ISNUMBER(_xlpm.u),_xlpm.u&gt;0,ISNUMBER(_xlpm.d),_xlpm.d&gt;=0,_xlpm.d&lt;1),
      _xlpm.q*_xlpm.u*(1-_xlpm.d),
      ""
   )
)
)</f>
        <v>1440.88</v>
      </c>
      <c r="K307" s="4">
        <f>_xlfn.LET(
_xlpm.c,RawData!K307,
_xlpm.r,RawData!J307,
_xlpm.p,RawData!L307,
IF(AND(ISNUMBER(_xlpm.c),_xlpm.c&gt;=0),_xlpm.c,
   IF(AND(ISNUMBER(_xlpm.r),ISNUMBER(_xlpm.p)),
      _xlpm.r-_xlpm.p,
      ""
   )
)
)</f>
        <v>1103.48</v>
      </c>
      <c r="L307" s="4">
        <f>_xlfn.LET(
_xlpm.p,RawData!L307,
_xlpm.r,RawData!J307,
_xlpm.c,RawData!K307,
IF(ISNUMBER(_xlpm.p),_xlpm.p,
IF(AND(ISNUMBER(_xlpm.r),ISNUMBER(_xlpm.c)),
_xlpm.r-_xlpm.c,
""
)
))</f>
        <v>337.4</v>
      </c>
    </row>
    <row r="308" spans="1:12" x14ac:dyDescent="0.35">
      <c r="A308" t="s">
        <v>346</v>
      </c>
      <c r="B308" s="7">
        <v>45870</v>
      </c>
      <c r="C308" t="str">
        <f>IF(RawData!C308="","Unknown",PROPER(TRIM(CLEAN(SUBSTITUTE(RawData!C308,CHAR(160)," ")))))</f>
        <v>North</v>
      </c>
      <c r="D308" t="str">
        <f>IF(RawData!D308="","Unknown",PROPER(TRIM(CLEAN(SUBSTITUTE(RawData!D308,CHAR(160)," ")))))</f>
        <v>Delhi</v>
      </c>
      <c r="E308" t="str">
        <f>IF(RawData!E308="","Unknown",PROPER(TRIM(CLEAN(SUBSTITUTE(RawData!E308,CHAR(160)," ")))))</f>
        <v>Bookshelf</v>
      </c>
      <c r="F308" t="str">
        <f>IF(RawData!F308="","Unknown",PROPER(TRIM(CLEAN(SUBSTITUTE(RawData!F308,CHAR(160)," ")))))</f>
        <v>Furniture</v>
      </c>
      <c r="G308">
        <f>_xlfn.LET(
_xlpm.q,RawData!G308,
_xlpm.u,RawData!H308,
_xlpm.d,RawData!I308,
_xlpm.r,RawData!J308,
IF(AND(ISNUMBER(_xlpm.q),_xlpm.q&gt;0),_xlpm.q,
   IF(AND(ISNUMBER(_xlpm.r),ISNUMBER(_xlpm.u),_xlpm.u&gt;0,ISNUMBER(_xlpm.d),_xlpm.d&gt;=0,_xlpm.d&lt;1),
      ROUND(_xlpm.r/(_xlpm.u*(1-_xlpm.d)),0),
      ""
   )
)
)</f>
        <v>9</v>
      </c>
      <c r="H308" s="4">
        <f>_xlfn.LET(
_xlpm.q,RawData!G308,
_xlpm.u,RawData!H308,
_xlpm.d,RawData!I308,
_xlpm.r,RawData!J308,
IF(AND(ISNUMBER(_xlpm.u),_xlpm.u&gt;0),_xlpm.u,
   IF(AND(ISNUMBER(_xlpm.q),_xlpm.q&gt;0,ISNUMBER(_xlpm.r),ISNUMBER(_xlpm.d),_xlpm.d&gt;=0,_xlpm.d&lt;1),
      _xlpm.r/(_xlpm.q*(1-_xlpm.d)),
      ""
   )
)
)</f>
        <v>145.37</v>
      </c>
      <c r="I308" s="5">
        <f>_xlfn.LET(
_xlpm.q,RawData!G308,
_xlpm.u,RawData!H308,
_xlpm.d,RawData!I308,
_xlpm.r,RawData!J308,
IF(AND(ISNUMBER(_xlpm.d),_xlpm.d&gt;=0,_xlpm.d&lt;1),_xlpm.d,
   IF(AND(ISNUMBER(_xlpm.q),_xlpm.q&gt;0,ISNUMBER(_xlpm.u),_xlpm.u&gt;0,ISNUMBER(_xlpm.r),_xlpm.r&gt;=0),
      1-(_xlpm.r/(_xlpm.q*_xlpm.u)),
      ""
   )
)
)</f>
        <v>0.05</v>
      </c>
      <c r="J308" s="4">
        <f>_xlfn.LET(
_xlpm.q,RawData!G308,
_xlpm.u,RawData!H308,
_xlpm.d,RawData!I308,
_xlpm.r,RawData!J308,
IF(AND(ISNUMBER(_xlpm.r),_xlpm.r&gt;=0),_xlpm.r,
   IF(AND(ISNUMBER(_xlpm.q),_xlpm.q&gt;0,ISNUMBER(_xlpm.u),_xlpm.u&gt;0,ISNUMBER(_xlpm.d),_xlpm.d&gt;=0,_xlpm.d&lt;1),
      _xlpm.q*_xlpm.u*(1-_xlpm.d),
      ""
   )
)
)</f>
        <v>1242.9100000000001</v>
      </c>
      <c r="K308" s="4">
        <f>_xlfn.LET(
_xlpm.c,RawData!K308,
_xlpm.r,RawData!J308,
_xlpm.p,RawData!L308,
IF(AND(ISNUMBER(_xlpm.c),_xlpm.c&gt;=0),_xlpm.c,
   IF(AND(ISNUMBER(_xlpm.r),ISNUMBER(_xlpm.p)),
      _xlpm.r-_xlpm.p,
      ""
   )
)
)</f>
        <v>711.04</v>
      </c>
      <c r="L308" s="4">
        <f>_xlfn.LET(
_xlpm.p,RawData!L308,
_xlpm.r,RawData!J308,
_xlpm.c,RawData!K308,
IF(ISNUMBER(_xlpm.p),_xlpm.p,
IF(AND(ISNUMBER(_xlpm.r),ISNUMBER(_xlpm.c)),
_xlpm.r-_xlpm.c,
""
)
))</f>
        <v>531.87</v>
      </c>
    </row>
    <row r="309" spans="1:12" x14ac:dyDescent="0.35">
      <c r="A309" t="s">
        <v>347</v>
      </c>
      <c r="B309" s="7">
        <v>45855</v>
      </c>
      <c r="C309" t="str">
        <f>IF(RawData!C309="","Unknown",PROPER(TRIM(CLEAN(SUBSTITUTE(RawData!C309,CHAR(160)," ")))))</f>
        <v>North</v>
      </c>
      <c r="D309" t="str">
        <f>IF(RawData!D309="","Unknown",PROPER(TRIM(CLEAN(SUBSTITUTE(RawData!D309,CHAR(160)," ")))))</f>
        <v>Jaipur</v>
      </c>
      <c r="E309" t="str">
        <f>IF(RawData!E309="","Unknown",PROPER(TRIM(CLEAN(SUBSTITUTE(RawData!E309,CHAR(160)," ")))))</f>
        <v>Desk</v>
      </c>
      <c r="F309" t="str">
        <f>IF(RawData!F309="","Unknown",PROPER(TRIM(CLEAN(SUBSTITUTE(RawData!F309,CHAR(160)," ")))))</f>
        <v>Furniture</v>
      </c>
      <c r="G309">
        <f>_xlfn.LET(
_xlpm.q,RawData!G309,
_xlpm.u,RawData!H309,
_xlpm.d,RawData!I309,
_xlpm.r,RawData!J309,
IF(AND(ISNUMBER(_xlpm.q),_xlpm.q&gt;0),_xlpm.q,
   IF(AND(ISNUMBER(_xlpm.r),ISNUMBER(_xlpm.u),_xlpm.u&gt;0,ISNUMBER(_xlpm.d),_xlpm.d&gt;=0,_xlpm.d&lt;1),
      ROUND(_xlpm.r/(_xlpm.u*(1-_xlpm.d)),0),
      ""
   )
)
)</f>
        <v>4</v>
      </c>
      <c r="H309" s="4">
        <f>_xlfn.LET(
_xlpm.q,RawData!G309,
_xlpm.u,RawData!H309,
_xlpm.d,RawData!I309,
_xlpm.r,RawData!J309,
IF(AND(ISNUMBER(_xlpm.u),_xlpm.u&gt;0),_xlpm.u,
   IF(AND(ISNUMBER(_xlpm.q),_xlpm.q&gt;0,ISNUMBER(_xlpm.r),ISNUMBER(_xlpm.d),_xlpm.d&gt;=0,_xlpm.d&lt;1),
      _xlpm.r/(_xlpm.q*(1-_xlpm.d)),
      ""
   )
)
)</f>
        <v>278.02</v>
      </c>
      <c r="I309" s="5">
        <f>_xlfn.LET(
_xlpm.q,RawData!G309,
_xlpm.u,RawData!H309,
_xlpm.d,RawData!I309,
_xlpm.r,RawData!J309,
IF(AND(ISNUMBER(_xlpm.d),_xlpm.d&gt;=0,_xlpm.d&lt;1),_xlpm.d,
   IF(AND(ISNUMBER(_xlpm.q),_xlpm.q&gt;0,ISNUMBER(_xlpm.u),_xlpm.u&gt;0,ISNUMBER(_xlpm.r),_xlpm.r&gt;=0),
      1-(_xlpm.r/(_xlpm.q*_xlpm.u)),
      ""
   )
)
)</f>
        <v>0</v>
      </c>
      <c r="J309" s="4">
        <f>_xlfn.LET(
_xlpm.q,RawData!G309,
_xlpm.u,RawData!H309,
_xlpm.d,RawData!I309,
_xlpm.r,RawData!J309,
IF(AND(ISNUMBER(_xlpm.r),_xlpm.r&gt;=0),_xlpm.r,
   IF(AND(ISNUMBER(_xlpm.q),_xlpm.q&gt;0,ISNUMBER(_xlpm.u),_xlpm.u&gt;0,ISNUMBER(_xlpm.d),_xlpm.d&gt;=0,_xlpm.d&lt;1),
      _xlpm.q*_xlpm.u*(1-_xlpm.d),
      ""
   )
)
)</f>
        <v>1112.08</v>
      </c>
      <c r="K309" s="4">
        <f>_xlfn.LET(
_xlpm.c,RawData!K309,
_xlpm.r,RawData!J309,
_xlpm.p,RawData!L309,
IF(AND(ISNUMBER(_xlpm.c),_xlpm.c&gt;=0),_xlpm.c,
   IF(AND(ISNUMBER(_xlpm.r),ISNUMBER(_xlpm.p)),
      _xlpm.r-_xlpm.p,
      ""
   )
)
)</f>
        <v>888.15</v>
      </c>
      <c r="L309" s="4">
        <f>_xlfn.LET(
_xlpm.p,RawData!L309,
_xlpm.r,RawData!J309,
_xlpm.c,RawData!K309,
IF(ISNUMBER(_xlpm.p),_xlpm.p,
IF(AND(ISNUMBER(_xlpm.r),ISNUMBER(_xlpm.c)),
_xlpm.r-_xlpm.c,
""
)
))</f>
        <v>223.93</v>
      </c>
    </row>
    <row r="310" spans="1:12" x14ac:dyDescent="0.35">
      <c r="A310" t="s">
        <v>348</v>
      </c>
      <c r="B310" s="7">
        <v>45708</v>
      </c>
      <c r="C310" t="str">
        <f>IF(RawData!C310="","Unknown",PROPER(TRIM(CLEAN(SUBSTITUTE(RawData!C310,CHAR(160)," ")))))</f>
        <v>East</v>
      </c>
      <c r="D310" t="str">
        <f>IF(RawData!D310="","Unknown",PROPER(TRIM(CLEAN(SUBSTITUTE(RawData!D310,CHAR(160)," ")))))</f>
        <v>Bhubaneswar</v>
      </c>
      <c r="E310" t="str">
        <f>IF(RawData!E310="","Unknown",PROPER(TRIM(CLEAN(SUBSTITUTE(RawData!E310,CHAR(160)," ")))))</f>
        <v>Headphones</v>
      </c>
      <c r="F310" t="str">
        <f>IF(RawData!F310="","Unknown",PROPER(TRIM(CLEAN(SUBSTITUTE(RawData!F310,CHAR(160)," ")))))</f>
        <v>Electronics</v>
      </c>
      <c r="G310">
        <f>_xlfn.LET(
_xlpm.q,RawData!G310,
_xlpm.u,RawData!H310,
_xlpm.d,RawData!I310,
_xlpm.r,RawData!J310,
IF(AND(ISNUMBER(_xlpm.q),_xlpm.q&gt;0),_xlpm.q,
   IF(AND(ISNUMBER(_xlpm.r),ISNUMBER(_xlpm.u),_xlpm.u&gt;0,ISNUMBER(_xlpm.d),_xlpm.d&gt;=0,_xlpm.d&lt;1),
      ROUND(_xlpm.r/(_xlpm.u*(1-_xlpm.d)),0),
      ""
   )
)
)</f>
        <v>3</v>
      </c>
      <c r="H310" s="4">
        <f>_xlfn.LET(
_xlpm.q,RawData!G310,
_xlpm.u,RawData!H310,
_xlpm.d,RawData!I310,
_xlpm.r,RawData!J310,
IF(AND(ISNUMBER(_xlpm.u),_xlpm.u&gt;0),_xlpm.u,
   IF(AND(ISNUMBER(_xlpm.q),_xlpm.q&gt;0,ISNUMBER(_xlpm.r),ISNUMBER(_xlpm.d),_xlpm.d&gt;=0,_xlpm.d&lt;1),
      _xlpm.r/(_xlpm.q*(1-_xlpm.d)),
      ""
   )
)
)</f>
        <v>69.47</v>
      </c>
      <c r="I310" s="5">
        <f>_xlfn.LET(
_xlpm.q,RawData!G310,
_xlpm.u,RawData!H310,
_xlpm.d,RawData!I310,
_xlpm.r,RawData!J310,
IF(AND(ISNUMBER(_xlpm.d),_xlpm.d&gt;=0,_xlpm.d&lt;1),_xlpm.d,
   IF(AND(ISNUMBER(_xlpm.q),_xlpm.q&gt;0,ISNUMBER(_xlpm.u),_xlpm.u&gt;0,ISNUMBER(_xlpm.r),_xlpm.r&gt;=0),
      1-(_xlpm.r/(_xlpm.q*_xlpm.u)),
      ""
   )
)
)</f>
        <v>0</v>
      </c>
      <c r="J310" s="4">
        <f>_xlfn.LET(
_xlpm.q,RawData!G310,
_xlpm.u,RawData!H310,
_xlpm.d,RawData!I310,
_xlpm.r,RawData!J310,
IF(AND(ISNUMBER(_xlpm.r),_xlpm.r&gt;=0),_xlpm.r,
   IF(AND(ISNUMBER(_xlpm.q),_xlpm.q&gt;0,ISNUMBER(_xlpm.u),_xlpm.u&gt;0,ISNUMBER(_xlpm.d),_xlpm.d&gt;=0,_xlpm.d&lt;1),
      _xlpm.q*_xlpm.u*(1-_xlpm.d),
      ""
   )
)
)</f>
        <v>208.41</v>
      </c>
      <c r="K310" s="4">
        <f>_xlfn.LET(
_xlpm.c,RawData!K310,
_xlpm.r,RawData!J310,
_xlpm.p,RawData!L310,
IF(AND(ISNUMBER(_xlpm.c),_xlpm.c&gt;=0),_xlpm.c,
   IF(AND(ISNUMBER(_xlpm.r),ISNUMBER(_xlpm.p)),
      _xlpm.r-_xlpm.p,
      ""
   )
)
)</f>
        <v>130.21</v>
      </c>
      <c r="L310" s="4">
        <f>_xlfn.LET(
_xlpm.p,RawData!L310,
_xlpm.r,RawData!J310,
_xlpm.c,RawData!K310,
IF(ISNUMBER(_xlpm.p),_xlpm.p,
IF(AND(ISNUMBER(_xlpm.r),ISNUMBER(_xlpm.c)),
_xlpm.r-_xlpm.c,
""
)
))</f>
        <v>78.2</v>
      </c>
    </row>
    <row r="311" spans="1:12" x14ac:dyDescent="0.35">
      <c r="A311" t="s">
        <v>349</v>
      </c>
      <c r="B311" s="7">
        <v>45899</v>
      </c>
      <c r="C311" t="str">
        <f>IF(RawData!C311="","Unknown",PROPER(TRIM(CLEAN(SUBSTITUTE(RawData!C311,CHAR(160)," ")))))</f>
        <v>South</v>
      </c>
      <c r="D311" t="str">
        <f>IF(RawData!D311="","Unknown",PROPER(TRIM(CLEAN(SUBSTITUTE(RawData!D311,CHAR(160)," ")))))</f>
        <v>Bengaluru</v>
      </c>
      <c r="E311" t="str">
        <f>IF(RawData!E311="","Unknown",PROPER(TRIM(CLEAN(SUBSTITUTE(RawData!E311,CHAR(160)," ")))))</f>
        <v>Keyboard</v>
      </c>
      <c r="F311" t="str">
        <f>IF(RawData!F311="","Unknown",PROPER(TRIM(CLEAN(SUBSTITUTE(RawData!F311,CHAR(160)," ")))))</f>
        <v>Accessories</v>
      </c>
      <c r="G311">
        <f>_xlfn.LET(
_xlpm.q,RawData!G311,
_xlpm.u,RawData!H311,
_xlpm.d,RawData!I311,
_xlpm.r,RawData!J311,
IF(AND(ISNUMBER(_xlpm.q),_xlpm.q&gt;0),_xlpm.q,
   IF(AND(ISNUMBER(_xlpm.r),ISNUMBER(_xlpm.u),_xlpm.u&gt;0,ISNUMBER(_xlpm.d),_xlpm.d&gt;=0,_xlpm.d&lt;1),
      ROUND(_xlpm.r/(_xlpm.u*(1-_xlpm.d)),0),
      ""
   )
)
)</f>
        <v>8</v>
      </c>
      <c r="H311" s="4">
        <f>_xlfn.LET(
_xlpm.q,RawData!G311,
_xlpm.u,RawData!H311,
_xlpm.d,RawData!I311,
_xlpm.r,RawData!J311,
IF(AND(ISNUMBER(_xlpm.u),_xlpm.u&gt;0),_xlpm.u,
   IF(AND(ISNUMBER(_xlpm.q),_xlpm.q&gt;0,ISNUMBER(_xlpm.r),ISNUMBER(_xlpm.d),_xlpm.d&gt;=0,_xlpm.d&lt;1),
      _xlpm.r/(_xlpm.q*(1-_xlpm.d)),
      ""
   )
)
)</f>
        <v>38.22</v>
      </c>
      <c r="I311" s="5">
        <f>_xlfn.LET(
_xlpm.q,RawData!G311,
_xlpm.u,RawData!H311,
_xlpm.d,RawData!I311,
_xlpm.r,RawData!J311,
IF(AND(ISNUMBER(_xlpm.d),_xlpm.d&gt;=0,_xlpm.d&lt;1),_xlpm.d,
   IF(AND(ISNUMBER(_xlpm.q),_xlpm.q&gt;0,ISNUMBER(_xlpm.u),_xlpm.u&gt;0,ISNUMBER(_xlpm.r),_xlpm.r&gt;=0),
      1-(_xlpm.r/(_xlpm.q*_xlpm.u)),
      ""
   )
)
)</f>
        <v>0.1</v>
      </c>
      <c r="J311" s="4">
        <f>_xlfn.LET(
_xlpm.q,RawData!G311,
_xlpm.u,RawData!H311,
_xlpm.d,RawData!I311,
_xlpm.r,RawData!J311,
IF(AND(ISNUMBER(_xlpm.r),_xlpm.r&gt;=0),_xlpm.r,
   IF(AND(ISNUMBER(_xlpm.q),_xlpm.q&gt;0,ISNUMBER(_xlpm.u),_xlpm.u&gt;0,ISNUMBER(_xlpm.d),_xlpm.d&gt;=0,_xlpm.d&lt;1),
      _xlpm.q*_xlpm.u*(1-_xlpm.d),
      ""
   )
)
)</f>
        <v>275.18</v>
      </c>
      <c r="K311" s="4">
        <f>_xlfn.LET(
_xlpm.c,RawData!K311,
_xlpm.r,RawData!J311,
_xlpm.p,RawData!L311,
IF(AND(ISNUMBER(_xlpm.c),_xlpm.c&gt;=0),_xlpm.c,
   IF(AND(ISNUMBER(_xlpm.r),ISNUMBER(_xlpm.p)),
      _xlpm.r-_xlpm.p,
      ""
   )
)
)</f>
        <v>206.94</v>
      </c>
      <c r="L311" s="4">
        <f>_xlfn.LET(
_xlpm.p,RawData!L311,
_xlpm.r,RawData!J311,
_xlpm.c,RawData!K311,
IF(ISNUMBER(_xlpm.p),_xlpm.p,
IF(AND(ISNUMBER(_xlpm.r),ISNUMBER(_xlpm.c)),
_xlpm.r-_xlpm.c,
""
)
))</f>
        <v>68.239999999999995</v>
      </c>
    </row>
    <row r="312" spans="1:12" x14ac:dyDescent="0.35">
      <c r="A312" t="s">
        <v>350</v>
      </c>
      <c r="B312" s="7">
        <v>45660</v>
      </c>
      <c r="C312" t="str">
        <f>IF(RawData!C312="","Unknown",PROPER(TRIM(CLEAN(SUBSTITUTE(RawData!C312,CHAR(160)," ")))))</f>
        <v>North</v>
      </c>
      <c r="D312" t="str">
        <f>IF(RawData!D312="","Unknown",PROPER(TRIM(CLEAN(SUBSTITUTE(RawData!D312,CHAR(160)," ")))))</f>
        <v>Delhi</v>
      </c>
      <c r="E312" t="str">
        <f>IF(RawData!E312="","Unknown",PROPER(TRIM(CLEAN(SUBSTITUTE(RawData!E312,CHAR(160)," ")))))</f>
        <v>Laptop</v>
      </c>
      <c r="F312" t="str">
        <f>IF(RawData!F312="","Unknown",PROPER(TRIM(CLEAN(SUBSTITUTE(RawData!F312,CHAR(160)," ")))))</f>
        <v>Electronics</v>
      </c>
      <c r="G312">
        <f>_xlfn.LET(
_xlpm.q,RawData!G312,
_xlpm.u,RawData!H312,
_xlpm.d,RawData!I312,
_xlpm.r,RawData!J312,
IF(AND(ISNUMBER(_xlpm.q),_xlpm.q&gt;0),_xlpm.q,
   IF(AND(ISNUMBER(_xlpm.r),ISNUMBER(_xlpm.u),_xlpm.u&gt;0,ISNUMBER(_xlpm.d),_xlpm.d&gt;=0,_xlpm.d&lt;1),
      ROUND(_xlpm.r/(_xlpm.u*(1-_xlpm.d)),0),
      ""
   )
)
)</f>
        <v>5</v>
      </c>
      <c r="H312" s="4">
        <f>_xlfn.LET(
_xlpm.q,RawData!G312,
_xlpm.u,RawData!H312,
_xlpm.d,RawData!I312,
_xlpm.r,RawData!J312,
IF(AND(ISNUMBER(_xlpm.u),_xlpm.u&gt;0),_xlpm.u,
   IF(AND(ISNUMBER(_xlpm.q),_xlpm.q&gt;0,ISNUMBER(_xlpm.r),ISNUMBER(_xlpm.d),_xlpm.d&gt;=0,_xlpm.d&lt;1),
      _xlpm.r/(_xlpm.q*(1-_xlpm.d)),
      ""
   )
)
)</f>
        <v>769.55</v>
      </c>
      <c r="I312" s="5">
        <f>_xlfn.LET(
_xlpm.q,RawData!G312,
_xlpm.u,RawData!H312,
_xlpm.d,RawData!I312,
_xlpm.r,RawData!J312,
IF(AND(ISNUMBER(_xlpm.d),_xlpm.d&gt;=0,_xlpm.d&lt;1),_xlpm.d,
   IF(AND(ISNUMBER(_xlpm.q),_xlpm.q&gt;0,ISNUMBER(_xlpm.u),_xlpm.u&gt;0,ISNUMBER(_xlpm.r),_xlpm.r&gt;=0),
      1-(_xlpm.r/(_xlpm.q*_xlpm.u)),
      ""
   )
)
)</f>
        <v>0.02</v>
      </c>
      <c r="J312" s="4">
        <f>_xlfn.LET(
_xlpm.q,RawData!G312,
_xlpm.u,RawData!H312,
_xlpm.d,RawData!I312,
_xlpm.r,RawData!J312,
IF(AND(ISNUMBER(_xlpm.r),_xlpm.r&gt;=0),_xlpm.r,
   IF(AND(ISNUMBER(_xlpm.q),_xlpm.q&gt;0,ISNUMBER(_xlpm.u),_xlpm.u&gt;0,ISNUMBER(_xlpm.d),_xlpm.d&gt;=0,_xlpm.d&lt;1),
      _xlpm.q*_xlpm.u*(1-_xlpm.d),
      ""
   )
)
)</f>
        <v>3770.8</v>
      </c>
      <c r="K312" s="4">
        <f>_xlfn.LET(
_xlpm.c,RawData!K312,
_xlpm.r,RawData!J312,
_xlpm.p,RawData!L312,
IF(AND(ISNUMBER(_xlpm.c),_xlpm.c&gt;=0),_xlpm.c,
   IF(AND(ISNUMBER(_xlpm.r),ISNUMBER(_xlpm.p)),
      _xlpm.r-_xlpm.p,
      ""
   )
)
)</f>
        <v>2287.08</v>
      </c>
      <c r="L312" s="4">
        <f>_xlfn.LET(
_xlpm.p,RawData!L312,
_xlpm.r,RawData!J312,
_xlpm.c,RawData!K312,
IF(ISNUMBER(_xlpm.p),_xlpm.p,
IF(AND(ISNUMBER(_xlpm.r),ISNUMBER(_xlpm.c)),
_xlpm.r-_xlpm.c,
""
)
))</f>
        <v>1483.72</v>
      </c>
    </row>
    <row r="313" spans="1:12" x14ac:dyDescent="0.35">
      <c r="A313" t="s">
        <v>351</v>
      </c>
      <c r="B313" s="7">
        <v>45938</v>
      </c>
      <c r="C313" t="str">
        <f>IF(RawData!C313="","Unknown",PROPER(TRIM(CLEAN(SUBSTITUTE(RawData!C313,CHAR(160)," ")))))</f>
        <v>West</v>
      </c>
      <c r="D313" t="str">
        <f>IF(RawData!D313="","Unknown",PROPER(TRIM(CLEAN(SUBSTITUTE(RawData!D313,CHAR(160)," ")))))</f>
        <v>Pune</v>
      </c>
      <c r="E313" t="str">
        <f>IF(RawData!E313="","Unknown",PROPER(TRIM(CLEAN(SUBSTITUTE(RawData!E313,CHAR(160)," ")))))</f>
        <v>Smartphone</v>
      </c>
      <c r="F313" t="str">
        <f>IF(RawData!F313="","Unknown",PROPER(TRIM(CLEAN(SUBSTITUTE(RawData!F313,CHAR(160)," ")))))</f>
        <v>Electronics</v>
      </c>
      <c r="G313">
        <f>_xlfn.LET(
_xlpm.q,RawData!G313,
_xlpm.u,RawData!H313,
_xlpm.d,RawData!I313,
_xlpm.r,RawData!J313,
IF(AND(ISNUMBER(_xlpm.q),_xlpm.q&gt;0),_xlpm.q,
   IF(AND(ISNUMBER(_xlpm.r),ISNUMBER(_xlpm.u),_xlpm.u&gt;0,ISNUMBER(_xlpm.d),_xlpm.d&gt;=0,_xlpm.d&lt;1),
      ROUND(_xlpm.r/(_xlpm.u*(1-_xlpm.d)),0),
      ""
   )
)
)</f>
        <v>5</v>
      </c>
      <c r="H313" s="4">
        <f>_xlfn.LET(
_xlpm.q,RawData!G313,
_xlpm.u,RawData!H313,
_xlpm.d,RawData!I313,
_xlpm.r,RawData!J313,
IF(AND(ISNUMBER(_xlpm.u),_xlpm.u&gt;0),_xlpm.u,
   IF(AND(ISNUMBER(_xlpm.q),_xlpm.q&gt;0,ISNUMBER(_xlpm.r),ISNUMBER(_xlpm.d),_xlpm.d&gt;=0,_xlpm.d&lt;1),
      _xlpm.r/(_xlpm.q*(1-_xlpm.d)),
      ""
   )
)
)</f>
        <v>528.63</v>
      </c>
      <c r="I313" s="5">
        <f>_xlfn.LET(
_xlpm.q,RawData!G313,
_xlpm.u,RawData!H313,
_xlpm.d,RawData!I313,
_xlpm.r,RawData!J313,
IF(AND(ISNUMBER(_xlpm.d),_xlpm.d&gt;=0,_xlpm.d&lt;1),_xlpm.d,
   IF(AND(ISNUMBER(_xlpm.q),_xlpm.q&gt;0,ISNUMBER(_xlpm.u),_xlpm.u&gt;0,ISNUMBER(_xlpm.r),_xlpm.r&gt;=0),
      1-(_xlpm.r/(_xlpm.q*_xlpm.u)),
      ""
   )
)
)</f>
        <v>0.02</v>
      </c>
      <c r="J313" s="4">
        <f>_xlfn.LET(
_xlpm.q,RawData!G313,
_xlpm.u,RawData!H313,
_xlpm.d,RawData!I313,
_xlpm.r,RawData!J313,
IF(AND(ISNUMBER(_xlpm.r),_xlpm.r&gt;=0),_xlpm.r,
   IF(AND(ISNUMBER(_xlpm.q),_xlpm.q&gt;0,ISNUMBER(_xlpm.u),_xlpm.u&gt;0,ISNUMBER(_xlpm.d),_xlpm.d&gt;=0,_xlpm.d&lt;1),
      _xlpm.q*_xlpm.u*(1-_xlpm.d),
      ""
   )
)
)</f>
        <v>2590.29</v>
      </c>
      <c r="K313" s="4">
        <f>_xlfn.LET(
_xlpm.c,RawData!K313,
_xlpm.r,RawData!J313,
_xlpm.p,RawData!L313,
IF(AND(ISNUMBER(_xlpm.c),_xlpm.c&gt;=0),_xlpm.c,
   IF(AND(ISNUMBER(_xlpm.r),ISNUMBER(_xlpm.p)),
      _xlpm.r-_xlpm.p,
      ""
   )
)
)</f>
        <v>1763.52</v>
      </c>
      <c r="L313" s="4">
        <f>_xlfn.LET(
_xlpm.p,RawData!L313,
_xlpm.r,RawData!J313,
_xlpm.c,RawData!K313,
IF(ISNUMBER(_xlpm.p),_xlpm.p,
IF(AND(ISNUMBER(_xlpm.r),ISNUMBER(_xlpm.c)),
_xlpm.r-_xlpm.c,
""
)
))</f>
        <v>826.77</v>
      </c>
    </row>
    <row r="314" spans="1:12" x14ac:dyDescent="0.35">
      <c r="A314" t="s">
        <v>352</v>
      </c>
      <c r="B314" s="7">
        <v>45720</v>
      </c>
      <c r="C314" t="str">
        <f>IF(RawData!C314="","Unknown",PROPER(TRIM(CLEAN(SUBSTITUTE(RawData!C314,CHAR(160)," ")))))</f>
        <v>North</v>
      </c>
      <c r="D314" t="str">
        <f>IF(RawData!D314="","Unknown",PROPER(TRIM(CLEAN(SUBSTITUTE(RawData!D314,CHAR(160)," ")))))</f>
        <v>Lucknow</v>
      </c>
      <c r="E314" t="str">
        <f>IF(RawData!E314="","Unknown",PROPER(TRIM(CLEAN(SUBSTITUTE(RawData!E314,CHAR(160)," ")))))</f>
        <v>Monitor</v>
      </c>
      <c r="F314" t="str">
        <f>IF(RawData!F314="","Unknown",PROPER(TRIM(CLEAN(SUBSTITUTE(RawData!F314,CHAR(160)," ")))))</f>
        <v>Electronics</v>
      </c>
      <c r="G314">
        <f>_xlfn.LET(
_xlpm.q,RawData!G314,
_xlpm.u,RawData!H314,
_xlpm.d,RawData!I314,
_xlpm.r,RawData!J314,
IF(AND(ISNUMBER(_xlpm.q),_xlpm.q&gt;0),_xlpm.q,
   IF(AND(ISNUMBER(_xlpm.r),ISNUMBER(_xlpm.u),_xlpm.u&gt;0,ISNUMBER(_xlpm.d),_xlpm.d&gt;=0,_xlpm.d&lt;1),
      ROUND(_xlpm.r/(_xlpm.u*(1-_xlpm.d)),0),
      ""
   )
)
)</f>
        <v>7</v>
      </c>
      <c r="H314" s="4">
        <f>_xlfn.LET(
_xlpm.q,RawData!G314,
_xlpm.u,RawData!H314,
_xlpm.d,RawData!I314,
_xlpm.r,RawData!J314,
IF(AND(ISNUMBER(_xlpm.u),_xlpm.u&gt;0),_xlpm.u,
   IF(AND(ISNUMBER(_xlpm.q),_xlpm.q&gt;0,ISNUMBER(_xlpm.r),ISNUMBER(_xlpm.d),_xlpm.d&gt;=0,_xlpm.d&lt;1),
      _xlpm.r/(_xlpm.q*(1-_xlpm.d)),
      ""
   )
)
)</f>
        <v>227.8</v>
      </c>
      <c r="I314" s="5">
        <f>_xlfn.LET(
_xlpm.q,RawData!G314,
_xlpm.u,RawData!H314,
_xlpm.d,RawData!I314,
_xlpm.r,RawData!J314,
IF(AND(ISNUMBER(_xlpm.d),_xlpm.d&gt;=0,_xlpm.d&lt;1),_xlpm.d,
   IF(AND(ISNUMBER(_xlpm.q),_xlpm.q&gt;0,ISNUMBER(_xlpm.u),_xlpm.u&gt;0,ISNUMBER(_xlpm.r),_xlpm.r&gt;=0),
      1-(_xlpm.r/(_xlpm.q*_xlpm.u)),
      ""
   )
)
)</f>
        <v>0.2</v>
      </c>
      <c r="J314" s="4">
        <f>_xlfn.LET(
_xlpm.q,RawData!G314,
_xlpm.u,RawData!H314,
_xlpm.d,RawData!I314,
_xlpm.r,RawData!J314,
IF(AND(ISNUMBER(_xlpm.r),_xlpm.r&gt;=0),_xlpm.r,
   IF(AND(ISNUMBER(_xlpm.q),_xlpm.q&gt;0,ISNUMBER(_xlpm.u),_xlpm.u&gt;0,ISNUMBER(_xlpm.d),_xlpm.d&gt;=0,_xlpm.d&lt;1),
      _xlpm.q*_xlpm.u*(1-_xlpm.d),
      ""
   )
)
)</f>
        <v>1275.68</v>
      </c>
      <c r="K314" s="4">
        <f>_xlfn.LET(
_xlpm.c,RawData!K314,
_xlpm.r,RawData!J314,
_xlpm.p,RawData!L314,
IF(AND(ISNUMBER(_xlpm.c),_xlpm.c&gt;=0),_xlpm.c,
   IF(AND(ISNUMBER(_xlpm.r),ISNUMBER(_xlpm.p)),
      _xlpm.r-_xlpm.p,
      ""
   )
)
)</f>
        <v>828.69</v>
      </c>
      <c r="L314" s="4">
        <f>_xlfn.LET(
_xlpm.p,RawData!L314,
_xlpm.r,RawData!J314,
_xlpm.c,RawData!K314,
IF(ISNUMBER(_xlpm.p),_xlpm.p,
IF(AND(ISNUMBER(_xlpm.r),ISNUMBER(_xlpm.c)),
_xlpm.r-_xlpm.c,
""
)
))</f>
        <v>446.99</v>
      </c>
    </row>
    <row r="315" spans="1:12" x14ac:dyDescent="0.35">
      <c r="A315" t="s">
        <v>353</v>
      </c>
      <c r="B315" s="7">
        <v>45892</v>
      </c>
      <c r="C315" t="str">
        <f>IF(RawData!C315="","Unknown",PROPER(TRIM(CLEAN(SUBSTITUTE(RawData!C315,CHAR(160)," ")))))</f>
        <v>North</v>
      </c>
      <c r="D315" t="str">
        <f>IF(RawData!D315="","Unknown",PROPER(TRIM(CLEAN(SUBSTITUTE(RawData!D315,CHAR(160)," ")))))</f>
        <v>Lucknow</v>
      </c>
      <c r="E315" t="str">
        <f>IF(RawData!E315="","Unknown",PROPER(TRIM(CLEAN(SUBSTITUTE(RawData!E315,CHAR(160)," ")))))</f>
        <v>Smartphone</v>
      </c>
      <c r="F315" t="str">
        <f>IF(RawData!F315="","Unknown",PROPER(TRIM(CLEAN(SUBSTITUTE(RawData!F315,CHAR(160)," ")))))</f>
        <v>Electronics</v>
      </c>
      <c r="G315">
        <f>_xlfn.LET(
_xlpm.q,RawData!G315,
_xlpm.u,RawData!H315,
_xlpm.d,RawData!I315,
_xlpm.r,RawData!J315,
IF(AND(ISNUMBER(_xlpm.q),_xlpm.q&gt;0),_xlpm.q,
   IF(AND(ISNUMBER(_xlpm.r),ISNUMBER(_xlpm.u),_xlpm.u&gt;0,ISNUMBER(_xlpm.d),_xlpm.d&gt;=0,_xlpm.d&lt;1),
      ROUND(_xlpm.r/(_xlpm.u*(1-_xlpm.d)),0),
      ""
   )
)
)</f>
        <v>8</v>
      </c>
      <c r="H315" s="4">
        <f>_xlfn.LET(
_xlpm.q,RawData!G315,
_xlpm.u,RawData!H315,
_xlpm.d,RawData!I315,
_xlpm.r,RawData!J315,
IF(AND(ISNUMBER(_xlpm.u),_xlpm.u&gt;0),_xlpm.u,
   IF(AND(ISNUMBER(_xlpm.q),_xlpm.q&gt;0,ISNUMBER(_xlpm.r),ISNUMBER(_xlpm.d),_xlpm.d&gt;=0,_xlpm.d&lt;1),
      _xlpm.r/(_xlpm.q*(1-_xlpm.d)),
      ""
   )
)
)</f>
        <v>543.82000000000005</v>
      </c>
      <c r="I315" s="5">
        <f>_xlfn.LET(
_xlpm.q,RawData!G315,
_xlpm.u,RawData!H315,
_xlpm.d,RawData!I315,
_xlpm.r,RawData!J315,
IF(AND(ISNUMBER(_xlpm.d),_xlpm.d&gt;=0,_xlpm.d&lt;1),_xlpm.d,
   IF(AND(ISNUMBER(_xlpm.q),_xlpm.q&gt;0,ISNUMBER(_xlpm.u),_xlpm.u&gt;0,ISNUMBER(_xlpm.r),_xlpm.r&gt;=0),
      1-(_xlpm.r/(_xlpm.q*_xlpm.u)),
      ""
   )
)
)</f>
        <v>0.15</v>
      </c>
      <c r="J315" s="4">
        <f>_xlfn.LET(
_xlpm.q,RawData!G315,
_xlpm.u,RawData!H315,
_xlpm.d,RawData!I315,
_xlpm.r,RawData!J315,
IF(AND(ISNUMBER(_xlpm.r),_xlpm.r&gt;=0),_xlpm.r,
   IF(AND(ISNUMBER(_xlpm.q),_xlpm.q&gt;0,ISNUMBER(_xlpm.u),_xlpm.u&gt;0,ISNUMBER(_xlpm.d),_xlpm.d&gt;=0,_xlpm.d&lt;1),
      _xlpm.q*_xlpm.u*(1-_xlpm.d),
      ""
   )
)
)</f>
        <v>3697.98</v>
      </c>
      <c r="K315" s="4">
        <f>_xlfn.LET(
_xlpm.c,RawData!K315,
_xlpm.r,RawData!J315,
_xlpm.p,RawData!L315,
IF(AND(ISNUMBER(_xlpm.c),_xlpm.c&gt;=0),_xlpm.c,
   IF(AND(ISNUMBER(_xlpm.r),ISNUMBER(_xlpm.p)),
      _xlpm.r-_xlpm.p,
      ""
   )
)
)</f>
        <v>2780.2</v>
      </c>
      <c r="L315" s="4">
        <f>_xlfn.LET(
_xlpm.p,RawData!L315,
_xlpm.r,RawData!J315,
_xlpm.c,RawData!K315,
IF(ISNUMBER(_xlpm.p),_xlpm.p,
IF(AND(ISNUMBER(_xlpm.r),ISNUMBER(_xlpm.c)),
_xlpm.r-_xlpm.c,
""
)
))</f>
        <v>917.78</v>
      </c>
    </row>
    <row r="316" spans="1:12" x14ac:dyDescent="0.35">
      <c r="A316" t="s">
        <v>354</v>
      </c>
      <c r="B316" s="7">
        <v>45666</v>
      </c>
      <c r="C316" t="str">
        <f>IF(RawData!C316="","Unknown",PROPER(TRIM(CLEAN(SUBSTITUTE(RawData!C316,CHAR(160)," ")))))</f>
        <v>South</v>
      </c>
      <c r="D316" t="str">
        <f>IF(RawData!D316="","Unknown",PROPER(TRIM(CLEAN(SUBSTITUTE(RawData!D316,CHAR(160)," ")))))</f>
        <v>Chennai</v>
      </c>
      <c r="E316" t="str">
        <f>IF(RawData!E316="","Unknown",PROPER(TRIM(CLEAN(SUBSTITUTE(RawData!E316,CHAR(160)," ")))))</f>
        <v>Keyboard</v>
      </c>
      <c r="F316" t="str">
        <f>IF(RawData!F316="","Unknown",PROPER(TRIM(CLEAN(SUBSTITUTE(RawData!F316,CHAR(160)," ")))))</f>
        <v>Accessories</v>
      </c>
      <c r="G316">
        <f>_xlfn.LET(
_xlpm.q,RawData!G316,
_xlpm.u,RawData!H316,
_xlpm.d,RawData!I316,
_xlpm.r,RawData!J316,
IF(AND(ISNUMBER(_xlpm.q),_xlpm.q&gt;0),_xlpm.q,
   IF(AND(ISNUMBER(_xlpm.r),ISNUMBER(_xlpm.u),_xlpm.u&gt;0,ISNUMBER(_xlpm.d),_xlpm.d&gt;=0,_xlpm.d&lt;1),
      ROUND(_xlpm.r/(_xlpm.u*(1-_xlpm.d)),0),
      ""
   )
)
)</f>
        <v>3</v>
      </c>
      <c r="H316" s="4">
        <f>_xlfn.LET(
_xlpm.q,RawData!G316,
_xlpm.u,RawData!H316,
_xlpm.d,RawData!I316,
_xlpm.r,RawData!J316,
IF(AND(ISNUMBER(_xlpm.u),_xlpm.u&gt;0),_xlpm.u,
   IF(AND(ISNUMBER(_xlpm.q),_xlpm.q&gt;0,ISNUMBER(_xlpm.r),ISNUMBER(_xlpm.d),_xlpm.d&gt;=0,_xlpm.d&lt;1),
      _xlpm.r/(_xlpm.q*(1-_xlpm.d)),
      ""
   )
)
)</f>
        <v>30.14</v>
      </c>
      <c r="I316" s="5">
        <f>_xlfn.LET(
_xlpm.q,RawData!G316,
_xlpm.u,RawData!H316,
_xlpm.d,RawData!I316,
_xlpm.r,RawData!J316,
IF(AND(ISNUMBER(_xlpm.d),_xlpm.d&gt;=0,_xlpm.d&lt;1),_xlpm.d,
   IF(AND(ISNUMBER(_xlpm.q),_xlpm.q&gt;0,ISNUMBER(_xlpm.u),_xlpm.u&gt;0,ISNUMBER(_xlpm.r),_xlpm.r&gt;=0),
      1-(_xlpm.r/(_xlpm.q*_xlpm.u)),
      ""
   )
)
)</f>
        <v>0.05</v>
      </c>
      <c r="J316" s="4">
        <f>_xlfn.LET(
_xlpm.q,RawData!G316,
_xlpm.u,RawData!H316,
_xlpm.d,RawData!I316,
_xlpm.r,RawData!J316,
IF(AND(ISNUMBER(_xlpm.r),_xlpm.r&gt;=0),_xlpm.r,
   IF(AND(ISNUMBER(_xlpm.q),_xlpm.q&gt;0,ISNUMBER(_xlpm.u),_xlpm.u&gt;0,ISNUMBER(_xlpm.d),_xlpm.d&gt;=0,_xlpm.d&lt;1),
      _xlpm.q*_xlpm.u*(1-_xlpm.d),
      ""
   )
)
)</f>
        <v>85.9</v>
      </c>
      <c r="K316" s="4">
        <f>_xlfn.LET(
_xlpm.c,RawData!K316,
_xlpm.r,RawData!J316,
_xlpm.p,RawData!L316,
IF(AND(ISNUMBER(_xlpm.c),_xlpm.c&gt;=0),_xlpm.c,
   IF(AND(ISNUMBER(_xlpm.r),ISNUMBER(_xlpm.p)),
      _xlpm.r-_xlpm.p,
      ""
   )
)
)</f>
        <v>53.1</v>
      </c>
      <c r="L316" s="4">
        <f>_xlfn.LET(
_xlpm.p,RawData!L316,
_xlpm.r,RawData!J316,
_xlpm.c,RawData!K316,
IF(ISNUMBER(_xlpm.p),_xlpm.p,
IF(AND(ISNUMBER(_xlpm.r),ISNUMBER(_xlpm.c)),
_xlpm.r-_xlpm.c,
""
)
))</f>
        <v>32.799999999999997</v>
      </c>
    </row>
    <row r="317" spans="1:12" x14ac:dyDescent="0.35">
      <c r="A317" t="s">
        <v>355</v>
      </c>
      <c r="B317" s="7">
        <v>45658</v>
      </c>
      <c r="C317" t="str">
        <f>IF(RawData!C317="","Unknown",PROPER(TRIM(CLEAN(SUBSTITUTE(RawData!C317,CHAR(160)," ")))))</f>
        <v>East</v>
      </c>
      <c r="D317" t="str">
        <f>IF(RawData!D317="","Unknown",PROPER(TRIM(CLEAN(SUBSTITUTE(RawData!D317,CHAR(160)," ")))))</f>
        <v>Kolkata</v>
      </c>
      <c r="E317" t="str">
        <f>IF(RawData!E317="","Unknown",PROPER(TRIM(CLEAN(SUBSTITUTE(RawData!E317,CHAR(160)," ")))))</f>
        <v>Monitor</v>
      </c>
      <c r="F317" t="str">
        <f>IF(RawData!F317="","Unknown",PROPER(TRIM(CLEAN(SUBSTITUTE(RawData!F317,CHAR(160)," ")))))</f>
        <v>Electronics</v>
      </c>
      <c r="G317">
        <f>_xlfn.LET(
_xlpm.q,RawData!G317,
_xlpm.u,RawData!H317,
_xlpm.d,RawData!I317,
_xlpm.r,RawData!J317,
IF(AND(ISNUMBER(_xlpm.q),_xlpm.q&gt;0),_xlpm.q,
   IF(AND(ISNUMBER(_xlpm.r),ISNUMBER(_xlpm.u),_xlpm.u&gt;0,ISNUMBER(_xlpm.d),_xlpm.d&gt;=0,_xlpm.d&lt;1),
      ROUND(_xlpm.r/(_xlpm.u*(1-_xlpm.d)),0),
      ""
   )
)
)</f>
        <v>10</v>
      </c>
      <c r="H317" s="4">
        <f>_xlfn.LET(
_xlpm.q,RawData!G317,
_xlpm.u,RawData!H317,
_xlpm.d,RawData!I317,
_xlpm.r,RawData!J317,
IF(AND(ISNUMBER(_xlpm.u),_xlpm.u&gt;0),_xlpm.u,
   IF(AND(ISNUMBER(_xlpm.q),_xlpm.q&gt;0,ISNUMBER(_xlpm.r),ISNUMBER(_xlpm.d),_xlpm.d&gt;=0,_xlpm.d&lt;1),
      _xlpm.r/(_xlpm.q*(1-_xlpm.d)),
      ""
   )
)
)</f>
        <v>234.08</v>
      </c>
      <c r="I317" s="5">
        <f>_xlfn.LET(
_xlpm.q,RawData!G317,
_xlpm.u,RawData!H317,
_xlpm.d,RawData!I317,
_xlpm.r,RawData!J317,
IF(AND(ISNUMBER(_xlpm.d),_xlpm.d&gt;=0,_xlpm.d&lt;1),_xlpm.d,
   IF(AND(ISNUMBER(_xlpm.q),_xlpm.q&gt;0,ISNUMBER(_xlpm.u),_xlpm.u&gt;0,ISNUMBER(_xlpm.r),_xlpm.r&gt;=0),
      1-(_xlpm.r/(_xlpm.q*_xlpm.u)),
      ""
   )
)
)</f>
        <v>0.1</v>
      </c>
      <c r="J317" s="4">
        <f>_xlfn.LET(
_xlpm.q,RawData!G317,
_xlpm.u,RawData!H317,
_xlpm.d,RawData!I317,
_xlpm.r,RawData!J317,
IF(AND(ISNUMBER(_xlpm.r),_xlpm.r&gt;=0),_xlpm.r,
   IF(AND(ISNUMBER(_xlpm.q),_xlpm.q&gt;0,ISNUMBER(_xlpm.u),_xlpm.u&gt;0,ISNUMBER(_xlpm.d),_xlpm.d&gt;=0,_xlpm.d&lt;1),
      _xlpm.q*_xlpm.u*(1-_xlpm.d),
      ""
   )
)
)</f>
        <v>2106.7199999999998</v>
      </c>
      <c r="K317" s="4">
        <f>_xlfn.LET(
_xlpm.c,RawData!K317,
_xlpm.r,RawData!J317,
_xlpm.p,RawData!L317,
IF(AND(ISNUMBER(_xlpm.c),_xlpm.c&gt;=0),_xlpm.c,
   IF(AND(ISNUMBER(_xlpm.r),ISNUMBER(_xlpm.p)),
      _xlpm.r-_xlpm.p,
      ""
   )
)
)</f>
        <v>1667.9</v>
      </c>
      <c r="L317" s="4">
        <f>_xlfn.LET(
_xlpm.p,RawData!L317,
_xlpm.r,RawData!J317,
_xlpm.c,RawData!K317,
IF(ISNUMBER(_xlpm.p),_xlpm.p,
IF(AND(ISNUMBER(_xlpm.r),ISNUMBER(_xlpm.c)),
_xlpm.r-_xlpm.c,
""
)
))</f>
        <v>438.82</v>
      </c>
    </row>
    <row r="318" spans="1:12" x14ac:dyDescent="0.35">
      <c r="A318" t="s">
        <v>356</v>
      </c>
      <c r="B318" s="7">
        <v>45998</v>
      </c>
      <c r="C318" t="str">
        <f>IF(RawData!C318="","Unknown",PROPER(TRIM(CLEAN(SUBSTITUTE(RawData!C318,CHAR(160)," ")))))</f>
        <v>North</v>
      </c>
      <c r="D318" t="str">
        <f>IF(RawData!D318="","Unknown",PROPER(TRIM(CLEAN(SUBSTITUTE(RawData!D318,CHAR(160)," ")))))</f>
        <v>Lucknow</v>
      </c>
      <c r="E318" t="str">
        <f>IF(RawData!E318="","Unknown",PROPER(TRIM(CLEAN(SUBSTITUTE(RawData!E318,CHAR(160)," ")))))</f>
        <v>Notebook</v>
      </c>
      <c r="F318" t="str">
        <f>IF(RawData!F318="","Unknown",PROPER(TRIM(CLEAN(SUBSTITUTE(RawData!F318,CHAR(160)," ")))))</f>
        <v>Office Supplies</v>
      </c>
      <c r="G318">
        <f>_xlfn.LET(
_xlpm.q,RawData!G318,
_xlpm.u,RawData!H318,
_xlpm.d,RawData!I318,
_xlpm.r,RawData!J318,
IF(AND(ISNUMBER(_xlpm.q),_xlpm.q&gt;0),_xlpm.q,
   IF(AND(ISNUMBER(_xlpm.r),ISNUMBER(_xlpm.u),_xlpm.u&gt;0,ISNUMBER(_xlpm.d),_xlpm.d&gt;=0,_xlpm.d&lt;1),
      ROUND(_xlpm.r/(_xlpm.u*(1-_xlpm.d)),0),
      ""
   )
)
)</f>
        <v>6</v>
      </c>
      <c r="H318" s="4">
        <f>_xlfn.LET(
_xlpm.q,RawData!G318,
_xlpm.u,RawData!H318,
_xlpm.d,RawData!I318,
_xlpm.r,RawData!J318,
IF(AND(ISNUMBER(_xlpm.u),_xlpm.u&gt;0),_xlpm.u,
   IF(AND(ISNUMBER(_xlpm.q),_xlpm.q&gt;0,ISNUMBER(_xlpm.r),ISNUMBER(_xlpm.d),_xlpm.d&gt;=0,_xlpm.d&lt;1),
      _xlpm.r/(_xlpm.q*(1-_xlpm.d)),
      ""
   )
)
)</f>
        <v>8.0299999999999994</v>
      </c>
      <c r="I318" s="5">
        <f>_xlfn.LET(
_xlpm.q,RawData!G318,
_xlpm.u,RawData!H318,
_xlpm.d,RawData!I318,
_xlpm.r,RawData!J318,
IF(AND(ISNUMBER(_xlpm.d),_xlpm.d&gt;=0,_xlpm.d&lt;1),_xlpm.d,
   IF(AND(ISNUMBER(_xlpm.q),_xlpm.q&gt;0,ISNUMBER(_xlpm.u),_xlpm.u&gt;0,ISNUMBER(_xlpm.r),_xlpm.r&gt;=0),
      1-(_xlpm.r/(_xlpm.q*_xlpm.u)),
      ""
   )
)
)</f>
        <v>0</v>
      </c>
      <c r="J318" s="4">
        <f>_xlfn.LET(
_xlpm.q,RawData!G318,
_xlpm.u,RawData!H318,
_xlpm.d,RawData!I318,
_xlpm.r,RawData!J318,
IF(AND(ISNUMBER(_xlpm.r),_xlpm.r&gt;=0),_xlpm.r,
   IF(AND(ISNUMBER(_xlpm.q),_xlpm.q&gt;0,ISNUMBER(_xlpm.u),_xlpm.u&gt;0,ISNUMBER(_xlpm.d),_xlpm.d&gt;=0,_xlpm.d&lt;1),
      _xlpm.q*_xlpm.u*(1-_xlpm.d),
      ""
   )
)
)</f>
        <v>48.18</v>
      </c>
      <c r="K318" s="4">
        <f>_xlfn.LET(
_xlpm.c,RawData!K318,
_xlpm.r,RawData!J318,
_xlpm.p,RawData!L318,
IF(AND(ISNUMBER(_xlpm.c),_xlpm.c&gt;=0),_xlpm.c,
   IF(AND(ISNUMBER(_xlpm.r),ISNUMBER(_xlpm.p)),
      _xlpm.r-_xlpm.p,
      ""
   )
)
)</f>
        <v>33.42</v>
      </c>
      <c r="L318" s="4">
        <f>_xlfn.LET(
_xlpm.p,RawData!L318,
_xlpm.r,RawData!J318,
_xlpm.c,RawData!K318,
IF(ISNUMBER(_xlpm.p),_xlpm.p,
IF(AND(ISNUMBER(_xlpm.r),ISNUMBER(_xlpm.c)),
_xlpm.r-_xlpm.c,
""
)
))</f>
        <v>14.76</v>
      </c>
    </row>
    <row r="319" spans="1:12" x14ac:dyDescent="0.35">
      <c r="A319" t="s">
        <v>357</v>
      </c>
      <c r="B319" s="7">
        <v>45936</v>
      </c>
      <c r="C319" t="str">
        <f>IF(RawData!C319="","Unknown",PROPER(TRIM(CLEAN(SUBSTITUTE(RawData!C319,CHAR(160)," ")))))</f>
        <v>North</v>
      </c>
      <c r="D319" t="str">
        <f>IF(RawData!D319="","Unknown",PROPER(TRIM(CLEAN(SUBSTITUTE(RawData!D319,CHAR(160)," ")))))</f>
        <v>Lucknow</v>
      </c>
      <c r="E319" t="str">
        <f>IF(RawData!E319="","Unknown",PROPER(TRIM(CLEAN(SUBSTITUTE(RawData!E319,CHAR(160)," ")))))</f>
        <v>Bookshelf</v>
      </c>
      <c r="F319" t="str">
        <f>IF(RawData!F319="","Unknown",PROPER(TRIM(CLEAN(SUBSTITUTE(RawData!F319,CHAR(160)," ")))))</f>
        <v>Furniture</v>
      </c>
      <c r="G319">
        <f>_xlfn.LET(
_xlpm.q,RawData!G319,
_xlpm.u,RawData!H319,
_xlpm.d,RawData!I319,
_xlpm.r,RawData!J319,
IF(AND(ISNUMBER(_xlpm.q),_xlpm.q&gt;0),_xlpm.q,
   IF(AND(ISNUMBER(_xlpm.r),ISNUMBER(_xlpm.u),_xlpm.u&gt;0,ISNUMBER(_xlpm.d),_xlpm.d&gt;=0,_xlpm.d&lt;1),
      ROUND(_xlpm.r/(_xlpm.u*(1-_xlpm.d)),0),
      ""
   )
)
)</f>
        <v>8</v>
      </c>
      <c r="H319" s="4">
        <f>_xlfn.LET(
_xlpm.q,RawData!G319,
_xlpm.u,RawData!H319,
_xlpm.d,RawData!I319,
_xlpm.r,RawData!J319,
IF(AND(ISNUMBER(_xlpm.u),_xlpm.u&gt;0),_xlpm.u,
   IF(AND(ISNUMBER(_xlpm.q),_xlpm.q&gt;0,ISNUMBER(_xlpm.r),ISNUMBER(_xlpm.d),_xlpm.d&gt;=0,_xlpm.d&lt;1),
      _xlpm.r/(_xlpm.q*(1-_xlpm.d)),
      ""
   )
)
)</f>
        <v>123.5</v>
      </c>
      <c r="I319" s="5">
        <f>_xlfn.LET(
_xlpm.q,RawData!G319,
_xlpm.u,RawData!H319,
_xlpm.d,RawData!I319,
_xlpm.r,RawData!J319,
IF(AND(ISNUMBER(_xlpm.d),_xlpm.d&gt;=0,_xlpm.d&lt;1),_xlpm.d,
   IF(AND(ISNUMBER(_xlpm.q),_xlpm.q&gt;0,ISNUMBER(_xlpm.u),_xlpm.u&gt;0,ISNUMBER(_xlpm.r),_xlpm.r&gt;=0),
      1-(_xlpm.r/(_xlpm.q*_xlpm.u)),
      ""
   )
)
)</f>
        <v>0</v>
      </c>
      <c r="J319" s="4">
        <f>_xlfn.LET(
_xlpm.q,RawData!G319,
_xlpm.u,RawData!H319,
_xlpm.d,RawData!I319,
_xlpm.r,RawData!J319,
IF(AND(ISNUMBER(_xlpm.r),_xlpm.r&gt;=0),_xlpm.r,
   IF(AND(ISNUMBER(_xlpm.q),_xlpm.q&gt;0,ISNUMBER(_xlpm.u),_xlpm.u&gt;0,ISNUMBER(_xlpm.d),_xlpm.d&gt;=0,_xlpm.d&lt;1),
      _xlpm.q*_xlpm.u*(1-_xlpm.d),
      ""
   )
)
)</f>
        <v>988</v>
      </c>
      <c r="K319" s="4">
        <f>_xlfn.LET(
_xlpm.c,RawData!K319,
_xlpm.r,RawData!J319,
_xlpm.p,RawData!L319,
IF(AND(ISNUMBER(_xlpm.c),_xlpm.c&gt;=0),_xlpm.c,
   IF(AND(ISNUMBER(_xlpm.r),ISNUMBER(_xlpm.p)),
      _xlpm.r-_xlpm.p,
      ""
   )
)
)</f>
        <v>662.75</v>
      </c>
      <c r="L319" s="4">
        <f>_xlfn.LET(
_xlpm.p,RawData!L319,
_xlpm.r,RawData!J319,
_xlpm.c,RawData!K319,
IF(ISNUMBER(_xlpm.p),_xlpm.p,
IF(AND(ISNUMBER(_xlpm.r),ISNUMBER(_xlpm.c)),
_xlpm.r-_xlpm.c,
""
)
))</f>
        <v>325.25</v>
      </c>
    </row>
    <row r="320" spans="1:12" x14ac:dyDescent="0.35">
      <c r="A320" t="s">
        <v>358</v>
      </c>
      <c r="B320" s="7">
        <v>45856</v>
      </c>
      <c r="C320" t="str">
        <f>IF(RawData!C320="","Unknown",PROPER(TRIM(CLEAN(SUBSTITUTE(RawData!C320,CHAR(160)," ")))))</f>
        <v>East</v>
      </c>
      <c r="D320" t="str">
        <f>IF(RawData!D320="","Unknown",PROPER(TRIM(CLEAN(SUBSTITUTE(RawData!D320,CHAR(160)," ")))))</f>
        <v>Kolkata</v>
      </c>
      <c r="E320" t="str">
        <f>IF(RawData!E320="","Unknown",PROPER(TRIM(CLEAN(SUBSTITUTE(RawData!E320,CHAR(160)," ")))))</f>
        <v>Office Chair</v>
      </c>
      <c r="F320" t="str">
        <f>IF(RawData!F320="","Unknown",PROPER(TRIM(CLEAN(SUBSTITUTE(RawData!F320,CHAR(160)," ")))))</f>
        <v>Furniture</v>
      </c>
      <c r="G320">
        <f>_xlfn.LET(
_xlpm.q,RawData!G320,
_xlpm.u,RawData!H320,
_xlpm.d,RawData!I320,
_xlpm.r,RawData!J320,
IF(AND(ISNUMBER(_xlpm.q),_xlpm.q&gt;0),_xlpm.q,
   IF(AND(ISNUMBER(_xlpm.r),ISNUMBER(_xlpm.u),_xlpm.u&gt;0,ISNUMBER(_xlpm.d),_xlpm.d&gt;=0,_xlpm.d&lt;1),
      ROUND(_xlpm.r/(_xlpm.u*(1-_xlpm.d)),0),
      ""
   )
)
)</f>
        <v>1</v>
      </c>
      <c r="H320" s="4">
        <f>_xlfn.LET(
_xlpm.q,RawData!G320,
_xlpm.u,RawData!H320,
_xlpm.d,RawData!I320,
_xlpm.r,RawData!J320,
IF(AND(ISNUMBER(_xlpm.u),_xlpm.u&gt;0),_xlpm.u,
   IF(AND(ISNUMBER(_xlpm.q),_xlpm.q&gt;0,ISNUMBER(_xlpm.r),ISNUMBER(_xlpm.d),_xlpm.d&gt;=0,_xlpm.d&lt;1),
      _xlpm.r/(_xlpm.q*(1-_xlpm.d)),
      ""
   )
)
)</f>
        <v>181.76</v>
      </c>
      <c r="I320" s="5">
        <f>_xlfn.LET(
_xlpm.q,RawData!G320,
_xlpm.u,RawData!H320,
_xlpm.d,RawData!I320,
_xlpm.r,RawData!J320,
IF(AND(ISNUMBER(_xlpm.d),_xlpm.d&gt;=0,_xlpm.d&lt;1),_xlpm.d,
   IF(AND(ISNUMBER(_xlpm.q),_xlpm.q&gt;0,ISNUMBER(_xlpm.u),_xlpm.u&gt;0,ISNUMBER(_xlpm.r),_xlpm.r&gt;=0),
      1-(_xlpm.r/(_xlpm.q*_xlpm.u)),
      ""
   )
)
)</f>
        <v>0.05</v>
      </c>
      <c r="J320" s="4">
        <f>_xlfn.LET(
_xlpm.q,RawData!G320,
_xlpm.u,RawData!H320,
_xlpm.d,RawData!I320,
_xlpm.r,RawData!J320,
IF(AND(ISNUMBER(_xlpm.r),_xlpm.r&gt;=0),_xlpm.r,
   IF(AND(ISNUMBER(_xlpm.q),_xlpm.q&gt;0,ISNUMBER(_xlpm.u),_xlpm.u&gt;0,ISNUMBER(_xlpm.d),_xlpm.d&gt;=0,_xlpm.d&lt;1),
      _xlpm.q*_xlpm.u*(1-_xlpm.d),
      ""
   )
)
)</f>
        <v>172.67</v>
      </c>
      <c r="K320" s="4">
        <f>_xlfn.LET(
_xlpm.c,RawData!K320,
_xlpm.r,RawData!J320,
_xlpm.p,RawData!L320,
IF(AND(ISNUMBER(_xlpm.c),_xlpm.c&gt;=0),_xlpm.c,
   IF(AND(ISNUMBER(_xlpm.r),ISNUMBER(_xlpm.p)),
      _xlpm.r-_xlpm.p,
      ""
   )
)
)</f>
        <v>106.27</v>
      </c>
      <c r="L320" s="4">
        <f>_xlfn.LET(
_xlpm.p,RawData!L320,
_xlpm.r,RawData!J320,
_xlpm.c,RawData!K320,
IF(ISNUMBER(_xlpm.p),_xlpm.p,
IF(AND(ISNUMBER(_xlpm.r),ISNUMBER(_xlpm.c)),
_xlpm.r-_xlpm.c,
""
)
))</f>
        <v>66.400000000000006</v>
      </c>
    </row>
    <row r="321" spans="1:12" x14ac:dyDescent="0.35">
      <c r="A321" t="s">
        <v>359</v>
      </c>
      <c r="B321" s="7">
        <v>45834</v>
      </c>
      <c r="C321" t="str">
        <f>IF(RawData!C321="","Unknown",PROPER(TRIM(CLEAN(SUBSTITUTE(RawData!C321,CHAR(160)," ")))))</f>
        <v>South</v>
      </c>
      <c r="D321" t="str">
        <f>IF(RawData!D321="","Unknown",PROPER(TRIM(CLEAN(SUBSTITUTE(RawData!D321,CHAR(160)," ")))))</f>
        <v>Bengaluru</v>
      </c>
      <c r="E321" t="str">
        <f>IF(RawData!E321="","Unknown",PROPER(TRIM(CLEAN(SUBSTITUTE(RawData!E321,CHAR(160)," ")))))</f>
        <v>Keyboard</v>
      </c>
      <c r="F321" t="str">
        <f>IF(RawData!F321="","Unknown",PROPER(TRIM(CLEAN(SUBSTITUTE(RawData!F321,CHAR(160)," ")))))</f>
        <v>Accessories</v>
      </c>
      <c r="G321">
        <f>_xlfn.LET(
_xlpm.q,RawData!G321,
_xlpm.u,RawData!H321,
_xlpm.d,RawData!I321,
_xlpm.r,RawData!J321,
IF(AND(ISNUMBER(_xlpm.q),_xlpm.q&gt;0),_xlpm.q,
   IF(AND(ISNUMBER(_xlpm.r),ISNUMBER(_xlpm.u),_xlpm.u&gt;0,ISNUMBER(_xlpm.d),_xlpm.d&gt;=0,_xlpm.d&lt;1),
      ROUND(_xlpm.r/(_xlpm.u*(1-_xlpm.d)),0),
      ""
   )
)
)</f>
        <v>2</v>
      </c>
      <c r="H321" s="4">
        <f>_xlfn.LET(
_xlpm.q,RawData!G321,
_xlpm.u,RawData!H321,
_xlpm.d,RawData!I321,
_xlpm.r,RawData!J321,
IF(AND(ISNUMBER(_xlpm.u),_xlpm.u&gt;0),_xlpm.u,
   IF(AND(ISNUMBER(_xlpm.q),_xlpm.q&gt;0,ISNUMBER(_xlpm.r),ISNUMBER(_xlpm.d),_xlpm.d&gt;=0,_xlpm.d&lt;1),
      _xlpm.r/(_xlpm.q*(1-_xlpm.d)),
      ""
   )
)
)</f>
        <v>32.58</v>
      </c>
      <c r="I321" s="5">
        <f>_xlfn.LET(
_xlpm.q,RawData!G321,
_xlpm.u,RawData!H321,
_xlpm.d,RawData!I321,
_xlpm.r,RawData!J321,
IF(AND(ISNUMBER(_xlpm.d),_xlpm.d&gt;=0,_xlpm.d&lt;1),_xlpm.d,
   IF(AND(ISNUMBER(_xlpm.q),_xlpm.q&gt;0,ISNUMBER(_xlpm.u),_xlpm.u&gt;0,ISNUMBER(_xlpm.r),_xlpm.r&gt;=0),
      1-(_xlpm.r/(_xlpm.q*_xlpm.u)),
      ""
   )
)
)</f>
        <v>0.15</v>
      </c>
      <c r="J321" s="4">
        <f>_xlfn.LET(
_xlpm.q,RawData!G321,
_xlpm.u,RawData!H321,
_xlpm.d,RawData!I321,
_xlpm.r,RawData!J321,
IF(AND(ISNUMBER(_xlpm.r),_xlpm.r&gt;=0),_xlpm.r,
   IF(AND(ISNUMBER(_xlpm.q),_xlpm.q&gt;0,ISNUMBER(_xlpm.u),_xlpm.u&gt;0,ISNUMBER(_xlpm.d),_xlpm.d&gt;=0,_xlpm.d&lt;1),
      _xlpm.q*_xlpm.u*(1-_xlpm.d),
      ""
   )
)
)</f>
        <v>55.39</v>
      </c>
      <c r="K321" s="4">
        <f>_xlfn.LET(
_xlpm.c,RawData!K321,
_xlpm.r,RawData!J321,
_xlpm.p,RawData!L321,
IF(AND(ISNUMBER(_xlpm.c),_xlpm.c&gt;=0),_xlpm.c,
   IF(AND(ISNUMBER(_xlpm.r),ISNUMBER(_xlpm.p)),
      _xlpm.r-_xlpm.p,
      ""
   )
)
)</f>
        <v>36.11</v>
      </c>
      <c r="L321" s="4">
        <f>_xlfn.LET(
_xlpm.p,RawData!L321,
_xlpm.r,RawData!J321,
_xlpm.c,RawData!K321,
IF(ISNUMBER(_xlpm.p),_xlpm.p,
IF(AND(ISNUMBER(_xlpm.r),ISNUMBER(_xlpm.c)),
_xlpm.r-_xlpm.c,
""
)
))</f>
        <v>19.28</v>
      </c>
    </row>
    <row r="322" spans="1:12" x14ac:dyDescent="0.35">
      <c r="A322" t="s">
        <v>360</v>
      </c>
      <c r="B322" s="7">
        <v>45828</v>
      </c>
      <c r="C322" t="str">
        <f>IF(RawData!C322="","Unknown",PROPER(TRIM(CLEAN(SUBSTITUTE(RawData!C322,CHAR(160)," ")))))</f>
        <v>South</v>
      </c>
      <c r="D322" t="str">
        <f>IF(RawData!D322="","Unknown",PROPER(TRIM(CLEAN(SUBSTITUTE(RawData!D322,CHAR(160)," ")))))</f>
        <v>Chennai</v>
      </c>
      <c r="E322" t="str">
        <f>IF(RawData!E322="","Unknown",PROPER(TRIM(CLEAN(SUBSTITUTE(RawData!E322,CHAR(160)," ")))))</f>
        <v>Laptop</v>
      </c>
      <c r="F322" t="str">
        <f>IF(RawData!F322="","Unknown",PROPER(TRIM(CLEAN(SUBSTITUTE(RawData!F322,CHAR(160)," ")))))</f>
        <v>Electronics</v>
      </c>
      <c r="G322">
        <f>_xlfn.LET(
_xlpm.q,RawData!G322,
_xlpm.u,RawData!H322,
_xlpm.d,RawData!I322,
_xlpm.r,RawData!J322,
IF(AND(ISNUMBER(_xlpm.q),_xlpm.q&gt;0),_xlpm.q,
   IF(AND(ISNUMBER(_xlpm.r),ISNUMBER(_xlpm.u),_xlpm.u&gt;0,ISNUMBER(_xlpm.d),_xlpm.d&gt;=0,_xlpm.d&lt;1),
      ROUND(_xlpm.r/(_xlpm.u*(1-_xlpm.d)),0),
      ""
   )
)
)</f>
        <v>6</v>
      </c>
      <c r="H322" s="4">
        <f>_xlfn.LET(
_xlpm.q,RawData!G322,
_xlpm.u,RawData!H322,
_xlpm.d,RawData!I322,
_xlpm.r,RawData!J322,
IF(AND(ISNUMBER(_xlpm.u),_xlpm.u&gt;0),_xlpm.u,
   IF(AND(ISNUMBER(_xlpm.q),_xlpm.q&gt;0,ISNUMBER(_xlpm.r),ISNUMBER(_xlpm.d),_xlpm.d&gt;=0,_xlpm.d&lt;1),
      _xlpm.r/(_xlpm.q*(1-_xlpm.d)),
      ""
   )
)
)</f>
        <v>727.62</v>
      </c>
      <c r="I322" s="5">
        <f>_xlfn.LET(
_xlpm.q,RawData!G322,
_xlpm.u,RawData!H322,
_xlpm.d,RawData!I322,
_xlpm.r,RawData!J322,
IF(AND(ISNUMBER(_xlpm.d),_xlpm.d&gt;=0,_xlpm.d&lt;1),_xlpm.d,
   IF(AND(ISNUMBER(_xlpm.q),_xlpm.q&gt;0,ISNUMBER(_xlpm.u),_xlpm.u&gt;0,ISNUMBER(_xlpm.r),_xlpm.r&gt;=0),
      1-(_xlpm.r/(_xlpm.q*_xlpm.u)),
      ""
   )
)
)</f>
        <v>0.15</v>
      </c>
      <c r="J322" s="4">
        <f>_xlfn.LET(
_xlpm.q,RawData!G322,
_xlpm.u,RawData!H322,
_xlpm.d,RawData!I322,
_xlpm.r,RawData!J322,
IF(AND(ISNUMBER(_xlpm.r),_xlpm.r&gt;=0),_xlpm.r,
   IF(AND(ISNUMBER(_xlpm.q),_xlpm.q&gt;0,ISNUMBER(_xlpm.u),_xlpm.u&gt;0,ISNUMBER(_xlpm.d),_xlpm.d&gt;=0,_xlpm.d&lt;1),
      _xlpm.q*_xlpm.u*(1-_xlpm.d),
      ""
   )
)
)</f>
        <v>3710.86</v>
      </c>
      <c r="K322" s="4">
        <f>_xlfn.LET(
_xlpm.c,RawData!K322,
_xlpm.r,RawData!J322,
_xlpm.p,RawData!L322,
IF(AND(ISNUMBER(_xlpm.c),_xlpm.c&gt;=0),_xlpm.c,
   IF(AND(ISNUMBER(_xlpm.r),ISNUMBER(_xlpm.p)),
      _xlpm.r-_xlpm.p,
      ""
   )
)
)</f>
        <v>2363.67</v>
      </c>
      <c r="L322" s="4">
        <f>_xlfn.LET(
_xlpm.p,RawData!L322,
_xlpm.r,RawData!J322,
_xlpm.c,RawData!K322,
IF(ISNUMBER(_xlpm.p),_xlpm.p,
IF(AND(ISNUMBER(_xlpm.r),ISNUMBER(_xlpm.c)),
_xlpm.r-_xlpm.c,
""
)
))</f>
        <v>1347.19</v>
      </c>
    </row>
    <row r="323" spans="1:12" x14ac:dyDescent="0.35">
      <c r="A323" t="s">
        <v>361</v>
      </c>
      <c r="B323" s="7">
        <v>45987</v>
      </c>
      <c r="C323" t="str">
        <f>IF(RawData!C323="","Unknown",PROPER(TRIM(CLEAN(SUBSTITUTE(RawData!C323,CHAR(160)," ")))))</f>
        <v>South</v>
      </c>
      <c r="D323" t="str">
        <f>IF(RawData!D323="","Unknown",PROPER(TRIM(CLEAN(SUBSTITUTE(RawData!D323,CHAR(160)," ")))))</f>
        <v>Chennai</v>
      </c>
      <c r="E323" t="str">
        <f>IF(RawData!E323="","Unknown",PROPER(TRIM(CLEAN(SUBSTITUTE(RawData!E323,CHAR(160)," ")))))</f>
        <v>Backpack</v>
      </c>
      <c r="F323" t="str">
        <f>IF(RawData!F323="","Unknown",PROPER(TRIM(CLEAN(SUBSTITUTE(RawData!F323,CHAR(160)," ")))))</f>
        <v>Accessories</v>
      </c>
      <c r="G323">
        <f>_xlfn.LET(
_xlpm.q,RawData!G323,
_xlpm.u,RawData!H323,
_xlpm.d,RawData!I323,
_xlpm.r,RawData!J323,
IF(AND(ISNUMBER(_xlpm.q),_xlpm.q&gt;0),_xlpm.q,
   IF(AND(ISNUMBER(_xlpm.r),ISNUMBER(_xlpm.u),_xlpm.u&gt;0,ISNUMBER(_xlpm.d),_xlpm.d&gt;=0,_xlpm.d&lt;1),
      ROUND(_xlpm.r/(_xlpm.u*(1-_xlpm.d)),0),
      ""
   )
)
)</f>
        <v>8</v>
      </c>
      <c r="H323" s="4">
        <f>_xlfn.LET(
_xlpm.q,RawData!G323,
_xlpm.u,RawData!H323,
_xlpm.d,RawData!I323,
_xlpm.r,RawData!J323,
IF(AND(ISNUMBER(_xlpm.u),_xlpm.u&gt;0),_xlpm.u,
   IF(AND(ISNUMBER(_xlpm.q),_xlpm.q&gt;0,ISNUMBER(_xlpm.r),ISNUMBER(_xlpm.d),_xlpm.d&gt;=0,_xlpm.d&lt;1),
      _xlpm.r/(_xlpm.q*(1-_xlpm.d)),
      ""
   )
)
)</f>
        <v>41.1</v>
      </c>
      <c r="I323" s="5">
        <f>_xlfn.LET(
_xlpm.q,RawData!G323,
_xlpm.u,RawData!H323,
_xlpm.d,RawData!I323,
_xlpm.r,RawData!J323,
IF(AND(ISNUMBER(_xlpm.d),_xlpm.d&gt;=0,_xlpm.d&lt;1),_xlpm.d,
   IF(AND(ISNUMBER(_xlpm.q),_xlpm.q&gt;0,ISNUMBER(_xlpm.u),_xlpm.u&gt;0,ISNUMBER(_xlpm.r),_xlpm.r&gt;=0),
      1-(_xlpm.r/(_xlpm.q*_xlpm.u)),
      ""
   )
)
)</f>
        <v>0.2</v>
      </c>
      <c r="J323" s="4">
        <f>_xlfn.LET(
_xlpm.q,RawData!G323,
_xlpm.u,RawData!H323,
_xlpm.d,RawData!I323,
_xlpm.r,RawData!J323,
IF(AND(ISNUMBER(_xlpm.r),_xlpm.r&gt;=0),_xlpm.r,
   IF(AND(ISNUMBER(_xlpm.q),_xlpm.q&gt;0,ISNUMBER(_xlpm.u),_xlpm.u&gt;0,ISNUMBER(_xlpm.d),_xlpm.d&gt;=0,_xlpm.d&lt;1),
      _xlpm.q*_xlpm.u*(1-_xlpm.d),
      ""
   )
)
)</f>
        <v>263.04000000000002</v>
      </c>
      <c r="K323" s="4">
        <f>_xlfn.LET(
_xlpm.c,RawData!K323,
_xlpm.r,RawData!J323,
_xlpm.p,RawData!L323,
IF(AND(ISNUMBER(_xlpm.c),_xlpm.c&gt;=0),_xlpm.c,
   IF(AND(ISNUMBER(_xlpm.r),ISNUMBER(_xlpm.p)),
      _xlpm.r-_xlpm.p,
      ""
   )
)
)</f>
        <v>167.93</v>
      </c>
      <c r="L323" s="4">
        <f>_xlfn.LET(
_xlpm.p,RawData!L323,
_xlpm.r,RawData!J323,
_xlpm.c,RawData!K323,
IF(ISNUMBER(_xlpm.p),_xlpm.p,
IF(AND(ISNUMBER(_xlpm.r),ISNUMBER(_xlpm.c)),
_xlpm.r-_xlpm.c,
""
)
))</f>
        <v>95.11</v>
      </c>
    </row>
    <row r="324" spans="1:12" x14ac:dyDescent="0.35">
      <c r="A324" t="s">
        <v>362</v>
      </c>
      <c r="B324" s="7">
        <v>45981</v>
      </c>
      <c r="C324" t="str">
        <f>IF(RawData!C324="","Unknown",PROPER(TRIM(CLEAN(SUBSTITUTE(RawData!C324,CHAR(160)," ")))))</f>
        <v>South</v>
      </c>
      <c r="D324" t="str">
        <f>IF(RawData!D324="","Unknown",PROPER(TRIM(CLEAN(SUBSTITUTE(RawData!D324,CHAR(160)," ")))))</f>
        <v>Chennai</v>
      </c>
      <c r="E324" t="str">
        <f>IF(RawData!E324="","Unknown",PROPER(TRIM(CLEAN(SUBSTITUTE(RawData!E324,CHAR(160)," ")))))</f>
        <v>Headphones</v>
      </c>
      <c r="F324" t="str">
        <f>IF(RawData!F324="","Unknown",PROPER(TRIM(CLEAN(SUBSTITUTE(RawData!F324,CHAR(160)," ")))))</f>
        <v>Electronics</v>
      </c>
      <c r="G324">
        <f>_xlfn.LET(
_xlpm.q,RawData!G324,
_xlpm.u,RawData!H324,
_xlpm.d,RawData!I324,
_xlpm.r,RawData!J324,
IF(AND(ISNUMBER(_xlpm.q),_xlpm.q&gt;0),_xlpm.q,
   IF(AND(ISNUMBER(_xlpm.r),ISNUMBER(_xlpm.u),_xlpm.u&gt;0,ISNUMBER(_xlpm.d),_xlpm.d&gt;=0,_xlpm.d&lt;1),
      ROUND(_xlpm.r/(_xlpm.u*(1-_xlpm.d)),0),
      ""
   )
)
)</f>
        <v>2</v>
      </c>
      <c r="H324" s="4">
        <f>_xlfn.LET(
_xlpm.q,RawData!G324,
_xlpm.u,RawData!H324,
_xlpm.d,RawData!I324,
_xlpm.r,RawData!J324,
IF(AND(ISNUMBER(_xlpm.u),_xlpm.u&gt;0),_xlpm.u,
   IF(AND(ISNUMBER(_xlpm.q),_xlpm.q&gt;0,ISNUMBER(_xlpm.r),ISNUMBER(_xlpm.d),_xlpm.d&gt;=0,_xlpm.d&lt;1),
      _xlpm.r/(_xlpm.q*(1-_xlpm.d)),
      ""
   )
)
)</f>
        <v>70.87</v>
      </c>
      <c r="I324" s="5">
        <f>_xlfn.LET(
_xlpm.q,RawData!G324,
_xlpm.u,RawData!H324,
_xlpm.d,RawData!I324,
_xlpm.r,RawData!J324,
IF(AND(ISNUMBER(_xlpm.d),_xlpm.d&gt;=0,_xlpm.d&lt;1),_xlpm.d,
   IF(AND(ISNUMBER(_xlpm.q),_xlpm.q&gt;0,ISNUMBER(_xlpm.u),_xlpm.u&gt;0,ISNUMBER(_xlpm.r),_xlpm.r&gt;=0),
      1-(_xlpm.r/(_xlpm.q*_xlpm.u)),
      ""
   )
)
)</f>
        <v>0.2</v>
      </c>
      <c r="J324" s="4">
        <f>_xlfn.LET(
_xlpm.q,RawData!G324,
_xlpm.u,RawData!H324,
_xlpm.d,RawData!I324,
_xlpm.r,RawData!J324,
IF(AND(ISNUMBER(_xlpm.r),_xlpm.r&gt;=0),_xlpm.r,
   IF(AND(ISNUMBER(_xlpm.q),_xlpm.q&gt;0,ISNUMBER(_xlpm.u),_xlpm.u&gt;0,ISNUMBER(_xlpm.d),_xlpm.d&gt;=0,_xlpm.d&lt;1),
      _xlpm.q*_xlpm.u*(1-_xlpm.d),
      ""
   )
)
)</f>
        <v>113.39</v>
      </c>
      <c r="K324" s="4">
        <f>_xlfn.LET(
_xlpm.c,RawData!K324,
_xlpm.r,RawData!J324,
_xlpm.p,RawData!L324,
IF(AND(ISNUMBER(_xlpm.c),_xlpm.c&gt;=0),_xlpm.c,
   IF(AND(ISNUMBER(_xlpm.r),ISNUMBER(_xlpm.p)),
      _xlpm.r-_xlpm.p,
      ""
   )
)
)</f>
        <v>89.63</v>
      </c>
      <c r="L324" s="4">
        <f>_xlfn.LET(
_xlpm.p,RawData!L324,
_xlpm.r,RawData!J324,
_xlpm.c,RawData!K324,
IF(ISNUMBER(_xlpm.p),_xlpm.p,
IF(AND(ISNUMBER(_xlpm.r),ISNUMBER(_xlpm.c)),
_xlpm.r-_xlpm.c,
""
)
))</f>
        <v>23.76</v>
      </c>
    </row>
    <row r="325" spans="1:12" x14ac:dyDescent="0.35">
      <c r="A325" t="s">
        <v>363</v>
      </c>
      <c r="B325" s="7">
        <v>45676</v>
      </c>
      <c r="C325" t="str">
        <f>IF(RawData!C325="","Unknown",PROPER(TRIM(CLEAN(SUBSTITUTE(RawData!C325,CHAR(160)," ")))))</f>
        <v>East</v>
      </c>
      <c r="D325" t="str">
        <f>IF(RawData!D325="","Unknown",PROPER(TRIM(CLEAN(SUBSTITUTE(RawData!D325,CHAR(160)," ")))))</f>
        <v>Kolkata</v>
      </c>
      <c r="E325" t="str">
        <f>IF(RawData!E325="","Unknown",PROPER(TRIM(CLEAN(SUBSTITUTE(RawData!E325,CHAR(160)," ")))))</f>
        <v>Monitor</v>
      </c>
      <c r="F325" t="str">
        <f>IF(RawData!F325="","Unknown",PROPER(TRIM(CLEAN(SUBSTITUTE(RawData!F325,CHAR(160)," ")))))</f>
        <v>Electronics</v>
      </c>
      <c r="G325">
        <f>_xlfn.LET(
_xlpm.q,RawData!G325,
_xlpm.u,RawData!H325,
_xlpm.d,RawData!I325,
_xlpm.r,RawData!J325,
IF(AND(ISNUMBER(_xlpm.q),_xlpm.q&gt;0),_xlpm.q,
   IF(AND(ISNUMBER(_xlpm.r),ISNUMBER(_xlpm.u),_xlpm.u&gt;0,ISNUMBER(_xlpm.d),_xlpm.d&gt;=0,_xlpm.d&lt;1),
      ROUND(_xlpm.r/(_xlpm.u*(1-_xlpm.d)),0),
      ""
   )
)
)</f>
        <v>1</v>
      </c>
      <c r="H325" s="4">
        <f>_xlfn.LET(
_xlpm.q,RawData!G325,
_xlpm.u,RawData!H325,
_xlpm.d,RawData!I325,
_xlpm.r,RawData!J325,
IF(AND(ISNUMBER(_xlpm.u),_xlpm.u&gt;0),_xlpm.u,
   IF(AND(ISNUMBER(_xlpm.q),_xlpm.q&gt;0,ISNUMBER(_xlpm.r),ISNUMBER(_xlpm.d),_xlpm.d&gt;=0,_xlpm.d&lt;1),
      _xlpm.r/(_xlpm.q*(1-_xlpm.d)),
      ""
   )
)
)</f>
        <v>226.18</v>
      </c>
      <c r="I325" s="5">
        <f>_xlfn.LET(
_xlpm.q,RawData!G325,
_xlpm.u,RawData!H325,
_xlpm.d,RawData!I325,
_xlpm.r,RawData!J325,
IF(AND(ISNUMBER(_xlpm.d),_xlpm.d&gt;=0,_xlpm.d&lt;1),_xlpm.d,
   IF(AND(ISNUMBER(_xlpm.q),_xlpm.q&gt;0,ISNUMBER(_xlpm.u),_xlpm.u&gt;0,ISNUMBER(_xlpm.r),_xlpm.r&gt;=0),
      1-(_xlpm.r/(_xlpm.q*_xlpm.u)),
      ""
   )
)
)</f>
        <v>0.02</v>
      </c>
      <c r="J325" s="4">
        <f>_xlfn.LET(
_xlpm.q,RawData!G325,
_xlpm.u,RawData!H325,
_xlpm.d,RawData!I325,
_xlpm.r,RawData!J325,
IF(AND(ISNUMBER(_xlpm.r),_xlpm.r&gt;=0),_xlpm.r,
   IF(AND(ISNUMBER(_xlpm.q),_xlpm.q&gt;0,ISNUMBER(_xlpm.u),_xlpm.u&gt;0,ISNUMBER(_xlpm.d),_xlpm.d&gt;=0,_xlpm.d&lt;1),
      _xlpm.q*_xlpm.u*(1-_xlpm.d),
      ""
   )
)
)</f>
        <v>221.66</v>
      </c>
      <c r="K325" s="4">
        <f>_xlfn.LET(
_xlpm.c,RawData!K325,
_xlpm.r,RawData!J325,
_xlpm.p,RawData!L325,
IF(AND(ISNUMBER(_xlpm.c),_xlpm.c&gt;=0),_xlpm.c,
   IF(AND(ISNUMBER(_xlpm.r),ISNUMBER(_xlpm.p)),
      _xlpm.r-_xlpm.p,
      ""
   )
)
)</f>
        <v>162.56</v>
      </c>
      <c r="L325" s="4">
        <f>_xlfn.LET(
_xlpm.p,RawData!L325,
_xlpm.r,RawData!J325,
_xlpm.c,RawData!K325,
IF(ISNUMBER(_xlpm.p),_xlpm.p,
IF(AND(ISNUMBER(_xlpm.r),ISNUMBER(_xlpm.c)),
_xlpm.r-_xlpm.c,
""
)
))</f>
        <v>59.1</v>
      </c>
    </row>
    <row r="326" spans="1:12" x14ac:dyDescent="0.35">
      <c r="A326" t="s">
        <v>364</v>
      </c>
      <c r="B326" s="7">
        <v>45819</v>
      </c>
      <c r="C326" t="str">
        <f>IF(RawData!C326="","Unknown",PROPER(TRIM(CLEAN(SUBSTITUTE(RawData!C326,CHAR(160)," ")))))</f>
        <v>East</v>
      </c>
      <c r="D326" t="str">
        <f>IF(RawData!D326="","Unknown",PROPER(TRIM(CLEAN(SUBSTITUTE(RawData!D326,CHAR(160)," ")))))</f>
        <v>Bhubaneswar</v>
      </c>
      <c r="E326" t="str">
        <f>IF(RawData!E326="","Unknown",PROPER(TRIM(CLEAN(SUBSTITUTE(RawData!E326,CHAR(160)," ")))))</f>
        <v>Notebook</v>
      </c>
      <c r="F326" t="str">
        <f>IF(RawData!F326="","Unknown",PROPER(TRIM(CLEAN(SUBSTITUTE(RawData!F326,CHAR(160)," ")))))</f>
        <v>Office Supplies</v>
      </c>
      <c r="G326">
        <f>_xlfn.LET(
_xlpm.q,RawData!G326,
_xlpm.u,RawData!H326,
_xlpm.d,RawData!I326,
_xlpm.r,RawData!J326,
IF(AND(ISNUMBER(_xlpm.q),_xlpm.q&gt;0),_xlpm.q,
   IF(AND(ISNUMBER(_xlpm.r),ISNUMBER(_xlpm.u),_xlpm.u&gt;0,ISNUMBER(_xlpm.d),_xlpm.d&gt;=0,_xlpm.d&lt;1),
      ROUND(_xlpm.r/(_xlpm.u*(1-_xlpm.d)),0),
      ""
   )
)
)</f>
        <v>7</v>
      </c>
      <c r="H326" s="4">
        <f>_xlfn.LET(
_xlpm.q,RawData!G326,
_xlpm.u,RawData!H326,
_xlpm.d,RawData!I326,
_xlpm.r,RawData!J326,
IF(AND(ISNUMBER(_xlpm.u),_xlpm.u&gt;0),_xlpm.u,
   IF(AND(ISNUMBER(_xlpm.q),_xlpm.q&gt;0,ISNUMBER(_xlpm.r),ISNUMBER(_xlpm.d),_xlpm.d&gt;=0,_xlpm.d&lt;1),
      _xlpm.r/(_xlpm.q*(1-_xlpm.d)),
      ""
   )
)
)</f>
        <v>8.69</v>
      </c>
      <c r="I326" s="5">
        <f>_xlfn.LET(
_xlpm.q,RawData!G326,
_xlpm.u,RawData!H326,
_xlpm.d,RawData!I326,
_xlpm.r,RawData!J326,
IF(AND(ISNUMBER(_xlpm.d),_xlpm.d&gt;=0,_xlpm.d&lt;1),_xlpm.d,
   IF(AND(ISNUMBER(_xlpm.q),_xlpm.q&gt;0,ISNUMBER(_xlpm.u),_xlpm.u&gt;0,ISNUMBER(_xlpm.r),_xlpm.r&gt;=0),
      1-(_xlpm.r/(_xlpm.q*_xlpm.u)),
      ""
   )
)
)</f>
        <v>0.15</v>
      </c>
      <c r="J326" s="4">
        <f>_xlfn.LET(
_xlpm.q,RawData!G326,
_xlpm.u,RawData!H326,
_xlpm.d,RawData!I326,
_xlpm.r,RawData!J326,
IF(AND(ISNUMBER(_xlpm.r),_xlpm.r&gt;=0),_xlpm.r,
   IF(AND(ISNUMBER(_xlpm.q),_xlpm.q&gt;0,ISNUMBER(_xlpm.u),_xlpm.u&gt;0,ISNUMBER(_xlpm.d),_xlpm.d&gt;=0,_xlpm.d&lt;1),
      _xlpm.q*_xlpm.u*(1-_xlpm.d),
      ""
   )
)
)</f>
        <v>51.71</v>
      </c>
      <c r="K326" s="4">
        <f>_xlfn.LET(
_xlpm.c,RawData!K326,
_xlpm.r,RawData!J326,
_xlpm.p,RawData!L326,
IF(AND(ISNUMBER(_xlpm.c),_xlpm.c&gt;=0),_xlpm.c,
   IF(AND(ISNUMBER(_xlpm.r),ISNUMBER(_xlpm.p)),
      _xlpm.r-_xlpm.p,
      ""
   )
)
)</f>
        <v>35.4</v>
      </c>
      <c r="L326" s="4">
        <f>_xlfn.LET(
_xlpm.p,RawData!L326,
_xlpm.r,RawData!J326,
_xlpm.c,RawData!K326,
IF(ISNUMBER(_xlpm.p),_xlpm.p,
IF(AND(ISNUMBER(_xlpm.r),ISNUMBER(_xlpm.c)),
_xlpm.r-_xlpm.c,
""
)
))</f>
        <v>16.309999999999999</v>
      </c>
    </row>
    <row r="327" spans="1:12" x14ac:dyDescent="0.35">
      <c r="A327" t="s">
        <v>365</v>
      </c>
      <c r="B327" s="7">
        <v>45787</v>
      </c>
      <c r="C327" t="str">
        <f>IF(RawData!C327="","Unknown",PROPER(TRIM(CLEAN(SUBSTITUTE(RawData!C327,CHAR(160)," ")))))</f>
        <v>North</v>
      </c>
      <c r="D327" t="str">
        <f>IF(RawData!D327="","Unknown",PROPER(TRIM(CLEAN(SUBSTITUTE(RawData!D327,CHAR(160)," ")))))</f>
        <v>Jaipur</v>
      </c>
      <c r="E327" t="str">
        <f>IF(RawData!E327="","Unknown",PROPER(TRIM(CLEAN(SUBSTITUTE(RawData!E327,CHAR(160)," ")))))</f>
        <v>Backpack</v>
      </c>
      <c r="F327" t="str">
        <f>IF(RawData!F327="","Unknown",PROPER(TRIM(CLEAN(SUBSTITUTE(RawData!F327,CHAR(160)," ")))))</f>
        <v>Accessories</v>
      </c>
      <c r="G327">
        <f>_xlfn.LET(
_xlpm.q,RawData!G327,
_xlpm.u,RawData!H327,
_xlpm.d,RawData!I327,
_xlpm.r,RawData!J327,
IF(AND(ISNUMBER(_xlpm.q),_xlpm.q&gt;0),_xlpm.q,
   IF(AND(ISNUMBER(_xlpm.r),ISNUMBER(_xlpm.u),_xlpm.u&gt;0,ISNUMBER(_xlpm.d),_xlpm.d&gt;=0,_xlpm.d&lt;1),
      ROUND(_xlpm.r/(_xlpm.u*(1-_xlpm.d)),0),
      ""
   )
)
)</f>
        <v>4</v>
      </c>
      <c r="H327" s="4">
        <f>_xlfn.LET(
_xlpm.q,RawData!G327,
_xlpm.u,RawData!H327,
_xlpm.d,RawData!I327,
_xlpm.r,RawData!J327,
IF(AND(ISNUMBER(_xlpm.u),_xlpm.u&gt;0),_xlpm.u,
   IF(AND(ISNUMBER(_xlpm.q),_xlpm.q&gt;0,ISNUMBER(_xlpm.r),ISNUMBER(_xlpm.d),_xlpm.d&gt;=0,_xlpm.d&lt;1),
      _xlpm.r/(_xlpm.q*(1-_xlpm.d)),
      ""
   )
)
)</f>
        <v>39.42</v>
      </c>
      <c r="I327" s="5">
        <f>_xlfn.LET(
_xlpm.q,RawData!G327,
_xlpm.u,RawData!H327,
_xlpm.d,RawData!I327,
_xlpm.r,RawData!J327,
IF(AND(ISNUMBER(_xlpm.d),_xlpm.d&gt;=0,_xlpm.d&lt;1),_xlpm.d,
   IF(AND(ISNUMBER(_xlpm.q),_xlpm.q&gt;0,ISNUMBER(_xlpm.u),_xlpm.u&gt;0,ISNUMBER(_xlpm.r),_xlpm.r&gt;=0),
      1-(_xlpm.r/(_xlpm.q*_xlpm.u)),
      ""
   )
)
)</f>
        <v>0.05</v>
      </c>
      <c r="J327" s="4">
        <f>_xlfn.LET(
_xlpm.q,RawData!G327,
_xlpm.u,RawData!H327,
_xlpm.d,RawData!I327,
_xlpm.r,RawData!J327,
IF(AND(ISNUMBER(_xlpm.r),_xlpm.r&gt;=0),_xlpm.r,
   IF(AND(ISNUMBER(_xlpm.q),_xlpm.q&gt;0,ISNUMBER(_xlpm.u),_xlpm.u&gt;0,ISNUMBER(_xlpm.d),_xlpm.d&gt;=0,_xlpm.d&lt;1),
      _xlpm.q*_xlpm.u*(1-_xlpm.d),
      ""
   )
)
)</f>
        <v>149.80000000000001</v>
      </c>
      <c r="K327" s="4">
        <f>_xlfn.LET(
_xlpm.c,RawData!K327,
_xlpm.r,RawData!J327,
_xlpm.p,RawData!L327,
IF(AND(ISNUMBER(_xlpm.c),_xlpm.c&gt;=0),_xlpm.c,
   IF(AND(ISNUMBER(_xlpm.r),ISNUMBER(_xlpm.p)),
      _xlpm.r-_xlpm.p,
      ""
   )
)
)</f>
        <v>104.11</v>
      </c>
      <c r="L327" s="4">
        <f>_xlfn.LET(
_xlpm.p,RawData!L327,
_xlpm.r,RawData!J327,
_xlpm.c,RawData!K327,
IF(ISNUMBER(_xlpm.p),_xlpm.p,
IF(AND(ISNUMBER(_xlpm.r),ISNUMBER(_xlpm.c)),
_xlpm.r-_xlpm.c,
""
)
))</f>
        <v>45.69</v>
      </c>
    </row>
    <row r="328" spans="1:12" x14ac:dyDescent="0.35">
      <c r="A328" t="s">
        <v>366</v>
      </c>
      <c r="B328" s="7">
        <v>45682</v>
      </c>
      <c r="C328" t="str">
        <f>IF(RawData!C328="","Unknown",PROPER(TRIM(CLEAN(SUBSTITUTE(RawData!C328,CHAR(160)," ")))))</f>
        <v>East</v>
      </c>
      <c r="D328" t="str">
        <f>IF(RawData!D328="","Unknown",PROPER(TRIM(CLEAN(SUBSTITUTE(RawData!D328,CHAR(160)," ")))))</f>
        <v>Bhubaneswar</v>
      </c>
      <c r="E328" t="str">
        <f>IF(RawData!E328="","Unknown",PROPER(TRIM(CLEAN(SUBSTITUTE(RawData!E328,CHAR(160)," ")))))</f>
        <v>Office Chair</v>
      </c>
      <c r="F328" t="str">
        <f>IF(RawData!F328="","Unknown",PROPER(TRIM(CLEAN(SUBSTITUTE(RawData!F328,CHAR(160)," ")))))</f>
        <v>Furniture</v>
      </c>
      <c r="G328">
        <f>_xlfn.LET(
_xlpm.q,RawData!G328,
_xlpm.u,RawData!H328,
_xlpm.d,RawData!I328,
_xlpm.r,RawData!J328,
IF(AND(ISNUMBER(_xlpm.q),_xlpm.q&gt;0),_xlpm.q,
   IF(AND(ISNUMBER(_xlpm.r),ISNUMBER(_xlpm.u),_xlpm.u&gt;0,ISNUMBER(_xlpm.d),_xlpm.d&gt;=0,_xlpm.d&lt;1),
      ROUND(_xlpm.r/(_xlpm.u*(1-_xlpm.d)),0),
      ""
   )
)
)</f>
        <v>2</v>
      </c>
      <c r="H328" s="4">
        <f>_xlfn.LET(
_xlpm.q,RawData!G328,
_xlpm.u,RawData!H328,
_xlpm.d,RawData!I328,
_xlpm.r,RawData!J328,
IF(AND(ISNUMBER(_xlpm.u),_xlpm.u&gt;0),_xlpm.u,
   IF(AND(ISNUMBER(_xlpm.q),_xlpm.q&gt;0,ISNUMBER(_xlpm.r),ISNUMBER(_xlpm.d),_xlpm.d&gt;=0,_xlpm.d&lt;1),
      _xlpm.r/(_xlpm.q*(1-_xlpm.d)),
      ""
   )
)
)</f>
        <v>184.69</v>
      </c>
      <c r="I328" s="5">
        <f>_xlfn.LET(
_xlpm.q,RawData!G328,
_xlpm.u,RawData!H328,
_xlpm.d,RawData!I328,
_xlpm.r,RawData!J328,
IF(AND(ISNUMBER(_xlpm.d),_xlpm.d&gt;=0,_xlpm.d&lt;1),_xlpm.d,
   IF(AND(ISNUMBER(_xlpm.q),_xlpm.q&gt;0,ISNUMBER(_xlpm.u),_xlpm.u&gt;0,ISNUMBER(_xlpm.r),_xlpm.r&gt;=0),
      1-(_xlpm.r/(_xlpm.q*_xlpm.u)),
      ""
   )
)
)</f>
        <v>0.05</v>
      </c>
      <c r="J328" s="4">
        <f>_xlfn.LET(
_xlpm.q,RawData!G328,
_xlpm.u,RawData!H328,
_xlpm.d,RawData!I328,
_xlpm.r,RawData!J328,
IF(AND(ISNUMBER(_xlpm.r),_xlpm.r&gt;=0),_xlpm.r,
   IF(AND(ISNUMBER(_xlpm.q),_xlpm.q&gt;0,ISNUMBER(_xlpm.u),_xlpm.u&gt;0,ISNUMBER(_xlpm.d),_xlpm.d&gt;=0,_xlpm.d&lt;1),
      _xlpm.q*_xlpm.u*(1-_xlpm.d),
      ""
   )
)
)</f>
        <v>350.91</v>
      </c>
      <c r="K328" s="4">
        <f>_xlfn.LET(
_xlpm.c,RawData!K328,
_xlpm.r,RawData!J328,
_xlpm.p,RawData!L328,
IF(AND(ISNUMBER(_xlpm.c),_xlpm.c&gt;=0),_xlpm.c,
   IF(AND(ISNUMBER(_xlpm.r),ISNUMBER(_xlpm.p)),
      _xlpm.r-_xlpm.p,
      ""
   )
)
)</f>
        <v>263.63</v>
      </c>
      <c r="L328" s="4">
        <f>_xlfn.LET(
_xlpm.p,RawData!L328,
_xlpm.r,RawData!J328,
_xlpm.c,RawData!K328,
IF(ISNUMBER(_xlpm.p),_xlpm.p,
IF(AND(ISNUMBER(_xlpm.r),ISNUMBER(_xlpm.c)),
_xlpm.r-_xlpm.c,
""
)
))</f>
        <v>87.28</v>
      </c>
    </row>
    <row r="329" spans="1:12" x14ac:dyDescent="0.35">
      <c r="A329" t="s">
        <v>367</v>
      </c>
      <c r="B329" s="7">
        <v>45862</v>
      </c>
      <c r="C329" t="str">
        <f>IF(RawData!C329="","Unknown",PROPER(TRIM(CLEAN(SUBSTITUTE(RawData!C329,CHAR(160)," ")))))</f>
        <v>West</v>
      </c>
      <c r="D329" t="str">
        <f>IF(RawData!D329="","Unknown",PROPER(TRIM(CLEAN(SUBSTITUTE(RawData!D329,CHAR(160)," ")))))</f>
        <v>Pune</v>
      </c>
      <c r="E329" t="str">
        <f>IF(RawData!E329="","Unknown",PROPER(TRIM(CLEAN(SUBSTITUTE(RawData!E329,CHAR(160)," ")))))</f>
        <v>Bookshelf</v>
      </c>
      <c r="F329" t="str">
        <f>IF(RawData!F329="","Unknown",PROPER(TRIM(CLEAN(SUBSTITUTE(RawData!F329,CHAR(160)," ")))))</f>
        <v>Furniture</v>
      </c>
      <c r="G329">
        <f>_xlfn.LET(
_xlpm.q,RawData!G329,
_xlpm.u,RawData!H329,
_xlpm.d,RawData!I329,
_xlpm.r,RawData!J329,
IF(AND(ISNUMBER(_xlpm.q),_xlpm.q&gt;0),_xlpm.q,
   IF(AND(ISNUMBER(_xlpm.r),ISNUMBER(_xlpm.u),_xlpm.u&gt;0,ISNUMBER(_xlpm.d),_xlpm.d&gt;=0,_xlpm.d&lt;1),
      ROUND(_xlpm.r/(_xlpm.u*(1-_xlpm.d)),0),
      ""
   )
)
)</f>
        <v>6</v>
      </c>
      <c r="H329" s="4">
        <f>_xlfn.LET(
_xlpm.q,RawData!G329,
_xlpm.u,RawData!H329,
_xlpm.d,RawData!I329,
_xlpm.r,RawData!J329,
IF(AND(ISNUMBER(_xlpm.u),_xlpm.u&gt;0),_xlpm.u,
   IF(AND(ISNUMBER(_xlpm.q),_xlpm.q&gt;0,ISNUMBER(_xlpm.r),ISNUMBER(_xlpm.d),_xlpm.d&gt;=0,_xlpm.d&lt;1),
      _xlpm.r/(_xlpm.q*(1-_xlpm.d)),
      ""
   )
)
)</f>
        <v>137.13</v>
      </c>
      <c r="I329" s="5">
        <f>_xlfn.LET(
_xlpm.q,RawData!G329,
_xlpm.u,RawData!H329,
_xlpm.d,RawData!I329,
_xlpm.r,RawData!J329,
IF(AND(ISNUMBER(_xlpm.d),_xlpm.d&gt;=0,_xlpm.d&lt;1),_xlpm.d,
   IF(AND(ISNUMBER(_xlpm.q),_xlpm.q&gt;0,ISNUMBER(_xlpm.u),_xlpm.u&gt;0,ISNUMBER(_xlpm.r),_xlpm.r&gt;=0),
      1-(_xlpm.r/(_xlpm.q*_xlpm.u)),
      ""
   )
)
)</f>
        <v>0.02</v>
      </c>
      <c r="J329" s="4">
        <f>_xlfn.LET(
_xlpm.q,RawData!G329,
_xlpm.u,RawData!H329,
_xlpm.d,RawData!I329,
_xlpm.r,RawData!J329,
IF(AND(ISNUMBER(_xlpm.r),_xlpm.r&gt;=0),_xlpm.r,
   IF(AND(ISNUMBER(_xlpm.q),_xlpm.q&gt;0,ISNUMBER(_xlpm.u),_xlpm.u&gt;0,ISNUMBER(_xlpm.d),_xlpm.d&gt;=0,_xlpm.d&lt;1),
      _xlpm.q*_xlpm.u*(1-_xlpm.d),
      ""
   )
)
)</f>
        <v>806.32</v>
      </c>
      <c r="K329" s="4">
        <f>_xlfn.LET(
_xlpm.c,RawData!K329,
_xlpm.r,RawData!J329,
_xlpm.p,RawData!L329,
IF(AND(ISNUMBER(_xlpm.c),_xlpm.c&gt;=0),_xlpm.c,
   IF(AND(ISNUMBER(_xlpm.r),ISNUMBER(_xlpm.p)),
      _xlpm.r-_xlpm.p,
      ""
   )
)
)</f>
        <v>471.25</v>
      </c>
      <c r="L329" s="4">
        <f>_xlfn.LET(
_xlpm.p,RawData!L329,
_xlpm.r,RawData!J329,
_xlpm.c,RawData!K329,
IF(ISNUMBER(_xlpm.p),_xlpm.p,
IF(AND(ISNUMBER(_xlpm.r),ISNUMBER(_xlpm.c)),
_xlpm.r-_xlpm.c,
""
)
))</f>
        <v>335.07</v>
      </c>
    </row>
    <row r="330" spans="1:12" x14ac:dyDescent="0.35">
      <c r="A330" t="s">
        <v>368</v>
      </c>
      <c r="B330" s="7">
        <v>46012</v>
      </c>
      <c r="C330" t="str">
        <f>IF(RawData!C330="","Unknown",PROPER(TRIM(CLEAN(SUBSTITUTE(RawData!C330,CHAR(160)," ")))))</f>
        <v>West</v>
      </c>
      <c r="D330" t="str">
        <f>IF(RawData!D330="","Unknown",PROPER(TRIM(CLEAN(SUBSTITUTE(RawData!D330,CHAR(160)," ")))))</f>
        <v>Mumbai</v>
      </c>
      <c r="E330" t="str">
        <f>IF(RawData!E330="","Unknown",PROPER(TRIM(CLEAN(SUBSTITUTE(RawData!E330,CHAR(160)," ")))))</f>
        <v>Desk</v>
      </c>
      <c r="F330" t="str">
        <f>IF(RawData!F330="","Unknown",PROPER(TRIM(CLEAN(SUBSTITUTE(RawData!F330,CHAR(160)," ")))))</f>
        <v>Furniture</v>
      </c>
      <c r="G330">
        <f>_xlfn.LET(
_xlpm.q,RawData!G330,
_xlpm.u,RawData!H330,
_xlpm.d,RawData!I330,
_xlpm.r,RawData!J330,
IF(AND(ISNUMBER(_xlpm.q),_xlpm.q&gt;0),_xlpm.q,
   IF(AND(ISNUMBER(_xlpm.r),ISNUMBER(_xlpm.u),_xlpm.u&gt;0,ISNUMBER(_xlpm.d),_xlpm.d&gt;=0,_xlpm.d&lt;1),
      ROUND(_xlpm.r/(_xlpm.u*(1-_xlpm.d)),0),
      ""
   )
)
)</f>
        <v>9</v>
      </c>
      <c r="H330" s="4">
        <f>_xlfn.LET(
_xlpm.q,RawData!G330,
_xlpm.u,RawData!H330,
_xlpm.d,RawData!I330,
_xlpm.r,RawData!J330,
IF(AND(ISNUMBER(_xlpm.u),_xlpm.u&gt;0),_xlpm.u,
   IF(AND(ISNUMBER(_xlpm.q),_xlpm.q&gt;0,ISNUMBER(_xlpm.r),ISNUMBER(_xlpm.d),_xlpm.d&gt;=0,_xlpm.d&lt;1),
      _xlpm.r/(_xlpm.q*(1-_xlpm.d)),
      ""
   )
)
)</f>
        <v>233.78</v>
      </c>
      <c r="I330" s="5">
        <f>_xlfn.LET(
_xlpm.q,RawData!G330,
_xlpm.u,RawData!H330,
_xlpm.d,RawData!I330,
_xlpm.r,RawData!J330,
IF(AND(ISNUMBER(_xlpm.d),_xlpm.d&gt;=0,_xlpm.d&lt;1),_xlpm.d,
   IF(AND(ISNUMBER(_xlpm.q),_xlpm.q&gt;0,ISNUMBER(_xlpm.u),_xlpm.u&gt;0,ISNUMBER(_xlpm.r),_xlpm.r&gt;=0),
      1-(_xlpm.r/(_xlpm.q*_xlpm.u)),
      ""
   )
)
)</f>
        <v>0.05</v>
      </c>
      <c r="J330" s="4">
        <f>_xlfn.LET(
_xlpm.q,RawData!G330,
_xlpm.u,RawData!H330,
_xlpm.d,RawData!I330,
_xlpm.r,RawData!J330,
IF(AND(ISNUMBER(_xlpm.r),_xlpm.r&gt;=0),_xlpm.r,
   IF(AND(ISNUMBER(_xlpm.q),_xlpm.q&gt;0,ISNUMBER(_xlpm.u),_xlpm.u&gt;0,ISNUMBER(_xlpm.d),_xlpm.d&gt;=0,_xlpm.d&lt;1),
      _xlpm.q*_xlpm.u*(1-_xlpm.d),
      ""
   )
)
)</f>
        <v>1998.82</v>
      </c>
      <c r="K330" s="4">
        <f>_xlfn.LET(
_xlpm.c,RawData!K330,
_xlpm.r,RawData!J330,
_xlpm.p,RawData!L330,
IF(AND(ISNUMBER(_xlpm.c),_xlpm.c&gt;=0),_xlpm.c,
   IF(AND(ISNUMBER(_xlpm.r),ISNUMBER(_xlpm.p)),
      _xlpm.r-_xlpm.p,
      ""
   )
)
)</f>
        <v>1295.3</v>
      </c>
      <c r="L330" s="4">
        <f>_xlfn.LET(
_xlpm.p,RawData!L330,
_xlpm.r,RawData!J330,
_xlpm.c,RawData!K330,
IF(ISNUMBER(_xlpm.p),_xlpm.p,
IF(AND(ISNUMBER(_xlpm.r),ISNUMBER(_xlpm.c)),
_xlpm.r-_xlpm.c,
""
)
))</f>
        <v>703.52</v>
      </c>
    </row>
    <row r="331" spans="1:12" x14ac:dyDescent="0.35">
      <c r="A331" t="s">
        <v>369</v>
      </c>
      <c r="B331" s="7">
        <v>45875</v>
      </c>
      <c r="C331" t="str">
        <f>IF(RawData!C331="","Unknown",PROPER(TRIM(CLEAN(SUBSTITUTE(RawData!C331,CHAR(160)," ")))))</f>
        <v>North</v>
      </c>
      <c r="D331" t="str">
        <f>IF(RawData!D331="","Unknown",PROPER(TRIM(CLEAN(SUBSTITUTE(RawData!D331,CHAR(160)," ")))))</f>
        <v>Lucknow</v>
      </c>
      <c r="E331" t="str">
        <f>IF(RawData!E331="","Unknown",PROPER(TRIM(CLEAN(SUBSTITUTE(RawData!E331,CHAR(160)," ")))))</f>
        <v>Bookshelf</v>
      </c>
      <c r="F331" t="str">
        <f>IF(RawData!F331="","Unknown",PROPER(TRIM(CLEAN(SUBSTITUTE(RawData!F331,CHAR(160)," ")))))</f>
        <v>Furniture</v>
      </c>
      <c r="G331">
        <f>_xlfn.LET(
_xlpm.q,RawData!G331,
_xlpm.u,RawData!H331,
_xlpm.d,RawData!I331,
_xlpm.r,RawData!J331,
IF(AND(ISNUMBER(_xlpm.q),_xlpm.q&gt;0),_xlpm.q,
   IF(AND(ISNUMBER(_xlpm.r),ISNUMBER(_xlpm.u),_xlpm.u&gt;0,ISNUMBER(_xlpm.d),_xlpm.d&gt;=0,_xlpm.d&lt;1),
      ROUND(_xlpm.r/(_xlpm.u*(1-_xlpm.d)),0),
      ""
   )
)
)</f>
        <v>10</v>
      </c>
      <c r="H331" s="4">
        <f>_xlfn.LET(
_xlpm.q,RawData!G331,
_xlpm.u,RawData!H331,
_xlpm.d,RawData!I331,
_xlpm.r,RawData!J331,
IF(AND(ISNUMBER(_xlpm.u),_xlpm.u&gt;0),_xlpm.u,
   IF(AND(ISNUMBER(_xlpm.q),_xlpm.q&gt;0,ISNUMBER(_xlpm.r),ISNUMBER(_xlpm.d),_xlpm.d&gt;=0,_xlpm.d&lt;1),
      _xlpm.r/(_xlpm.q*(1-_xlpm.d)),
      ""
   )
)
)</f>
        <v>146.13</v>
      </c>
      <c r="I331" s="5">
        <f>_xlfn.LET(
_xlpm.q,RawData!G331,
_xlpm.u,RawData!H331,
_xlpm.d,RawData!I331,
_xlpm.r,RawData!J331,
IF(AND(ISNUMBER(_xlpm.d),_xlpm.d&gt;=0,_xlpm.d&lt;1),_xlpm.d,
   IF(AND(ISNUMBER(_xlpm.q),_xlpm.q&gt;0,ISNUMBER(_xlpm.u),_xlpm.u&gt;0,ISNUMBER(_xlpm.r),_xlpm.r&gt;=0),
      1-(_xlpm.r/(_xlpm.q*_xlpm.u)),
      ""
   )
)
)</f>
        <v>0.02</v>
      </c>
      <c r="J331" s="4">
        <f>_xlfn.LET(
_xlpm.q,RawData!G331,
_xlpm.u,RawData!H331,
_xlpm.d,RawData!I331,
_xlpm.r,RawData!J331,
IF(AND(ISNUMBER(_xlpm.r),_xlpm.r&gt;=0),_xlpm.r,
   IF(AND(ISNUMBER(_xlpm.q),_xlpm.q&gt;0,ISNUMBER(_xlpm.u),_xlpm.u&gt;0,ISNUMBER(_xlpm.d),_xlpm.d&gt;=0,_xlpm.d&lt;1),
      _xlpm.q*_xlpm.u*(1-_xlpm.d),
      ""
   )
)
)</f>
        <v>1432.07</v>
      </c>
      <c r="K331" s="4">
        <f>_xlfn.LET(
_xlpm.c,RawData!K331,
_xlpm.r,RawData!J331,
_xlpm.p,RawData!L331,
IF(AND(ISNUMBER(_xlpm.c),_xlpm.c&gt;=0),_xlpm.c,
   IF(AND(ISNUMBER(_xlpm.r),ISNUMBER(_xlpm.p)),
      _xlpm.r-_xlpm.p,
      ""
   )
)
)</f>
        <v>1008.34</v>
      </c>
      <c r="L331" s="4">
        <f>_xlfn.LET(
_xlpm.p,RawData!L331,
_xlpm.r,RawData!J331,
_xlpm.c,RawData!K331,
IF(ISNUMBER(_xlpm.p),_xlpm.p,
IF(AND(ISNUMBER(_xlpm.r),ISNUMBER(_xlpm.c)),
_xlpm.r-_xlpm.c,
""
)
))</f>
        <v>423.73</v>
      </c>
    </row>
    <row r="332" spans="1:12" x14ac:dyDescent="0.35">
      <c r="A332" t="s">
        <v>370</v>
      </c>
      <c r="B332" s="7">
        <v>45808</v>
      </c>
      <c r="C332" t="str">
        <f>IF(RawData!C332="","Unknown",PROPER(TRIM(CLEAN(SUBSTITUTE(RawData!C332,CHAR(160)," ")))))</f>
        <v>East</v>
      </c>
      <c r="D332" t="str">
        <f>IF(RawData!D332="","Unknown",PROPER(TRIM(CLEAN(SUBSTITUTE(RawData!D332,CHAR(160)," ")))))</f>
        <v>Patna</v>
      </c>
      <c r="E332" t="str">
        <f>IF(RawData!E332="","Unknown",PROPER(TRIM(CLEAN(SUBSTITUTE(RawData!E332,CHAR(160)," ")))))</f>
        <v>Smartphone</v>
      </c>
      <c r="F332" t="str">
        <f>IF(RawData!F332="","Unknown",PROPER(TRIM(CLEAN(SUBSTITUTE(RawData!F332,CHAR(160)," ")))))</f>
        <v>Electronics</v>
      </c>
      <c r="G332">
        <f>_xlfn.LET(
_xlpm.q,RawData!G332,
_xlpm.u,RawData!H332,
_xlpm.d,RawData!I332,
_xlpm.r,RawData!J332,
IF(AND(ISNUMBER(_xlpm.q),_xlpm.q&gt;0),_xlpm.q,
   IF(AND(ISNUMBER(_xlpm.r),ISNUMBER(_xlpm.u),_xlpm.u&gt;0,ISNUMBER(_xlpm.d),_xlpm.d&gt;=0,_xlpm.d&lt;1),
      ROUND(_xlpm.r/(_xlpm.u*(1-_xlpm.d)),0),
      ""
   )
)
)</f>
        <v>2</v>
      </c>
      <c r="H332" s="4">
        <f>_xlfn.LET(
_xlpm.q,RawData!G332,
_xlpm.u,RawData!H332,
_xlpm.d,RawData!I332,
_xlpm.r,RawData!J332,
IF(AND(ISNUMBER(_xlpm.u),_xlpm.u&gt;0),_xlpm.u,
   IF(AND(ISNUMBER(_xlpm.q),_xlpm.q&gt;0,ISNUMBER(_xlpm.r),ISNUMBER(_xlpm.d),_xlpm.d&gt;=0,_xlpm.d&lt;1),
      _xlpm.r/(_xlpm.q*(1-_xlpm.d)),
      ""
   )
)
)</f>
        <v>526.26</v>
      </c>
      <c r="I332" s="5">
        <f>_xlfn.LET(
_xlpm.q,RawData!G332,
_xlpm.u,RawData!H332,
_xlpm.d,RawData!I332,
_xlpm.r,RawData!J332,
IF(AND(ISNUMBER(_xlpm.d),_xlpm.d&gt;=0,_xlpm.d&lt;1),_xlpm.d,
   IF(AND(ISNUMBER(_xlpm.q),_xlpm.q&gt;0,ISNUMBER(_xlpm.u),_xlpm.u&gt;0,ISNUMBER(_xlpm.r),_xlpm.r&gt;=0),
      1-(_xlpm.r/(_xlpm.q*_xlpm.u)),
      ""
   )
)
)</f>
        <v>0.05</v>
      </c>
      <c r="J332" s="4">
        <f>_xlfn.LET(
_xlpm.q,RawData!G332,
_xlpm.u,RawData!H332,
_xlpm.d,RawData!I332,
_xlpm.r,RawData!J332,
IF(AND(ISNUMBER(_xlpm.r),_xlpm.r&gt;=0),_xlpm.r,
   IF(AND(ISNUMBER(_xlpm.q),_xlpm.q&gt;0,ISNUMBER(_xlpm.u),_xlpm.u&gt;0,ISNUMBER(_xlpm.d),_xlpm.d&gt;=0,_xlpm.d&lt;1),
      _xlpm.q*_xlpm.u*(1-_xlpm.d),
      ""
   )
)
)</f>
        <v>999.89</v>
      </c>
      <c r="K332" s="4">
        <f>_xlfn.LET(
_xlpm.c,RawData!K332,
_xlpm.r,RawData!J332,
_xlpm.p,RawData!L332,
IF(AND(ISNUMBER(_xlpm.c),_xlpm.c&gt;=0),_xlpm.c,
   IF(AND(ISNUMBER(_xlpm.r),ISNUMBER(_xlpm.p)),
      _xlpm.r-_xlpm.p,
      ""
   )
)
)</f>
        <v>816.27</v>
      </c>
      <c r="L332" s="4">
        <f>_xlfn.LET(
_xlpm.p,RawData!L332,
_xlpm.r,RawData!J332,
_xlpm.c,RawData!K332,
IF(ISNUMBER(_xlpm.p),_xlpm.p,
IF(AND(ISNUMBER(_xlpm.r),ISNUMBER(_xlpm.c)),
_xlpm.r-_xlpm.c,
""
)
))</f>
        <v>183.62</v>
      </c>
    </row>
    <row r="333" spans="1:12" x14ac:dyDescent="0.35">
      <c r="A333" t="s">
        <v>371</v>
      </c>
      <c r="B333" s="7">
        <v>45809</v>
      </c>
      <c r="C333" t="str">
        <f>IF(RawData!C333="","Unknown",PROPER(TRIM(CLEAN(SUBSTITUTE(RawData!C333,CHAR(160)," ")))))</f>
        <v>East</v>
      </c>
      <c r="D333" t="str">
        <f>IF(RawData!D333="","Unknown",PROPER(TRIM(CLEAN(SUBSTITUTE(RawData!D333,CHAR(160)," ")))))</f>
        <v>Bhubaneswar</v>
      </c>
      <c r="E333" t="str">
        <f>IF(RawData!E333="","Unknown",PROPER(TRIM(CLEAN(SUBSTITUTE(RawData!E333,CHAR(160)," ")))))</f>
        <v>Printer</v>
      </c>
      <c r="F333" t="str">
        <f>IF(RawData!F333="","Unknown",PROPER(TRIM(CLEAN(SUBSTITUTE(RawData!F333,CHAR(160)," ")))))</f>
        <v>Office Supplies</v>
      </c>
      <c r="G333">
        <f>_xlfn.LET(
_xlpm.q,RawData!G333,
_xlpm.u,RawData!H333,
_xlpm.d,RawData!I333,
_xlpm.r,RawData!J333,
IF(AND(ISNUMBER(_xlpm.q),_xlpm.q&gt;0),_xlpm.q,
   IF(AND(ISNUMBER(_xlpm.r),ISNUMBER(_xlpm.u),_xlpm.u&gt;0,ISNUMBER(_xlpm.d),_xlpm.d&gt;=0,_xlpm.d&lt;1),
      ROUND(_xlpm.r/(_xlpm.u*(1-_xlpm.d)),0),
      ""
   )
)
)</f>
        <v>10</v>
      </c>
      <c r="H333" s="4">
        <f>_xlfn.LET(
_xlpm.q,RawData!G333,
_xlpm.u,RawData!H333,
_xlpm.d,RawData!I333,
_xlpm.r,RawData!J333,
IF(AND(ISNUMBER(_xlpm.u),_xlpm.u&gt;0),_xlpm.u,
   IF(AND(ISNUMBER(_xlpm.q),_xlpm.q&gt;0,ISNUMBER(_xlpm.r),ISNUMBER(_xlpm.d),_xlpm.d&gt;=0,_xlpm.d&lt;1),
      _xlpm.r/(_xlpm.q*(1-_xlpm.d)),
      ""
   )
)
)</f>
        <v>165.08</v>
      </c>
      <c r="I333" s="5">
        <f>_xlfn.LET(
_xlpm.q,RawData!G333,
_xlpm.u,RawData!H333,
_xlpm.d,RawData!I333,
_xlpm.r,RawData!J333,
IF(AND(ISNUMBER(_xlpm.d),_xlpm.d&gt;=0,_xlpm.d&lt;1),_xlpm.d,
   IF(AND(ISNUMBER(_xlpm.q),_xlpm.q&gt;0,ISNUMBER(_xlpm.u),_xlpm.u&gt;0,ISNUMBER(_xlpm.r),_xlpm.r&gt;=0),
      1-(_xlpm.r/(_xlpm.q*_xlpm.u)),
      ""
   )
)
)</f>
        <v>0.2</v>
      </c>
      <c r="J333" s="4">
        <f>_xlfn.LET(
_xlpm.q,RawData!G333,
_xlpm.u,RawData!H333,
_xlpm.d,RawData!I333,
_xlpm.r,RawData!J333,
IF(AND(ISNUMBER(_xlpm.r),_xlpm.r&gt;=0),_xlpm.r,
   IF(AND(ISNUMBER(_xlpm.q),_xlpm.q&gt;0,ISNUMBER(_xlpm.u),_xlpm.u&gt;0,ISNUMBER(_xlpm.d),_xlpm.d&gt;=0,_xlpm.d&lt;1),
      _xlpm.q*_xlpm.u*(1-_xlpm.d),
      ""
   )
)
)</f>
        <v>1320.64</v>
      </c>
      <c r="K333" s="4">
        <f>_xlfn.LET(
_xlpm.c,RawData!K333,
_xlpm.r,RawData!J333,
_xlpm.p,RawData!L333,
IF(AND(ISNUMBER(_xlpm.c),_xlpm.c&gt;=0),_xlpm.c,
   IF(AND(ISNUMBER(_xlpm.r),ISNUMBER(_xlpm.p)),
      _xlpm.r-_xlpm.p,
      ""
   )
)
)</f>
        <v>810.94</v>
      </c>
      <c r="L333" s="4">
        <f>_xlfn.LET(
_xlpm.p,RawData!L333,
_xlpm.r,RawData!J333,
_xlpm.c,RawData!K333,
IF(ISNUMBER(_xlpm.p),_xlpm.p,
IF(AND(ISNUMBER(_xlpm.r),ISNUMBER(_xlpm.c)),
_xlpm.r-_xlpm.c,
""
)
))</f>
        <v>509.7</v>
      </c>
    </row>
    <row r="334" spans="1:12" x14ac:dyDescent="0.35">
      <c r="A334" t="s">
        <v>372</v>
      </c>
      <c r="B334" s="7">
        <v>45743</v>
      </c>
      <c r="C334" t="str">
        <f>IF(RawData!C334="","Unknown",PROPER(TRIM(CLEAN(SUBSTITUTE(RawData!C334,CHAR(160)," ")))))</f>
        <v>West</v>
      </c>
      <c r="D334" t="str">
        <f>IF(RawData!D334="","Unknown",PROPER(TRIM(CLEAN(SUBSTITUTE(RawData!D334,CHAR(160)," ")))))</f>
        <v>Ahmedabad</v>
      </c>
      <c r="E334" t="str">
        <f>IF(RawData!E334="","Unknown",PROPER(TRIM(CLEAN(SUBSTITUTE(RawData!E334,CHAR(160)," ")))))</f>
        <v>Desk</v>
      </c>
      <c r="F334" t="str">
        <f>IF(RawData!F334="","Unknown",PROPER(TRIM(CLEAN(SUBSTITUTE(RawData!F334,CHAR(160)," ")))))</f>
        <v>Furniture</v>
      </c>
      <c r="G334">
        <f>_xlfn.LET(
_xlpm.q,RawData!G334,
_xlpm.u,RawData!H334,
_xlpm.d,RawData!I334,
_xlpm.r,RawData!J334,
IF(AND(ISNUMBER(_xlpm.q),_xlpm.q&gt;0),_xlpm.q,
   IF(AND(ISNUMBER(_xlpm.r),ISNUMBER(_xlpm.u),_xlpm.u&gt;0,ISNUMBER(_xlpm.d),_xlpm.d&gt;=0,_xlpm.d&lt;1),
      ROUND(_xlpm.r/(_xlpm.u*(1-_xlpm.d)),0),
      ""
   )
)
)</f>
        <v>8</v>
      </c>
      <c r="H334" s="4">
        <f>_xlfn.LET(
_xlpm.q,RawData!G334,
_xlpm.u,RawData!H334,
_xlpm.d,RawData!I334,
_xlpm.r,RawData!J334,
IF(AND(ISNUMBER(_xlpm.u),_xlpm.u&gt;0),_xlpm.u,
   IF(AND(ISNUMBER(_xlpm.q),_xlpm.q&gt;0,ISNUMBER(_xlpm.r),ISNUMBER(_xlpm.d),_xlpm.d&gt;=0,_xlpm.d&lt;1),
      _xlpm.r/(_xlpm.q*(1-_xlpm.d)),
      ""
   )
)
)</f>
        <v>220.13</v>
      </c>
      <c r="I334" s="5">
        <f>_xlfn.LET(
_xlpm.q,RawData!G334,
_xlpm.u,RawData!H334,
_xlpm.d,RawData!I334,
_xlpm.r,RawData!J334,
IF(AND(ISNUMBER(_xlpm.d),_xlpm.d&gt;=0,_xlpm.d&lt;1),_xlpm.d,
   IF(AND(ISNUMBER(_xlpm.q),_xlpm.q&gt;0,ISNUMBER(_xlpm.u),_xlpm.u&gt;0,ISNUMBER(_xlpm.r),_xlpm.r&gt;=0),
      1-(_xlpm.r/(_xlpm.q*_xlpm.u)),
      ""
   )
)
)</f>
        <v>0</v>
      </c>
      <c r="J334" s="4">
        <f>_xlfn.LET(
_xlpm.q,RawData!G334,
_xlpm.u,RawData!H334,
_xlpm.d,RawData!I334,
_xlpm.r,RawData!J334,
IF(AND(ISNUMBER(_xlpm.r),_xlpm.r&gt;=0),_xlpm.r,
   IF(AND(ISNUMBER(_xlpm.q),_xlpm.q&gt;0,ISNUMBER(_xlpm.u),_xlpm.u&gt;0,ISNUMBER(_xlpm.d),_xlpm.d&gt;=0,_xlpm.d&lt;1),
      _xlpm.q*_xlpm.u*(1-_xlpm.d),
      ""
   )
)
)</f>
        <v>1761.04</v>
      </c>
      <c r="K334" s="4">
        <f>_xlfn.LET(
_xlpm.c,RawData!K334,
_xlpm.r,RawData!J334,
_xlpm.p,RawData!L334,
IF(AND(ISNUMBER(_xlpm.c),_xlpm.c&gt;=0),_xlpm.c,
   IF(AND(ISNUMBER(_xlpm.r),ISNUMBER(_xlpm.p)),
      _xlpm.r-_xlpm.p,
      ""
   )
)
)</f>
        <v>1041.25</v>
      </c>
      <c r="L334" s="4">
        <f>_xlfn.LET(
_xlpm.p,RawData!L334,
_xlpm.r,RawData!J334,
_xlpm.c,RawData!K334,
IF(ISNUMBER(_xlpm.p),_xlpm.p,
IF(AND(ISNUMBER(_xlpm.r),ISNUMBER(_xlpm.c)),
_xlpm.r-_xlpm.c,
""
)
))</f>
        <v>719.79</v>
      </c>
    </row>
    <row r="335" spans="1:12" x14ac:dyDescent="0.35">
      <c r="A335" t="s">
        <v>373</v>
      </c>
      <c r="B335" s="7">
        <v>45838</v>
      </c>
      <c r="C335" t="str">
        <f>IF(RawData!C335="","Unknown",PROPER(TRIM(CLEAN(SUBSTITUTE(RawData!C335,CHAR(160)," ")))))</f>
        <v>West</v>
      </c>
      <c r="D335" t="str">
        <f>IF(RawData!D335="","Unknown",PROPER(TRIM(CLEAN(SUBSTITUTE(RawData!D335,CHAR(160)," ")))))</f>
        <v>Ahmedabad</v>
      </c>
      <c r="E335" t="str">
        <f>IF(RawData!E335="","Unknown",PROPER(TRIM(CLEAN(SUBSTITUTE(RawData!E335,CHAR(160)," ")))))</f>
        <v>Keyboard</v>
      </c>
      <c r="F335" t="str">
        <f>IF(RawData!F335="","Unknown",PROPER(TRIM(CLEAN(SUBSTITUTE(RawData!F335,CHAR(160)," ")))))</f>
        <v>Furniture</v>
      </c>
      <c r="G335">
        <f>_xlfn.LET(
_xlpm.q,RawData!G335,
_xlpm.u,RawData!H335,
_xlpm.d,RawData!I335,
_xlpm.r,RawData!J335,
IF(AND(ISNUMBER(_xlpm.q),_xlpm.q&gt;0),_xlpm.q,
   IF(AND(ISNUMBER(_xlpm.r),ISNUMBER(_xlpm.u),_xlpm.u&gt;0,ISNUMBER(_xlpm.d),_xlpm.d&gt;=0,_xlpm.d&lt;1),
      ROUND(_xlpm.r/(_xlpm.u*(1-_xlpm.d)),0),
      ""
   )
)
)</f>
        <v>1</v>
      </c>
      <c r="H335" s="4">
        <f>_xlfn.LET(
_xlpm.q,RawData!G335,
_xlpm.u,RawData!H335,
_xlpm.d,RawData!I335,
_xlpm.r,RawData!J335,
IF(AND(ISNUMBER(_xlpm.u),_xlpm.u&gt;0),_xlpm.u,
   IF(AND(ISNUMBER(_xlpm.q),_xlpm.q&gt;0,ISNUMBER(_xlpm.r),ISNUMBER(_xlpm.d),_xlpm.d&gt;=0,_xlpm.d&lt;1),
      _xlpm.r/(_xlpm.q*(1-_xlpm.d)),
      ""
   )
)
)</f>
        <v>166.28</v>
      </c>
      <c r="I335" s="5">
        <f>_xlfn.LET(
_xlpm.q,RawData!G335,
_xlpm.u,RawData!H335,
_xlpm.d,RawData!I335,
_xlpm.r,RawData!J335,
IF(AND(ISNUMBER(_xlpm.d),_xlpm.d&gt;=0,_xlpm.d&lt;1),_xlpm.d,
   IF(AND(ISNUMBER(_xlpm.q),_xlpm.q&gt;0,ISNUMBER(_xlpm.u),_xlpm.u&gt;0,ISNUMBER(_xlpm.r),_xlpm.r&gt;=0),
      1-(_xlpm.r/(_xlpm.q*_xlpm.u)),
      ""
   )
)
)</f>
        <v>0</v>
      </c>
      <c r="J335" s="4">
        <f>_xlfn.LET(
_xlpm.q,RawData!G335,
_xlpm.u,RawData!H335,
_xlpm.d,RawData!I335,
_xlpm.r,RawData!J335,
IF(AND(ISNUMBER(_xlpm.r),_xlpm.r&gt;=0),_xlpm.r,
   IF(AND(ISNUMBER(_xlpm.q),_xlpm.q&gt;0,ISNUMBER(_xlpm.u),_xlpm.u&gt;0,ISNUMBER(_xlpm.d),_xlpm.d&gt;=0,_xlpm.d&lt;1),
      _xlpm.q*_xlpm.u*(1-_xlpm.d),
      ""
   )
)
)</f>
        <v>166.28</v>
      </c>
      <c r="K335" s="4">
        <f>_xlfn.LET(
_xlpm.c,RawData!K335,
_xlpm.r,RawData!J335,
_xlpm.p,RawData!L335,
IF(AND(ISNUMBER(_xlpm.c),_xlpm.c&gt;=0),_xlpm.c,
   IF(AND(ISNUMBER(_xlpm.r),ISNUMBER(_xlpm.p)),
      _xlpm.r-_xlpm.p,
      ""
   )
)
)</f>
        <v>98.67</v>
      </c>
      <c r="L335" s="4">
        <f>_xlfn.LET(
_xlpm.p,RawData!L335,
_xlpm.r,RawData!J335,
_xlpm.c,RawData!K335,
IF(ISNUMBER(_xlpm.p),_xlpm.p,
IF(AND(ISNUMBER(_xlpm.r),ISNUMBER(_xlpm.c)),
_xlpm.r-_xlpm.c,
""
)
))</f>
        <v>67.61</v>
      </c>
    </row>
    <row r="336" spans="1:12" x14ac:dyDescent="0.35">
      <c r="A336" t="s">
        <v>375</v>
      </c>
      <c r="B336" s="7">
        <v>45984</v>
      </c>
      <c r="C336" t="str">
        <f>IF(RawData!C336="","Unknown",PROPER(TRIM(CLEAN(SUBSTITUTE(RawData!C336,CHAR(160)," ")))))</f>
        <v>West</v>
      </c>
      <c r="D336" t="str">
        <f>IF(RawData!D336="","Unknown",PROPER(TRIM(CLEAN(SUBSTITUTE(RawData!D336,CHAR(160)," ")))))</f>
        <v>Ahmedabad</v>
      </c>
      <c r="E336" t="str">
        <f>IF(RawData!E336="","Unknown",PROPER(TRIM(CLEAN(SUBSTITUTE(RawData!E336,CHAR(160)," ")))))</f>
        <v>Desk</v>
      </c>
      <c r="F336" t="str">
        <f>IF(RawData!F336="","Unknown",PROPER(TRIM(CLEAN(SUBSTITUTE(RawData!F336,CHAR(160)," ")))))</f>
        <v>Furniture</v>
      </c>
      <c r="G336">
        <f>_xlfn.LET(
_xlpm.q,RawData!G336,
_xlpm.u,RawData!H336,
_xlpm.d,RawData!I336,
_xlpm.r,RawData!J336,
IF(AND(ISNUMBER(_xlpm.q),_xlpm.q&gt;0),_xlpm.q,
   IF(AND(ISNUMBER(_xlpm.r),ISNUMBER(_xlpm.u),_xlpm.u&gt;0,ISNUMBER(_xlpm.d),_xlpm.d&gt;=0,_xlpm.d&lt;1),
      ROUND(_xlpm.r/(_xlpm.u*(1-_xlpm.d)),0),
      ""
   )
)
)</f>
        <v>9</v>
      </c>
      <c r="H336" s="4">
        <f>_xlfn.LET(
_xlpm.q,RawData!G336,
_xlpm.u,RawData!H336,
_xlpm.d,RawData!I336,
_xlpm.r,RawData!J336,
IF(AND(ISNUMBER(_xlpm.u),_xlpm.u&gt;0),_xlpm.u,
   IF(AND(ISNUMBER(_xlpm.q),_xlpm.q&gt;0,ISNUMBER(_xlpm.r),ISNUMBER(_xlpm.d),_xlpm.d&gt;=0,_xlpm.d&lt;1),
      _xlpm.r/(_xlpm.q*(1-_xlpm.d)),
      ""
   )
)
)</f>
        <v>226.49</v>
      </c>
      <c r="I336" s="5">
        <f>_xlfn.LET(
_xlpm.q,RawData!G336,
_xlpm.u,RawData!H336,
_xlpm.d,RawData!I336,
_xlpm.r,RawData!J336,
IF(AND(ISNUMBER(_xlpm.d),_xlpm.d&gt;=0,_xlpm.d&lt;1),_xlpm.d,
   IF(AND(ISNUMBER(_xlpm.q),_xlpm.q&gt;0,ISNUMBER(_xlpm.u),_xlpm.u&gt;0,ISNUMBER(_xlpm.r),_xlpm.r&gt;=0),
      1-(_xlpm.r/(_xlpm.q*_xlpm.u)),
      ""
   )
)
)</f>
        <v>0.2</v>
      </c>
      <c r="J336" s="4">
        <f>_xlfn.LET(
_xlpm.q,RawData!G336,
_xlpm.u,RawData!H336,
_xlpm.d,RawData!I336,
_xlpm.r,RawData!J336,
IF(AND(ISNUMBER(_xlpm.r),_xlpm.r&gt;=0),_xlpm.r,
   IF(AND(ISNUMBER(_xlpm.q),_xlpm.q&gt;0,ISNUMBER(_xlpm.u),_xlpm.u&gt;0,ISNUMBER(_xlpm.d),_xlpm.d&gt;=0,_xlpm.d&lt;1),
      _xlpm.q*_xlpm.u*(1-_xlpm.d),
      ""
   )
)
)</f>
        <v>1630.73</v>
      </c>
      <c r="K336" s="4">
        <f>_xlfn.LET(
_xlpm.c,RawData!K336,
_xlpm.r,RawData!J336,
_xlpm.p,RawData!L336,
IF(AND(ISNUMBER(_xlpm.c),_xlpm.c&gt;=0),_xlpm.c,
   IF(AND(ISNUMBER(_xlpm.r),ISNUMBER(_xlpm.p)),
      _xlpm.r-_xlpm.p,
      ""
   )
)
)</f>
        <v>1022.43</v>
      </c>
      <c r="L336" s="4">
        <f>_xlfn.LET(
_xlpm.p,RawData!L336,
_xlpm.r,RawData!J336,
_xlpm.c,RawData!K336,
IF(ISNUMBER(_xlpm.p),_xlpm.p,
IF(AND(ISNUMBER(_xlpm.r),ISNUMBER(_xlpm.c)),
_xlpm.r-_xlpm.c,
""
)
))</f>
        <v>608.29999999999995</v>
      </c>
    </row>
    <row r="337" spans="1:12" x14ac:dyDescent="0.35">
      <c r="A337" t="s">
        <v>376</v>
      </c>
      <c r="B337" s="7">
        <v>45739</v>
      </c>
      <c r="C337" t="str">
        <f>IF(RawData!C337="","Unknown",PROPER(TRIM(CLEAN(SUBSTITUTE(RawData!C337,CHAR(160)," ")))))</f>
        <v>North</v>
      </c>
      <c r="D337" t="str">
        <f>IF(RawData!D337="","Unknown",PROPER(TRIM(CLEAN(SUBSTITUTE(RawData!D337,CHAR(160)," ")))))</f>
        <v>Jaipur</v>
      </c>
      <c r="E337" t="str">
        <f>IF(RawData!E337="","Unknown",PROPER(TRIM(CLEAN(SUBSTITUTE(RawData!E337,CHAR(160)," ")))))</f>
        <v>Headphones</v>
      </c>
      <c r="F337" t="str">
        <f>IF(RawData!F337="","Unknown",PROPER(TRIM(CLEAN(SUBSTITUTE(RawData!F337,CHAR(160)," ")))))</f>
        <v>Electronics</v>
      </c>
      <c r="G337">
        <f>_xlfn.LET(
_xlpm.q,RawData!G337,
_xlpm.u,RawData!H337,
_xlpm.d,RawData!I337,
_xlpm.r,RawData!J337,
IF(AND(ISNUMBER(_xlpm.q),_xlpm.q&gt;0),_xlpm.q,
   IF(AND(ISNUMBER(_xlpm.r),ISNUMBER(_xlpm.u),_xlpm.u&gt;0,ISNUMBER(_xlpm.d),_xlpm.d&gt;=0,_xlpm.d&lt;1),
      ROUND(_xlpm.r/(_xlpm.u*(1-_xlpm.d)),0),
      ""
   )
)
)</f>
        <v>10</v>
      </c>
      <c r="H337" s="4">
        <f>_xlfn.LET(
_xlpm.q,RawData!G337,
_xlpm.u,RawData!H337,
_xlpm.d,RawData!I337,
_xlpm.r,RawData!J337,
IF(AND(ISNUMBER(_xlpm.u),_xlpm.u&gt;0),_xlpm.u,
   IF(AND(ISNUMBER(_xlpm.q),_xlpm.q&gt;0,ISNUMBER(_xlpm.r),ISNUMBER(_xlpm.d),_xlpm.d&gt;=0,_xlpm.d&lt;1),
      _xlpm.r/(_xlpm.q*(1-_xlpm.d)),
      ""
   )
)
)</f>
        <v>72.16</v>
      </c>
      <c r="I337" s="5">
        <f>_xlfn.LET(
_xlpm.q,RawData!G337,
_xlpm.u,RawData!H337,
_xlpm.d,RawData!I337,
_xlpm.r,RawData!J337,
IF(AND(ISNUMBER(_xlpm.d),_xlpm.d&gt;=0,_xlpm.d&lt;1),_xlpm.d,
   IF(AND(ISNUMBER(_xlpm.q),_xlpm.q&gt;0,ISNUMBER(_xlpm.u),_xlpm.u&gt;0,ISNUMBER(_xlpm.r),_xlpm.r&gt;=0),
      1-(_xlpm.r/(_xlpm.q*_xlpm.u)),
      ""
   )
)
)</f>
        <v>0.2</v>
      </c>
      <c r="J337" s="4">
        <f>_xlfn.LET(
_xlpm.q,RawData!G337,
_xlpm.u,RawData!H337,
_xlpm.d,RawData!I337,
_xlpm.r,RawData!J337,
IF(AND(ISNUMBER(_xlpm.r),_xlpm.r&gt;=0),_xlpm.r,
   IF(AND(ISNUMBER(_xlpm.q),_xlpm.q&gt;0,ISNUMBER(_xlpm.u),_xlpm.u&gt;0,ISNUMBER(_xlpm.d),_xlpm.d&gt;=0,_xlpm.d&lt;1),
      _xlpm.q*_xlpm.u*(1-_xlpm.d),
      ""
   )
)
)</f>
        <v>577.28</v>
      </c>
      <c r="K337" s="4">
        <f>_xlfn.LET(
_xlpm.c,RawData!K337,
_xlpm.r,RawData!J337,
_xlpm.p,RawData!L337,
IF(AND(ISNUMBER(_xlpm.c),_xlpm.c&gt;=0),_xlpm.c,
   IF(AND(ISNUMBER(_xlpm.r),ISNUMBER(_xlpm.p)),
      _xlpm.r-_xlpm.p,
      ""
   )
)
)</f>
        <v>457.28</v>
      </c>
      <c r="L337" s="4">
        <f>_xlfn.LET(
_xlpm.p,RawData!L337,
_xlpm.r,RawData!J337,
_xlpm.c,RawData!K337,
IF(ISNUMBER(_xlpm.p),_xlpm.p,
IF(AND(ISNUMBER(_xlpm.r),ISNUMBER(_xlpm.c)),
_xlpm.r-_xlpm.c,
""
)
))</f>
        <v>120</v>
      </c>
    </row>
    <row r="338" spans="1:12" x14ac:dyDescent="0.35">
      <c r="A338" t="s">
        <v>377</v>
      </c>
      <c r="B338" s="7">
        <v>45675</v>
      </c>
      <c r="C338" t="str">
        <f>IF(RawData!C338="","Unknown",PROPER(TRIM(CLEAN(SUBSTITUTE(RawData!C338,CHAR(160)," ")))))</f>
        <v>South</v>
      </c>
      <c r="D338" t="str">
        <f>IF(RawData!D338="","Unknown",PROPER(TRIM(CLEAN(SUBSTITUTE(RawData!D338,CHAR(160)," ")))))</f>
        <v>Chennai</v>
      </c>
      <c r="E338" t="str">
        <f>IF(RawData!E338="","Unknown",PROPER(TRIM(CLEAN(SUBSTITUTE(RawData!E338,CHAR(160)," ")))))</f>
        <v>Smartphone</v>
      </c>
      <c r="F338" t="str">
        <f>IF(RawData!F338="","Unknown",PROPER(TRIM(CLEAN(SUBSTITUTE(RawData!F338,CHAR(160)," ")))))</f>
        <v>Electronics</v>
      </c>
      <c r="G338">
        <f>_xlfn.LET(
_xlpm.q,RawData!G338,
_xlpm.u,RawData!H338,
_xlpm.d,RawData!I338,
_xlpm.r,RawData!J338,
IF(AND(ISNUMBER(_xlpm.q),_xlpm.q&gt;0),_xlpm.q,
   IF(AND(ISNUMBER(_xlpm.r),ISNUMBER(_xlpm.u),_xlpm.u&gt;0,ISNUMBER(_xlpm.d),_xlpm.d&gt;=0,_xlpm.d&lt;1),
      ROUND(_xlpm.r/(_xlpm.u*(1-_xlpm.d)),0),
      ""
   )
)
)</f>
        <v>4</v>
      </c>
      <c r="H338" s="4">
        <f>_xlfn.LET(
_xlpm.q,RawData!G338,
_xlpm.u,RawData!H338,
_xlpm.d,RawData!I338,
_xlpm.r,RawData!J338,
IF(AND(ISNUMBER(_xlpm.u),_xlpm.u&gt;0),_xlpm.u,
   IF(AND(ISNUMBER(_xlpm.q),_xlpm.q&gt;0,ISNUMBER(_xlpm.r),ISNUMBER(_xlpm.d),_xlpm.d&gt;=0,_xlpm.d&lt;1),
      _xlpm.r/(_xlpm.q*(1-_xlpm.d)),
      ""
   )
)
)</f>
        <v>480.74</v>
      </c>
      <c r="I338" s="5">
        <f>_xlfn.LET(
_xlpm.q,RawData!G338,
_xlpm.u,RawData!H338,
_xlpm.d,RawData!I338,
_xlpm.r,RawData!J338,
IF(AND(ISNUMBER(_xlpm.d),_xlpm.d&gt;=0,_xlpm.d&lt;1),_xlpm.d,
   IF(AND(ISNUMBER(_xlpm.q),_xlpm.q&gt;0,ISNUMBER(_xlpm.u),_xlpm.u&gt;0,ISNUMBER(_xlpm.r),_xlpm.r&gt;=0),
      1-(_xlpm.r/(_xlpm.q*_xlpm.u)),
      ""
   )
)
)</f>
        <v>0.2</v>
      </c>
      <c r="J338" s="4">
        <f>_xlfn.LET(
_xlpm.q,RawData!G338,
_xlpm.u,RawData!H338,
_xlpm.d,RawData!I338,
_xlpm.r,RawData!J338,
IF(AND(ISNUMBER(_xlpm.r),_xlpm.r&gt;=0),_xlpm.r,
   IF(AND(ISNUMBER(_xlpm.q),_xlpm.q&gt;0,ISNUMBER(_xlpm.u),_xlpm.u&gt;0,ISNUMBER(_xlpm.d),_xlpm.d&gt;=0,_xlpm.d&lt;1),
      _xlpm.q*_xlpm.u*(1-_xlpm.d),
      ""
   )
)
)</f>
        <v>1538.37</v>
      </c>
      <c r="K338" s="4">
        <f>_xlfn.LET(
_xlpm.c,RawData!K338,
_xlpm.r,RawData!J338,
_xlpm.p,RawData!L338,
IF(AND(ISNUMBER(_xlpm.c),_xlpm.c&gt;=0),_xlpm.c,
   IF(AND(ISNUMBER(_xlpm.r),ISNUMBER(_xlpm.p)),
      _xlpm.r-_xlpm.p,
      ""
   )
)
)</f>
        <v>1063.96</v>
      </c>
      <c r="L338" s="4">
        <f>_xlfn.LET(
_xlpm.p,RawData!L338,
_xlpm.r,RawData!J338,
_xlpm.c,RawData!K338,
IF(ISNUMBER(_xlpm.p),_xlpm.p,
IF(AND(ISNUMBER(_xlpm.r),ISNUMBER(_xlpm.c)),
_xlpm.r-_xlpm.c,
""
)
))</f>
        <v>474.41</v>
      </c>
    </row>
    <row r="339" spans="1:12" x14ac:dyDescent="0.35">
      <c r="A339" t="s">
        <v>378</v>
      </c>
      <c r="B339" s="7">
        <v>45843</v>
      </c>
      <c r="C339" t="str">
        <f>IF(RawData!C339="","Unknown",PROPER(TRIM(CLEAN(SUBSTITUTE(RawData!C339,CHAR(160)," ")))))</f>
        <v>West</v>
      </c>
      <c r="D339" t="str">
        <f>IF(RawData!D339="","Unknown",PROPER(TRIM(CLEAN(SUBSTITUTE(RawData!D339,CHAR(160)," ")))))</f>
        <v>Mumbai</v>
      </c>
      <c r="E339" t="str">
        <f>IF(RawData!E339="","Unknown",PROPER(TRIM(CLEAN(SUBSTITUTE(RawData!E339,CHAR(160)," ")))))</f>
        <v>Pen Set</v>
      </c>
      <c r="F339" t="str">
        <f>IF(RawData!F339="","Unknown",PROPER(TRIM(CLEAN(SUBSTITUTE(RawData!F339,CHAR(160)," ")))))</f>
        <v>Office Supplies</v>
      </c>
      <c r="G339">
        <f>_xlfn.LET(
_xlpm.q,RawData!G339,
_xlpm.u,RawData!H339,
_xlpm.d,RawData!I339,
_xlpm.r,RawData!J339,
IF(AND(ISNUMBER(_xlpm.q),_xlpm.q&gt;0),_xlpm.q,
   IF(AND(ISNUMBER(_xlpm.r),ISNUMBER(_xlpm.u),_xlpm.u&gt;0,ISNUMBER(_xlpm.d),_xlpm.d&gt;=0,_xlpm.d&lt;1),
      ROUND(_xlpm.r/(_xlpm.u*(1-_xlpm.d)),0),
      ""
   )
)
)</f>
        <v>1</v>
      </c>
      <c r="H339" s="4">
        <f>_xlfn.LET(
_xlpm.q,RawData!G339,
_xlpm.u,RawData!H339,
_xlpm.d,RawData!I339,
_xlpm.r,RawData!J339,
IF(AND(ISNUMBER(_xlpm.u),_xlpm.u&gt;0),_xlpm.u,
   IF(AND(ISNUMBER(_xlpm.q),_xlpm.q&gt;0,ISNUMBER(_xlpm.r),ISNUMBER(_xlpm.d),_xlpm.d&gt;=0,_xlpm.d&lt;1),
      _xlpm.r/(_xlpm.q*(1-_xlpm.d)),
      ""
   )
)
)</f>
        <v>11.68</v>
      </c>
      <c r="I339" s="5">
        <f>_xlfn.LET(
_xlpm.q,RawData!G339,
_xlpm.u,RawData!H339,
_xlpm.d,RawData!I339,
_xlpm.r,RawData!J339,
IF(AND(ISNUMBER(_xlpm.d),_xlpm.d&gt;=0,_xlpm.d&lt;1),_xlpm.d,
   IF(AND(ISNUMBER(_xlpm.q),_xlpm.q&gt;0,ISNUMBER(_xlpm.u),_xlpm.u&gt;0,ISNUMBER(_xlpm.r),_xlpm.r&gt;=0),
      1-(_xlpm.r/(_xlpm.q*_xlpm.u)),
      ""
   )
)
)</f>
        <v>0.15</v>
      </c>
      <c r="J339" s="4">
        <f>_xlfn.LET(
_xlpm.q,RawData!G339,
_xlpm.u,RawData!H339,
_xlpm.d,RawData!I339,
_xlpm.r,RawData!J339,
IF(AND(ISNUMBER(_xlpm.r),_xlpm.r&gt;=0),_xlpm.r,
   IF(AND(ISNUMBER(_xlpm.q),_xlpm.q&gt;0,ISNUMBER(_xlpm.u),_xlpm.u&gt;0,ISNUMBER(_xlpm.d),_xlpm.d&gt;=0,_xlpm.d&lt;1),
      _xlpm.q*_xlpm.u*(1-_xlpm.d),
      ""
   )
)
)</f>
        <v>9.93</v>
      </c>
      <c r="K339" s="4">
        <f>_xlfn.LET(
_xlpm.c,RawData!K339,
_xlpm.r,RawData!J339,
_xlpm.p,RawData!L339,
IF(AND(ISNUMBER(_xlpm.c),_xlpm.c&gt;=0),_xlpm.c,
   IF(AND(ISNUMBER(_xlpm.r),ISNUMBER(_xlpm.p)),
      _xlpm.r-_xlpm.p,
      ""
   )
)
)</f>
        <v>8.1</v>
      </c>
      <c r="L339" s="4">
        <f>_xlfn.LET(
_xlpm.p,RawData!L339,
_xlpm.r,RawData!J339,
_xlpm.c,RawData!K339,
IF(ISNUMBER(_xlpm.p),_xlpm.p,
IF(AND(ISNUMBER(_xlpm.r),ISNUMBER(_xlpm.c)),
_xlpm.r-_xlpm.c,
""
)
))</f>
        <v>1.83</v>
      </c>
    </row>
    <row r="340" spans="1:12" x14ac:dyDescent="0.35">
      <c r="A340" t="s">
        <v>379</v>
      </c>
      <c r="B340" s="7">
        <v>46005</v>
      </c>
      <c r="C340" t="str">
        <f>IF(RawData!C340="","Unknown",PROPER(TRIM(CLEAN(SUBSTITUTE(RawData!C340,CHAR(160)," ")))))</f>
        <v>West</v>
      </c>
      <c r="D340" t="str">
        <f>IF(RawData!D340="","Unknown",PROPER(TRIM(CLEAN(SUBSTITUTE(RawData!D340,CHAR(160)," ")))))</f>
        <v>Mumbai</v>
      </c>
      <c r="E340" t="str">
        <f>IF(RawData!E340="","Unknown",PROPER(TRIM(CLEAN(SUBSTITUTE(RawData!E340,CHAR(160)," ")))))</f>
        <v>Desk</v>
      </c>
      <c r="F340" t="str">
        <f>IF(RawData!F340="","Unknown",PROPER(TRIM(CLEAN(SUBSTITUTE(RawData!F340,CHAR(160)," ")))))</f>
        <v>Furniture</v>
      </c>
      <c r="G340">
        <f>_xlfn.LET(
_xlpm.q,RawData!G340,
_xlpm.u,RawData!H340,
_xlpm.d,RawData!I340,
_xlpm.r,RawData!J340,
IF(AND(ISNUMBER(_xlpm.q),_xlpm.q&gt;0),_xlpm.q,
   IF(AND(ISNUMBER(_xlpm.r),ISNUMBER(_xlpm.u),_xlpm.u&gt;0,ISNUMBER(_xlpm.d),_xlpm.d&gt;=0,_xlpm.d&lt;1),
      ROUND(_xlpm.r/(_xlpm.u*(1-_xlpm.d)),0),
      ""
   )
)
)</f>
        <v>6</v>
      </c>
      <c r="H340" s="4">
        <f>_xlfn.LET(
_xlpm.q,RawData!G340,
_xlpm.u,RawData!H340,
_xlpm.d,RawData!I340,
_xlpm.r,RawData!J340,
IF(AND(ISNUMBER(_xlpm.u),_xlpm.u&gt;0),_xlpm.u,
   IF(AND(ISNUMBER(_xlpm.q),_xlpm.q&gt;0,ISNUMBER(_xlpm.r),ISNUMBER(_xlpm.d),_xlpm.d&gt;=0,_xlpm.d&lt;1),
      _xlpm.r/(_xlpm.q*(1-_xlpm.d)),
      ""
   )
)
)</f>
        <v>220.9</v>
      </c>
      <c r="I340" s="5">
        <f>_xlfn.LET(
_xlpm.q,RawData!G340,
_xlpm.u,RawData!H340,
_xlpm.d,RawData!I340,
_xlpm.r,RawData!J340,
IF(AND(ISNUMBER(_xlpm.d),_xlpm.d&gt;=0,_xlpm.d&lt;1),_xlpm.d,
   IF(AND(ISNUMBER(_xlpm.q),_xlpm.q&gt;0,ISNUMBER(_xlpm.u),_xlpm.u&gt;0,ISNUMBER(_xlpm.r),_xlpm.r&gt;=0),
      1-(_xlpm.r/(_xlpm.q*_xlpm.u)),
      ""
   )
)
)</f>
        <v>0.1</v>
      </c>
      <c r="J340" s="4">
        <f>_xlfn.LET(
_xlpm.q,RawData!G340,
_xlpm.u,RawData!H340,
_xlpm.d,RawData!I340,
_xlpm.r,RawData!J340,
IF(AND(ISNUMBER(_xlpm.r),_xlpm.r&gt;=0),_xlpm.r,
   IF(AND(ISNUMBER(_xlpm.q),_xlpm.q&gt;0,ISNUMBER(_xlpm.u),_xlpm.u&gt;0,ISNUMBER(_xlpm.d),_xlpm.d&gt;=0,_xlpm.d&lt;1),
      _xlpm.q*_xlpm.u*(1-_xlpm.d),
      ""
   )
)
)</f>
        <v>1192.8599999999999</v>
      </c>
      <c r="K340" s="4">
        <f>_xlfn.LET(
_xlpm.c,RawData!K340,
_xlpm.r,RawData!J340,
_xlpm.p,RawData!L340,
IF(AND(ISNUMBER(_xlpm.c),_xlpm.c&gt;=0),_xlpm.c,
   IF(AND(ISNUMBER(_xlpm.r),ISNUMBER(_xlpm.p)),
      _xlpm.r-_xlpm.p,
      ""
   )
)
)</f>
        <v>784.21</v>
      </c>
      <c r="L340" s="4">
        <f>_xlfn.LET(
_xlpm.p,RawData!L340,
_xlpm.r,RawData!J340,
_xlpm.c,RawData!K340,
IF(ISNUMBER(_xlpm.p),_xlpm.p,
IF(AND(ISNUMBER(_xlpm.r),ISNUMBER(_xlpm.c)),
_xlpm.r-_xlpm.c,
""
)
))</f>
        <v>408.65</v>
      </c>
    </row>
    <row r="341" spans="1:12" x14ac:dyDescent="0.35">
      <c r="A341" t="s">
        <v>380</v>
      </c>
      <c r="B341" s="7">
        <v>45951</v>
      </c>
      <c r="C341" t="str">
        <f>IF(RawData!C341="","Unknown",PROPER(TRIM(CLEAN(SUBSTITUTE(RawData!C341,CHAR(160)," ")))))</f>
        <v>South</v>
      </c>
      <c r="D341" t="str">
        <f>IF(RawData!D341="","Unknown",PROPER(TRIM(CLEAN(SUBSTITUTE(RawData!D341,CHAR(160)," ")))))</f>
        <v>Chennai</v>
      </c>
      <c r="E341" t="str">
        <f>IF(RawData!E341="","Unknown",PROPER(TRIM(CLEAN(SUBSTITUTE(RawData!E341,CHAR(160)," ")))))</f>
        <v>Notebook</v>
      </c>
      <c r="F341" t="str">
        <f>IF(RawData!F341="","Unknown",PROPER(TRIM(CLEAN(SUBSTITUTE(RawData!F341,CHAR(160)," ")))))</f>
        <v>Office Supplies</v>
      </c>
      <c r="G341">
        <f>_xlfn.LET(
_xlpm.q,RawData!G341,
_xlpm.u,RawData!H341,
_xlpm.d,RawData!I341,
_xlpm.r,RawData!J341,
IF(AND(ISNUMBER(_xlpm.q),_xlpm.q&gt;0),_xlpm.q,
   IF(AND(ISNUMBER(_xlpm.r),ISNUMBER(_xlpm.u),_xlpm.u&gt;0,ISNUMBER(_xlpm.d),_xlpm.d&gt;=0,_xlpm.d&lt;1),
      ROUND(_xlpm.r/(_xlpm.u*(1-_xlpm.d)),0),
      ""
   )
)
)</f>
        <v>6</v>
      </c>
      <c r="H341" s="4">
        <f>_xlfn.LET(
_xlpm.q,RawData!G341,
_xlpm.u,RawData!H341,
_xlpm.d,RawData!I341,
_xlpm.r,RawData!J341,
IF(AND(ISNUMBER(_xlpm.u),_xlpm.u&gt;0),_xlpm.u,
   IF(AND(ISNUMBER(_xlpm.q),_xlpm.q&gt;0,ISNUMBER(_xlpm.r),ISNUMBER(_xlpm.d),_xlpm.d&gt;=0,_xlpm.d&lt;1),
      _xlpm.r/(_xlpm.q*(1-_xlpm.d)),
      ""
   )
)
)</f>
        <v>9.1300000000000008</v>
      </c>
      <c r="I341" s="5">
        <f>_xlfn.LET(
_xlpm.q,RawData!G341,
_xlpm.u,RawData!H341,
_xlpm.d,RawData!I341,
_xlpm.r,RawData!J341,
IF(AND(ISNUMBER(_xlpm.d),_xlpm.d&gt;=0,_xlpm.d&lt;1),_xlpm.d,
   IF(AND(ISNUMBER(_xlpm.q),_xlpm.q&gt;0,ISNUMBER(_xlpm.u),_xlpm.u&gt;0,ISNUMBER(_xlpm.r),_xlpm.r&gt;=0),
      1-(_xlpm.r/(_xlpm.q*_xlpm.u)),
      ""
   )
)
)</f>
        <v>0.1</v>
      </c>
      <c r="J341" s="4">
        <f>_xlfn.LET(
_xlpm.q,RawData!G341,
_xlpm.u,RawData!H341,
_xlpm.d,RawData!I341,
_xlpm.r,RawData!J341,
IF(AND(ISNUMBER(_xlpm.r),_xlpm.r&gt;=0),_xlpm.r,
   IF(AND(ISNUMBER(_xlpm.q),_xlpm.q&gt;0,ISNUMBER(_xlpm.u),_xlpm.u&gt;0,ISNUMBER(_xlpm.d),_xlpm.d&gt;=0,_xlpm.d&lt;1),
      _xlpm.q*_xlpm.u*(1-_xlpm.d),
      ""
   )
)
)</f>
        <v>49.3</v>
      </c>
      <c r="K341" s="4">
        <f>_xlfn.LET(
_xlpm.c,RawData!K341,
_xlpm.r,RawData!J341,
_xlpm.p,RawData!L341,
IF(AND(ISNUMBER(_xlpm.c),_xlpm.c&gt;=0),_xlpm.c,
   IF(AND(ISNUMBER(_xlpm.r),ISNUMBER(_xlpm.p)),
      _xlpm.r-_xlpm.p,
      ""
   )
)
)</f>
        <v>38.64</v>
      </c>
      <c r="L341" s="4">
        <f>_xlfn.LET(
_xlpm.p,RawData!L341,
_xlpm.r,RawData!J341,
_xlpm.c,RawData!K341,
IF(ISNUMBER(_xlpm.p),_xlpm.p,
IF(AND(ISNUMBER(_xlpm.r),ISNUMBER(_xlpm.c)),
_xlpm.r-_xlpm.c,
""
)
))</f>
        <v>10.66</v>
      </c>
    </row>
    <row r="342" spans="1:12" x14ac:dyDescent="0.35">
      <c r="A342" t="s">
        <v>381</v>
      </c>
      <c r="B342" s="7">
        <v>45990</v>
      </c>
      <c r="C342" t="str">
        <f>IF(RawData!C342="","Unknown",PROPER(TRIM(CLEAN(SUBSTITUTE(RawData!C342,CHAR(160)," ")))))</f>
        <v>East</v>
      </c>
      <c r="D342" t="str">
        <f>IF(RawData!D342="","Unknown",PROPER(TRIM(CLEAN(SUBSTITUTE(RawData!D342,CHAR(160)," ")))))</f>
        <v>Patna</v>
      </c>
      <c r="E342" t="str">
        <f>IF(RawData!E342="","Unknown",PROPER(TRIM(CLEAN(SUBSTITUTE(RawData!E342,CHAR(160)," ")))))</f>
        <v>Monitor</v>
      </c>
      <c r="F342" t="str">
        <f>IF(RawData!F342="","Unknown",PROPER(TRIM(CLEAN(SUBSTITUTE(RawData!F342,CHAR(160)," ")))))</f>
        <v>Electronics</v>
      </c>
      <c r="G342">
        <f>_xlfn.LET(
_xlpm.q,RawData!G342,
_xlpm.u,RawData!H342,
_xlpm.d,RawData!I342,
_xlpm.r,RawData!J342,
IF(AND(ISNUMBER(_xlpm.q),_xlpm.q&gt;0),_xlpm.q,
   IF(AND(ISNUMBER(_xlpm.r),ISNUMBER(_xlpm.u),_xlpm.u&gt;0,ISNUMBER(_xlpm.d),_xlpm.d&gt;=0,_xlpm.d&lt;1),
      ROUND(_xlpm.r/(_xlpm.u*(1-_xlpm.d)),0),
      ""
   )
)
)</f>
        <v>2</v>
      </c>
      <c r="H342" s="4">
        <f>_xlfn.LET(
_xlpm.q,RawData!G342,
_xlpm.u,RawData!H342,
_xlpm.d,RawData!I342,
_xlpm.r,RawData!J342,
IF(AND(ISNUMBER(_xlpm.u),_xlpm.u&gt;0),_xlpm.u,
   IF(AND(ISNUMBER(_xlpm.q),_xlpm.q&gt;0,ISNUMBER(_xlpm.r),ISNUMBER(_xlpm.d),_xlpm.d&gt;=0,_xlpm.d&lt;1),
      _xlpm.r/(_xlpm.q*(1-_xlpm.d)),
      ""
   )
)
)</f>
        <v>240.93</v>
      </c>
      <c r="I342" s="5">
        <f>_xlfn.LET(
_xlpm.q,RawData!G342,
_xlpm.u,RawData!H342,
_xlpm.d,RawData!I342,
_xlpm.r,RawData!J342,
IF(AND(ISNUMBER(_xlpm.d),_xlpm.d&gt;=0,_xlpm.d&lt;1),_xlpm.d,
   IF(AND(ISNUMBER(_xlpm.q),_xlpm.q&gt;0,ISNUMBER(_xlpm.u),_xlpm.u&gt;0,ISNUMBER(_xlpm.r),_xlpm.r&gt;=0),
      1-(_xlpm.r/(_xlpm.q*_xlpm.u)),
      ""
   )
)
)</f>
        <v>0</v>
      </c>
      <c r="J342" s="4">
        <f>_xlfn.LET(
_xlpm.q,RawData!G342,
_xlpm.u,RawData!H342,
_xlpm.d,RawData!I342,
_xlpm.r,RawData!J342,
IF(AND(ISNUMBER(_xlpm.r),_xlpm.r&gt;=0),_xlpm.r,
   IF(AND(ISNUMBER(_xlpm.q),_xlpm.q&gt;0,ISNUMBER(_xlpm.u),_xlpm.u&gt;0,ISNUMBER(_xlpm.d),_xlpm.d&gt;=0,_xlpm.d&lt;1),
      _xlpm.q*_xlpm.u*(1-_xlpm.d),
      ""
   )
)
)</f>
        <v>481.86</v>
      </c>
      <c r="K342" s="4">
        <f>_xlfn.LET(
_xlpm.c,RawData!K342,
_xlpm.r,RawData!J342,
_xlpm.p,RawData!L342,
IF(AND(ISNUMBER(_xlpm.c),_xlpm.c&gt;=0),_xlpm.c,
   IF(AND(ISNUMBER(_xlpm.r),ISNUMBER(_xlpm.p)),
      _xlpm.r-_xlpm.p,
      ""
   )
)
)</f>
        <v>298.58</v>
      </c>
      <c r="L342" s="4">
        <f>_xlfn.LET(
_xlpm.p,RawData!L342,
_xlpm.r,RawData!J342,
_xlpm.c,RawData!K342,
IF(ISNUMBER(_xlpm.p),_xlpm.p,
IF(AND(ISNUMBER(_xlpm.r),ISNUMBER(_xlpm.c)),
_xlpm.r-_xlpm.c,
""
)
))</f>
        <v>183.28</v>
      </c>
    </row>
    <row r="343" spans="1:12" x14ac:dyDescent="0.35">
      <c r="A343" t="s">
        <v>382</v>
      </c>
      <c r="B343" s="7">
        <v>45753</v>
      </c>
      <c r="C343" t="str">
        <f>IF(RawData!C343="","Unknown",PROPER(TRIM(CLEAN(SUBSTITUTE(RawData!C343,CHAR(160)," ")))))</f>
        <v>West</v>
      </c>
      <c r="D343" t="str">
        <f>IF(RawData!D343="","Unknown",PROPER(TRIM(CLEAN(SUBSTITUTE(RawData!D343,CHAR(160)," ")))))</f>
        <v>Mumbai</v>
      </c>
      <c r="E343" t="str">
        <f>IF(RawData!E343="","Unknown",PROPER(TRIM(CLEAN(SUBSTITUTE(RawData!E343,CHAR(160)," ")))))</f>
        <v>Notebook</v>
      </c>
      <c r="F343" t="str">
        <f>IF(RawData!F343="","Unknown",PROPER(TRIM(CLEAN(SUBSTITUTE(RawData!F343,CHAR(160)," ")))))</f>
        <v>Office Supplies</v>
      </c>
      <c r="G343">
        <f>_xlfn.LET(
_xlpm.q,RawData!G343,
_xlpm.u,RawData!H343,
_xlpm.d,RawData!I343,
_xlpm.r,RawData!J343,
IF(AND(ISNUMBER(_xlpm.q),_xlpm.q&gt;0),_xlpm.q,
   IF(AND(ISNUMBER(_xlpm.r),ISNUMBER(_xlpm.u),_xlpm.u&gt;0,ISNUMBER(_xlpm.d),_xlpm.d&gt;=0,_xlpm.d&lt;1),
      ROUND(_xlpm.r/(_xlpm.u*(1-_xlpm.d)),0),
      ""
   )
)
)</f>
        <v>7</v>
      </c>
      <c r="H343" s="4">
        <f>_xlfn.LET(
_xlpm.q,RawData!G343,
_xlpm.u,RawData!H343,
_xlpm.d,RawData!I343,
_xlpm.r,RawData!J343,
IF(AND(ISNUMBER(_xlpm.u),_xlpm.u&gt;0),_xlpm.u,
   IF(AND(ISNUMBER(_xlpm.q),_xlpm.q&gt;0,ISNUMBER(_xlpm.r),ISNUMBER(_xlpm.d),_xlpm.d&gt;=0,_xlpm.d&lt;1),
      _xlpm.r/(_xlpm.q*(1-_xlpm.d)),
      ""
   )
)
)</f>
        <v>7.21</v>
      </c>
      <c r="I343" s="5">
        <f>_xlfn.LET(
_xlpm.q,RawData!G343,
_xlpm.u,RawData!H343,
_xlpm.d,RawData!I343,
_xlpm.r,RawData!J343,
IF(AND(ISNUMBER(_xlpm.d),_xlpm.d&gt;=0,_xlpm.d&lt;1),_xlpm.d,
   IF(AND(ISNUMBER(_xlpm.q),_xlpm.q&gt;0,ISNUMBER(_xlpm.u),_xlpm.u&gt;0,ISNUMBER(_xlpm.r),_xlpm.r&gt;=0),
      1-(_xlpm.r/(_xlpm.q*_xlpm.u)),
      ""
   )
)
)</f>
        <v>0.15</v>
      </c>
      <c r="J343" s="4">
        <f>_xlfn.LET(
_xlpm.q,RawData!G343,
_xlpm.u,RawData!H343,
_xlpm.d,RawData!I343,
_xlpm.r,RawData!J343,
IF(AND(ISNUMBER(_xlpm.r),_xlpm.r&gt;=0),_xlpm.r,
   IF(AND(ISNUMBER(_xlpm.q),_xlpm.q&gt;0,ISNUMBER(_xlpm.u),_xlpm.u&gt;0,ISNUMBER(_xlpm.d),_xlpm.d&gt;=0,_xlpm.d&lt;1),
      _xlpm.q*_xlpm.u*(1-_xlpm.d),
      ""
   )
)
)</f>
        <v>42.9</v>
      </c>
      <c r="K343" s="4">
        <f>_xlfn.LET(
_xlpm.c,RawData!K343,
_xlpm.r,RawData!J343,
_xlpm.p,RawData!L343,
IF(AND(ISNUMBER(_xlpm.c),_xlpm.c&gt;=0),_xlpm.c,
   IF(AND(ISNUMBER(_xlpm.r),ISNUMBER(_xlpm.p)),
      _xlpm.r-_xlpm.p,
      ""
   )
)
)</f>
        <v>31.34</v>
      </c>
      <c r="L343" s="4">
        <f>_xlfn.LET(
_xlpm.p,RawData!L343,
_xlpm.r,RawData!J343,
_xlpm.c,RawData!K343,
IF(ISNUMBER(_xlpm.p),_xlpm.p,
IF(AND(ISNUMBER(_xlpm.r),ISNUMBER(_xlpm.c)),
_xlpm.r-_xlpm.c,
""
)
))</f>
        <v>11.56</v>
      </c>
    </row>
    <row r="344" spans="1:12" x14ac:dyDescent="0.35">
      <c r="A344" t="s">
        <v>383</v>
      </c>
      <c r="B344" s="7">
        <v>45792</v>
      </c>
      <c r="C344" t="str">
        <f>IF(RawData!C344="","Unknown",PROPER(TRIM(CLEAN(SUBSTITUTE(RawData!C344,CHAR(160)," ")))))</f>
        <v>East</v>
      </c>
      <c r="D344" t="str">
        <f>IF(RawData!D344="","Unknown",PROPER(TRIM(CLEAN(SUBSTITUTE(RawData!D344,CHAR(160)," ")))))</f>
        <v>Patna</v>
      </c>
      <c r="E344" t="str">
        <f>IF(RawData!E344="","Unknown",PROPER(TRIM(CLEAN(SUBSTITUTE(RawData!E344,CHAR(160)," ")))))</f>
        <v>Keyboard</v>
      </c>
      <c r="F344" t="str">
        <f>IF(RawData!F344="","Unknown",PROPER(TRIM(CLEAN(SUBSTITUTE(RawData!F344,CHAR(160)," ")))))</f>
        <v>Accessories</v>
      </c>
      <c r="G344">
        <f>_xlfn.LET(
_xlpm.q,RawData!G344,
_xlpm.u,RawData!H344,
_xlpm.d,RawData!I344,
_xlpm.r,RawData!J344,
IF(AND(ISNUMBER(_xlpm.q),_xlpm.q&gt;0),_xlpm.q,
   IF(AND(ISNUMBER(_xlpm.r),ISNUMBER(_xlpm.u),_xlpm.u&gt;0,ISNUMBER(_xlpm.d),_xlpm.d&gt;=0,_xlpm.d&lt;1),
      ROUND(_xlpm.r/(_xlpm.u*(1-_xlpm.d)),0),
      ""
   )
)
)</f>
        <v>8</v>
      </c>
      <c r="H344" s="4">
        <f>_xlfn.LET(
_xlpm.q,RawData!G344,
_xlpm.u,RawData!H344,
_xlpm.d,RawData!I344,
_xlpm.r,RawData!J344,
IF(AND(ISNUMBER(_xlpm.u),_xlpm.u&gt;0),_xlpm.u,
   IF(AND(ISNUMBER(_xlpm.q),_xlpm.q&gt;0,ISNUMBER(_xlpm.r),ISNUMBER(_xlpm.d),_xlpm.d&gt;=0,_xlpm.d&lt;1),
      _xlpm.r/(_xlpm.q*(1-_xlpm.d)),
      ""
   )
)
)</f>
        <v>39.51</v>
      </c>
      <c r="I344" s="5">
        <f>_xlfn.LET(
_xlpm.q,RawData!G344,
_xlpm.u,RawData!H344,
_xlpm.d,RawData!I344,
_xlpm.r,RawData!J344,
IF(AND(ISNUMBER(_xlpm.d),_xlpm.d&gt;=0,_xlpm.d&lt;1),_xlpm.d,
   IF(AND(ISNUMBER(_xlpm.q),_xlpm.q&gt;0,ISNUMBER(_xlpm.u),_xlpm.u&gt;0,ISNUMBER(_xlpm.r),_xlpm.r&gt;=0),
      1-(_xlpm.r/(_xlpm.q*_xlpm.u)),
      ""
   )
)
)</f>
        <v>0.02</v>
      </c>
      <c r="J344" s="4">
        <f>_xlfn.LET(
_xlpm.q,RawData!G344,
_xlpm.u,RawData!H344,
_xlpm.d,RawData!I344,
_xlpm.r,RawData!J344,
IF(AND(ISNUMBER(_xlpm.r),_xlpm.r&gt;=0),_xlpm.r,
   IF(AND(ISNUMBER(_xlpm.q),_xlpm.q&gt;0,ISNUMBER(_xlpm.u),_xlpm.u&gt;0,ISNUMBER(_xlpm.d),_xlpm.d&gt;=0,_xlpm.d&lt;1),
      _xlpm.q*_xlpm.u*(1-_xlpm.d),
      ""
   )
)
)</f>
        <v>309.76</v>
      </c>
      <c r="K344" s="4">
        <f>_xlfn.LET(
_xlpm.c,RawData!K344,
_xlpm.r,RawData!J344,
_xlpm.p,RawData!L344,
IF(AND(ISNUMBER(_xlpm.c),_xlpm.c&gt;=0),_xlpm.c,
   IF(AND(ISNUMBER(_xlpm.r),ISNUMBER(_xlpm.p)),
      _xlpm.r-_xlpm.p,
      ""
   )
)
)</f>
        <v>216.93</v>
      </c>
      <c r="L344" s="4">
        <f>_xlfn.LET(
_xlpm.p,RawData!L344,
_xlpm.r,RawData!J344,
_xlpm.c,RawData!K344,
IF(ISNUMBER(_xlpm.p),_xlpm.p,
IF(AND(ISNUMBER(_xlpm.r),ISNUMBER(_xlpm.c)),
_xlpm.r-_xlpm.c,
""
)
))</f>
        <v>92.83</v>
      </c>
    </row>
    <row r="345" spans="1:12" x14ac:dyDescent="0.35">
      <c r="A345" t="s">
        <v>384</v>
      </c>
      <c r="B345" s="7">
        <v>45804</v>
      </c>
      <c r="C345" t="str">
        <f>IF(RawData!C345="","Unknown",PROPER(TRIM(CLEAN(SUBSTITUTE(RawData!C345,CHAR(160)," ")))))</f>
        <v>West</v>
      </c>
      <c r="D345" t="str">
        <f>IF(RawData!D345="","Unknown",PROPER(TRIM(CLEAN(SUBSTITUTE(RawData!D345,CHAR(160)," ")))))</f>
        <v>Mumbai</v>
      </c>
      <c r="E345" t="str">
        <f>IF(RawData!E345="","Unknown",PROPER(TRIM(CLEAN(SUBSTITUTE(RawData!E345,CHAR(160)," ")))))</f>
        <v>Monitor</v>
      </c>
      <c r="F345" t="str">
        <f>IF(RawData!F345="","Unknown",PROPER(TRIM(CLEAN(SUBSTITUTE(RawData!F345,CHAR(160)," ")))))</f>
        <v>Electronics</v>
      </c>
      <c r="G345">
        <f>_xlfn.LET(
_xlpm.q,RawData!G345,
_xlpm.u,RawData!H345,
_xlpm.d,RawData!I345,
_xlpm.r,RawData!J345,
IF(AND(ISNUMBER(_xlpm.q),_xlpm.q&gt;0),_xlpm.q,
   IF(AND(ISNUMBER(_xlpm.r),ISNUMBER(_xlpm.u),_xlpm.u&gt;0,ISNUMBER(_xlpm.d),_xlpm.d&gt;=0,_xlpm.d&lt;1),
      ROUND(_xlpm.r/(_xlpm.u*(1-_xlpm.d)),0),
      ""
   )
)
)</f>
        <v>2</v>
      </c>
      <c r="H345" s="4">
        <f>_xlfn.LET(
_xlpm.q,RawData!G345,
_xlpm.u,RawData!H345,
_xlpm.d,RawData!I345,
_xlpm.r,RawData!J345,
IF(AND(ISNUMBER(_xlpm.u),_xlpm.u&gt;0),_xlpm.u,
   IF(AND(ISNUMBER(_xlpm.q),_xlpm.q&gt;0,ISNUMBER(_xlpm.r),ISNUMBER(_xlpm.d),_xlpm.d&gt;=0,_xlpm.d&lt;1),
      _xlpm.r/(_xlpm.q*(1-_xlpm.d)),
      ""
   )
)
)</f>
        <v>224.73</v>
      </c>
      <c r="I345" s="5">
        <f>_xlfn.LET(
_xlpm.q,RawData!G345,
_xlpm.u,RawData!H345,
_xlpm.d,RawData!I345,
_xlpm.r,RawData!J345,
IF(AND(ISNUMBER(_xlpm.d),_xlpm.d&gt;=0,_xlpm.d&lt;1),_xlpm.d,
   IF(AND(ISNUMBER(_xlpm.q),_xlpm.q&gt;0,ISNUMBER(_xlpm.u),_xlpm.u&gt;0,ISNUMBER(_xlpm.r),_xlpm.r&gt;=0),
      1-(_xlpm.r/(_xlpm.q*_xlpm.u)),
      ""
   )
)
)</f>
        <v>0.02</v>
      </c>
      <c r="J345" s="4">
        <f>_xlfn.LET(
_xlpm.q,RawData!G345,
_xlpm.u,RawData!H345,
_xlpm.d,RawData!I345,
_xlpm.r,RawData!J345,
IF(AND(ISNUMBER(_xlpm.r),_xlpm.r&gt;=0),_xlpm.r,
   IF(AND(ISNUMBER(_xlpm.q),_xlpm.q&gt;0,ISNUMBER(_xlpm.u),_xlpm.u&gt;0,ISNUMBER(_xlpm.d),_xlpm.d&gt;=0,_xlpm.d&lt;1),
      _xlpm.q*_xlpm.u*(1-_xlpm.d),
      ""
   )
)
)</f>
        <v>440.47</v>
      </c>
      <c r="K345" s="4">
        <f>_xlfn.LET(
_xlpm.c,RawData!K345,
_xlpm.r,RawData!J345,
_xlpm.p,RawData!L345,
IF(AND(ISNUMBER(_xlpm.c),_xlpm.c&gt;=0),_xlpm.c,
   IF(AND(ISNUMBER(_xlpm.r),ISNUMBER(_xlpm.p)),
      _xlpm.r-_xlpm.p,
      ""
   )
)
)</f>
        <v>275.56</v>
      </c>
      <c r="L345" s="4">
        <f>_xlfn.LET(
_xlpm.p,RawData!L345,
_xlpm.r,RawData!J345,
_xlpm.c,RawData!K345,
IF(ISNUMBER(_xlpm.p),_xlpm.p,
IF(AND(ISNUMBER(_xlpm.r),ISNUMBER(_xlpm.c)),
_xlpm.r-_xlpm.c,
""
)
))</f>
        <v>164.91</v>
      </c>
    </row>
    <row r="346" spans="1:12" x14ac:dyDescent="0.35">
      <c r="A346" t="s">
        <v>385</v>
      </c>
      <c r="B346" s="7">
        <v>45889</v>
      </c>
      <c r="C346" t="str">
        <f>IF(RawData!C346="","Unknown",PROPER(TRIM(CLEAN(SUBSTITUTE(RawData!C346,CHAR(160)," ")))))</f>
        <v>South</v>
      </c>
      <c r="D346" t="str">
        <f>IF(RawData!D346="","Unknown",PROPER(TRIM(CLEAN(SUBSTITUTE(RawData!D346,CHAR(160)," ")))))</f>
        <v>Bengaluru</v>
      </c>
      <c r="E346" t="str">
        <f>IF(RawData!E346="","Unknown",PROPER(TRIM(CLEAN(SUBSTITUTE(RawData!E346,CHAR(160)," ")))))</f>
        <v>Keyboard</v>
      </c>
      <c r="F346" t="str">
        <f>IF(RawData!F346="","Unknown",PROPER(TRIM(CLEAN(SUBSTITUTE(RawData!F346,CHAR(160)," ")))))</f>
        <v>Accessories</v>
      </c>
      <c r="G346">
        <f>_xlfn.LET(
_xlpm.q,RawData!G346,
_xlpm.u,RawData!H346,
_xlpm.d,RawData!I346,
_xlpm.r,RawData!J346,
IF(AND(ISNUMBER(_xlpm.q),_xlpm.q&gt;0),_xlpm.q,
   IF(AND(ISNUMBER(_xlpm.r),ISNUMBER(_xlpm.u),_xlpm.u&gt;0,ISNUMBER(_xlpm.d),_xlpm.d&gt;=0,_xlpm.d&lt;1),
      ROUND(_xlpm.r/(_xlpm.u*(1-_xlpm.d)),0),
      ""
   )
)
)</f>
        <v>8</v>
      </c>
      <c r="H346" s="4">
        <f>_xlfn.LET(
_xlpm.q,RawData!G346,
_xlpm.u,RawData!H346,
_xlpm.d,RawData!I346,
_xlpm.r,RawData!J346,
IF(AND(ISNUMBER(_xlpm.u),_xlpm.u&gt;0),_xlpm.u,
   IF(AND(ISNUMBER(_xlpm.q),_xlpm.q&gt;0,ISNUMBER(_xlpm.r),ISNUMBER(_xlpm.d),_xlpm.d&gt;=0,_xlpm.d&lt;1),
      _xlpm.r/(_xlpm.q*(1-_xlpm.d)),
      ""
   )
)
)</f>
        <v>37.83</v>
      </c>
      <c r="I346" s="5">
        <f>_xlfn.LET(
_xlpm.q,RawData!G346,
_xlpm.u,RawData!H346,
_xlpm.d,RawData!I346,
_xlpm.r,RawData!J346,
IF(AND(ISNUMBER(_xlpm.d),_xlpm.d&gt;=0,_xlpm.d&lt;1),_xlpm.d,
   IF(AND(ISNUMBER(_xlpm.q),_xlpm.q&gt;0,ISNUMBER(_xlpm.u),_xlpm.u&gt;0,ISNUMBER(_xlpm.r),_xlpm.r&gt;=0),
      1-(_xlpm.r/(_xlpm.q*_xlpm.u)),
      ""
   )
)
)</f>
        <v>0</v>
      </c>
      <c r="J346" s="4">
        <f>_xlfn.LET(
_xlpm.q,RawData!G346,
_xlpm.u,RawData!H346,
_xlpm.d,RawData!I346,
_xlpm.r,RawData!J346,
IF(AND(ISNUMBER(_xlpm.r),_xlpm.r&gt;=0),_xlpm.r,
   IF(AND(ISNUMBER(_xlpm.q),_xlpm.q&gt;0,ISNUMBER(_xlpm.u),_xlpm.u&gt;0,ISNUMBER(_xlpm.d),_xlpm.d&gt;=0,_xlpm.d&lt;1),
      _xlpm.q*_xlpm.u*(1-_xlpm.d),
      ""
   )
)
)</f>
        <v>302.64</v>
      </c>
      <c r="K346" s="4">
        <f>_xlfn.LET(
_xlpm.c,RawData!K346,
_xlpm.r,RawData!J346,
_xlpm.p,RawData!L346,
IF(AND(ISNUMBER(_xlpm.c),_xlpm.c&gt;=0),_xlpm.c,
   IF(AND(ISNUMBER(_xlpm.r),ISNUMBER(_xlpm.p)),
      _xlpm.r-_xlpm.p,
      ""
   )
)
)</f>
        <v>181.74</v>
      </c>
      <c r="L346" s="4">
        <f>_xlfn.LET(
_xlpm.p,RawData!L346,
_xlpm.r,RawData!J346,
_xlpm.c,RawData!K346,
IF(ISNUMBER(_xlpm.p),_xlpm.p,
IF(AND(ISNUMBER(_xlpm.r),ISNUMBER(_xlpm.c)),
_xlpm.r-_xlpm.c,
""
)
))</f>
        <v>120.9</v>
      </c>
    </row>
    <row r="347" spans="1:12" x14ac:dyDescent="0.35">
      <c r="A347" t="s">
        <v>386</v>
      </c>
      <c r="B347" s="7">
        <v>45821</v>
      </c>
      <c r="C347" t="str">
        <f>IF(RawData!C347="","Unknown",PROPER(TRIM(CLEAN(SUBSTITUTE(RawData!C347,CHAR(160)," ")))))</f>
        <v>East</v>
      </c>
      <c r="D347" t="str">
        <f>IF(RawData!D347="","Unknown",PROPER(TRIM(CLEAN(SUBSTITUTE(RawData!D347,CHAR(160)," ")))))</f>
        <v>Patna</v>
      </c>
      <c r="E347" t="str">
        <f>IF(RawData!E347="","Unknown",PROPER(TRIM(CLEAN(SUBSTITUTE(RawData!E347,CHAR(160)," ")))))</f>
        <v>Keyboard</v>
      </c>
      <c r="F347" t="str">
        <f>IF(RawData!F347="","Unknown",PROPER(TRIM(CLEAN(SUBSTITUTE(RawData!F347,CHAR(160)," ")))))</f>
        <v>Accessories</v>
      </c>
      <c r="G347">
        <f>_xlfn.LET(
_xlpm.q,RawData!G347,
_xlpm.u,RawData!H347,
_xlpm.d,RawData!I347,
_xlpm.r,RawData!J347,
IF(AND(ISNUMBER(_xlpm.q),_xlpm.q&gt;0),_xlpm.q,
   IF(AND(ISNUMBER(_xlpm.r),ISNUMBER(_xlpm.u),_xlpm.u&gt;0,ISNUMBER(_xlpm.d),_xlpm.d&gt;=0,_xlpm.d&lt;1),
      ROUND(_xlpm.r/(_xlpm.u*(1-_xlpm.d)),0),
      ""
   )
)
)</f>
        <v>2</v>
      </c>
      <c r="H347" s="4">
        <f>_xlfn.LET(
_xlpm.q,RawData!G347,
_xlpm.u,RawData!H347,
_xlpm.d,RawData!I347,
_xlpm.r,RawData!J347,
IF(AND(ISNUMBER(_xlpm.u),_xlpm.u&gt;0),_xlpm.u,
   IF(AND(ISNUMBER(_xlpm.q),_xlpm.q&gt;0,ISNUMBER(_xlpm.r),ISNUMBER(_xlpm.d),_xlpm.d&gt;=0,_xlpm.d&lt;1),
      _xlpm.r/(_xlpm.q*(1-_xlpm.d)),
      ""
   )
)
)</f>
        <v>33.15</v>
      </c>
      <c r="I347" s="5">
        <f>_xlfn.LET(
_xlpm.q,RawData!G347,
_xlpm.u,RawData!H347,
_xlpm.d,RawData!I347,
_xlpm.r,RawData!J347,
IF(AND(ISNUMBER(_xlpm.d),_xlpm.d&gt;=0,_xlpm.d&lt;1),_xlpm.d,
   IF(AND(ISNUMBER(_xlpm.q),_xlpm.q&gt;0,ISNUMBER(_xlpm.u),_xlpm.u&gt;0,ISNUMBER(_xlpm.r),_xlpm.r&gt;=0),
      1-(_xlpm.r/(_xlpm.q*_xlpm.u)),
      ""
   )
)
)</f>
        <v>0.15</v>
      </c>
      <c r="J347" s="4">
        <f>_xlfn.LET(
_xlpm.q,RawData!G347,
_xlpm.u,RawData!H347,
_xlpm.d,RawData!I347,
_xlpm.r,RawData!J347,
IF(AND(ISNUMBER(_xlpm.r),_xlpm.r&gt;=0),_xlpm.r,
   IF(AND(ISNUMBER(_xlpm.q),_xlpm.q&gt;0,ISNUMBER(_xlpm.u),_xlpm.u&gt;0,ISNUMBER(_xlpm.d),_xlpm.d&gt;=0,_xlpm.d&lt;1),
      _xlpm.q*_xlpm.u*(1-_xlpm.d),
      ""
   )
)
)</f>
        <v>56.35</v>
      </c>
      <c r="K347" s="4">
        <f>_xlfn.LET(
_xlpm.c,RawData!K347,
_xlpm.r,RawData!J347,
_xlpm.p,RawData!L347,
IF(AND(ISNUMBER(_xlpm.c),_xlpm.c&gt;=0),_xlpm.c,
   IF(AND(ISNUMBER(_xlpm.r),ISNUMBER(_xlpm.p)),
      _xlpm.r-_xlpm.p,
      ""
   )
)
)</f>
        <v>37.47</v>
      </c>
      <c r="L347" s="4">
        <f>_xlfn.LET(
_xlpm.p,RawData!L347,
_xlpm.r,RawData!J347,
_xlpm.c,RawData!K347,
IF(ISNUMBER(_xlpm.p),_xlpm.p,
IF(AND(ISNUMBER(_xlpm.r),ISNUMBER(_xlpm.c)),
_xlpm.r-_xlpm.c,
""
)
))</f>
        <v>18.88</v>
      </c>
    </row>
    <row r="348" spans="1:12" x14ac:dyDescent="0.35">
      <c r="A348" t="s">
        <v>387</v>
      </c>
      <c r="B348" s="7">
        <v>45806</v>
      </c>
      <c r="C348" t="str">
        <f>IF(RawData!C348="","Unknown",PROPER(TRIM(CLEAN(SUBSTITUTE(RawData!C348,CHAR(160)," ")))))</f>
        <v>East</v>
      </c>
      <c r="D348" t="str">
        <f>IF(RawData!D348="","Unknown",PROPER(TRIM(CLEAN(SUBSTITUTE(RawData!D348,CHAR(160)," ")))))</f>
        <v>Patna</v>
      </c>
      <c r="E348" t="str">
        <f>IF(RawData!E348="","Unknown",PROPER(TRIM(CLEAN(SUBSTITUTE(RawData!E348,CHAR(160)," ")))))</f>
        <v>Headphones</v>
      </c>
      <c r="F348" t="str">
        <f>IF(RawData!F348="","Unknown",PROPER(TRIM(CLEAN(SUBSTITUTE(RawData!F348,CHAR(160)," ")))))</f>
        <v>Electronics</v>
      </c>
      <c r="G348">
        <f>_xlfn.LET(
_xlpm.q,RawData!G348,
_xlpm.u,RawData!H348,
_xlpm.d,RawData!I348,
_xlpm.r,RawData!J348,
IF(AND(ISNUMBER(_xlpm.q),_xlpm.q&gt;0),_xlpm.q,
   IF(AND(ISNUMBER(_xlpm.r),ISNUMBER(_xlpm.u),_xlpm.u&gt;0,ISNUMBER(_xlpm.d),_xlpm.d&gt;=0,_xlpm.d&lt;1),
      ROUND(_xlpm.r/(_xlpm.u*(1-_xlpm.d)),0),
      ""
   )
)
)</f>
        <v>3</v>
      </c>
      <c r="H348" s="4">
        <f>_xlfn.LET(
_xlpm.q,RawData!G348,
_xlpm.u,RawData!H348,
_xlpm.d,RawData!I348,
_xlpm.r,RawData!J348,
IF(AND(ISNUMBER(_xlpm.u),_xlpm.u&gt;0),_xlpm.u,
   IF(AND(ISNUMBER(_xlpm.q),_xlpm.q&gt;0,ISNUMBER(_xlpm.r),ISNUMBER(_xlpm.d),_xlpm.d&gt;=0,_xlpm.d&lt;1),
      _xlpm.r/(_xlpm.q*(1-_xlpm.d)),
      ""
   )
)
)</f>
        <v>80.180000000000007</v>
      </c>
      <c r="I348" s="5">
        <f>_xlfn.LET(
_xlpm.q,RawData!G348,
_xlpm.u,RawData!H348,
_xlpm.d,RawData!I348,
_xlpm.r,RawData!J348,
IF(AND(ISNUMBER(_xlpm.d),_xlpm.d&gt;=0,_xlpm.d&lt;1),_xlpm.d,
   IF(AND(ISNUMBER(_xlpm.q),_xlpm.q&gt;0,ISNUMBER(_xlpm.u),_xlpm.u&gt;0,ISNUMBER(_xlpm.r),_xlpm.r&gt;=0),
      1-(_xlpm.r/(_xlpm.q*_xlpm.u)),
      ""
   )
)
)</f>
        <v>0.05</v>
      </c>
      <c r="J348" s="4">
        <f>_xlfn.LET(
_xlpm.q,RawData!G348,
_xlpm.u,RawData!H348,
_xlpm.d,RawData!I348,
_xlpm.r,RawData!J348,
IF(AND(ISNUMBER(_xlpm.r),_xlpm.r&gt;=0),_xlpm.r,
   IF(AND(ISNUMBER(_xlpm.q),_xlpm.q&gt;0,ISNUMBER(_xlpm.u),_xlpm.u&gt;0,ISNUMBER(_xlpm.d),_xlpm.d&gt;=0,_xlpm.d&lt;1),
      _xlpm.q*_xlpm.u*(1-_xlpm.d),
      ""
   )
)
)</f>
        <v>228.51</v>
      </c>
      <c r="K348" s="4">
        <f>_xlfn.LET(
_xlpm.c,RawData!K348,
_xlpm.r,RawData!J348,
_xlpm.p,RawData!L348,
IF(AND(ISNUMBER(_xlpm.c),_xlpm.c&gt;=0),_xlpm.c,
   IF(AND(ISNUMBER(_xlpm.r),ISNUMBER(_xlpm.p)),
      _xlpm.r-_xlpm.p,
      ""
   )
)
)</f>
        <v>140.63999999999999</v>
      </c>
      <c r="L348" s="4">
        <f>_xlfn.LET(
_xlpm.p,RawData!L348,
_xlpm.r,RawData!J348,
_xlpm.c,RawData!K348,
IF(ISNUMBER(_xlpm.p),_xlpm.p,
IF(AND(ISNUMBER(_xlpm.r),ISNUMBER(_xlpm.c)),
_xlpm.r-_xlpm.c,
""
)
))</f>
        <v>87.87</v>
      </c>
    </row>
    <row r="349" spans="1:12" x14ac:dyDescent="0.35">
      <c r="A349" t="s">
        <v>388</v>
      </c>
      <c r="B349" s="7">
        <v>45772</v>
      </c>
      <c r="C349" t="str">
        <f>IF(RawData!C349="","Unknown",PROPER(TRIM(CLEAN(SUBSTITUTE(RawData!C349,CHAR(160)," ")))))</f>
        <v>North</v>
      </c>
      <c r="D349" t="str">
        <f>IF(RawData!D349="","Unknown",PROPER(TRIM(CLEAN(SUBSTITUTE(RawData!D349,CHAR(160)," ")))))</f>
        <v>Jaipur</v>
      </c>
      <c r="E349" t="str">
        <f>IF(RawData!E349="","Unknown",PROPER(TRIM(CLEAN(SUBSTITUTE(RawData!E349,CHAR(160)," ")))))</f>
        <v>Monitor</v>
      </c>
      <c r="F349" t="str">
        <f>IF(RawData!F349="","Unknown",PROPER(TRIM(CLEAN(SUBSTITUTE(RawData!F349,CHAR(160)," ")))))</f>
        <v>Electronics</v>
      </c>
      <c r="G349">
        <f>_xlfn.LET(
_xlpm.q,RawData!G349,
_xlpm.u,RawData!H349,
_xlpm.d,RawData!I349,
_xlpm.r,RawData!J349,
IF(AND(ISNUMBER(_xlpm.q),_xlpm.q&gt;0),_xlpm.q,
   IF(AND(ISNUMBER(_xlpm.r),ISNUMBER(_xlpm.u),_xlpm.u&gt;0,ISNUMBER(_xlpm.d),_xlpm.d&gt;=0,_xlpm.d&lt;1),
      ROUND(_xlpm.r/(_xlpm.u*(1-_xlpm.d)),0),
      ""
   )
)
)</f>
        <v>3</v>
      </c>
      <c r="H349" s="4">
        <f>_xlfn.LET(
_xlpm.q,RawData!G349,
_xlpm.u,RawData!H349,
_xlpm.d,RawData!I349,
_xlpm.r,RawData!J349,
IF(AND(ISNUMBER(_xlpm.u),_xlpm.u&gt;0),_xlpm.u,
   IF(AND(ISNUMBER(_xlpm.q),_xlpm.q&gt;0,ISNUMBER(_xlpm.r),ISNUMBER(_xlpm.d),_xlpm.d&gt;=0,_xlpm.d&lt;1),
      _xlpm.r/(_xlpm.q*(1-_xlpm.d)),
      ""
   )
)
)</f>
        <v>194.58</v>
      </c>
      <c r="I349" s="5">
        <f>_xlfn.LET(
_xlpm.q,RawData!G349,
_xlpm.u,RawData!H349,
_xlpm.d,RawData!I349,
_xlpm.r,RawData!J349,
IF(AND(ISNUMBER(_xlpm.d),_xlpm.d&gt;=0,_xlpm.d&lt;1),_xlpm.d,
   IF(AND(ISNUMBER(_xlpm.q),_xlpm.q&gt;0,ISNUMBER(_xlpm.u),_xlpm.u&gt;0,ISNUMBER(_xlpm.r),_xlpm.r&gt;=0),
      1-(_xlpm.r/(_xlpm.q*_xlpm.u)),
      ""
   )
)
)</f>
        <v>0.02</v>
      </c>
      <c r="J349" s="4">
        <f>_xlfn.LET(
_xlpm.q,RawData!G349,
_xlpm.u,RawData!H349,
_xlpm.d,RawData!I349,
_xlpm.r,RawData!J349,
IF(AND(ISNUMBER(_xlpm.r),_xlpm.r&gt;=0),_xlpm.r,
   IF(AND(ISNUMBER(_xlpm.q),_xlpm.q&gt;0,ISNUMBER(_xlpm.u),_xlpm.u&gt;0,ISNUMBER(_xlpm.d),_xlpm.d&gt;=0,_xlpm.d&lt;1),
      _xlpm.q*_xlpm.u*(1-_xlpm.d),
      ""
   )
)
)</f>
        <v>572.07000000000005</v>
      </c>
      <c r="K349" s="4">
        <f>_xlfn.LET(
_xlpm.c,RawData!K349,
_xlpm.r,RawData!J349,
_xlpm.p,RawData!L349,
IF(AND(ISNUMBER(_xlpm.c),_xlpm.c&gt;=0),_xlpm.c,
   IF(AND(ISNUMBER(_xlpm.r),ISNUMBER(_xlpm.p)),
      _xlpm.r-_xlpm.p,
      ""
   )
)
)</f>
        <v>408.95</v>
      </c>
      <c r="L349" s="4">
        <f>_xlfn.LET(
_xlpm.p,RawData!L349,
_xlpm.r,RawData!J349,
_xlpm.c,RawData!K349,
IF(ISNUMBER(_xlpm.p),_xlpm.p,
IF(AND(ISNUMBER(_xlpm.r),ISNUMBER(_xlpm.c)),
_xlpm.r-_xlpm.c,
""
)
))</f>
        <v>163.12</v>
      </c>
    </row>
    <row r="350" spans="1:12" x14ac:dyDescent="0.35">
      <c r="A350" t="s">
        <v>389</v>
      </c>
      <c r="B350" s="7">
        <v>45671</v>
      </c>
      <c r="C350" t="str">
        <f>IF(RawData!C350="","Unknown",PROPER(TRIM(CLEAN(SUBSTITUTE(RawData!C350,CHAR(160)," ")))))</f>
        <v>East</v>
      </c>
      <c r="D350" t="str">
        <f>IF(RawData!D350="","Unknown",PROPER(TRIM(CLEAN(SUBSTITUTE(RawData!D350,CHAR(160)," ")))))</f>
        <v>Bhubaneswar</v>
      </c>
      <c r="E350" t="str">
        <f>IF(RawData!E350="","Unknown",PROPER(TRIM(CLEAN(SUBSTITUTE(RawData!E350,CHAR(160)," ")))))</f>
        <v>Notebook</v>
      </c>
      <c r="F350" t="str">
        <f>IF(RawData!F350="","Unknown",PROPER(TRIM(CLEAN(SUBSTITUTE(RawData!F350,CHAR(160)," ")))))</f>
        <v>Office Supplies</v>
      </c>
      <c r="G350">
        <f>_xlfn.LET(
_xlpm.q,RawData!G350,
_xlpm.u,RawData!H350,
_xlpm.d,RawData!I350,
_xlpm.r,RawData!J350,
IF(AND(ISNUMBER(_xlpm.q),_xlpm.q&gt;0),_xlpm.q,
   IF(AND(ISNUMBER(_xlpm.r),ISNUMBER(_xlpm.u),_xlpm.u&gt;0,ISNUMBER(_xlpm.d),_xlpm.d&gt;=0,_xlpm.d&lt;1),
      ROUND(_xlpm.r/(_xlpm.u*(1-_xlpm.d)),0),
      ""
   )
)
)</f>
        <v>10</v>
      </c>
      <c r="H350" s="4">
        <f>_xlfn.LET(
_xlpm.q,RawData!G350,
_xlpm.u,RawData!H350,
_xlpm.d,RawData!I350,
_xlpm.r,RawData!J350,
IF(AND(ISNUMBER(_xlpm.u),_xlpm.u&gt;0),_xlpm.u,
   IF(AND(ISNUMBER(_xlpm.q),_xlpm.q&gt;0,ISNUMBER(_xlpm.r),ISNUMBER(_xlpm.d),_xlpm.d&gt;=0,_xlpm.d&lt;1),
      _xlpm.r/(_xlpm.q*(1-_xlpm.d)),
      ""
   )
)
)</f>
        <v>7.49</v>
      </c>
      <c r="I350" s="5">
        <f>_xlfn.LET(
_xlpm.q,RawData!G350,
_xlpm.u,RawData!H350,
_xlpm.d,RawData!I350,
_xlpm.r,RawData!J350,
IF(AND(ISNUMBER(_xlpm.d),_xlpm.d&gt;=0,_xlpm.d&lt;1),_xlpm.d,
   IF(AND(ISNUMBER(_xlpm.q),_xlpm.q&gt;0,ISNUMBER(_xlpm.u),_xlpm.u&gt;0,ISNUMBER(_xlpm.r),_xlpm.r&gt;=0),
      1-(_xlpm.r/(_xlpm.q*_xlpm.u)),
      ""
   )
)
)</f>
        <v>0.05</v>
      </c>
      <c r="J350" s="4">
        <f>_xlfn.LET(
_xlpm.q,RawData!G350,
_xlpm.u,RawData!H350,
_xlpm.d,RawData!I350,
_xlpm.r,RawData!J350,
IF(AND(ISNUMBER(_xlpm.r),_xlpm.r&gt;=0),_xlpm.r,
   IF(AND(ISNUMBER(_xlpm.q),_xlpm.q&gt;0,ISNUMBER(_xlpm.u),_xlpm.u&gt;0,ISNUMBER(_xlpm.d),_xlpm.d&gt;=0,_xlpm.d&lt;1),
      _xlpm.q*_xlpm.u*(1-_xlpm.d),
      ""
   )
)
)</f>
        <v>71.16</v>
      </c>
      <c r="K350" s="4">
        <f>_xlfn.LET(
_xlpm.c,RawData!K350,
_xlpm.r,RawData!J350,
_xlpm.p,RawData!L350,
IF(AND(ISNUMBER(_xlpm.c),_xlpm.c&gt;=0),_xlpm.c,
   IF(AND(ISNUMBER(_xlpm.r),ISNUMBER(_xlpm.p)),
      _xlpm.r-_xlpm.p,
      ""
   )
)
)</f>
        <v>50.31</v>
      </c>
      <c r="L350" s="4">
        <f>_xlfn.LET(
_xlpm.p,RawData!L350,
_xlpm.r,RawData!J350,
_xlpm.c,RawData!K350,
IF(ISNUMBER(_xlpm.p),_xlpm.p,
IF(AND(ISNUMBER(_xlpm.r),ISNUMBER(_xlpm.c)),
_xlpm.r-_xlpm.c,
""
)
))</f>
        <v>20.85</v>
      </c>
    </row>
    <row r="351" spans="1:12" x14ac:dyDescent="0.35">
      <c r="A351" t="s">
        <v>390</v>
      </c>
      <c r="B351" s="7">
        <v>45940</v>
      </c>
      <c r="C351" t="str">
        <f>IF(RawData!C351="","Unknown",PROPER(TRIM(CLEAN(SUBSTITUTE(RawData!C351,CHAR(160)," ")))))</f>
        <v>South</v>
      </c>
      <c r="D351" t="str">
        <f>IF(RawData!D351="","Unknown",PROPER(TRIM(CLEAN(SUBSTITUTE(RawData!D351,CHAR(160)," ")))))</f>
        <v>Chennai</v>
      </c>
      <c r="E351" t="str">
        <f>IF(RawData!E351="","Unknown",PROPER(TRIM(CLEAN(SUBSTITUTE(RawData!E351,CHAR(160)," ")))))</f>
        <v>Pen Set</v>
      </c>
      <c r="F351" t="str">
        <f>IF(RawData!F351="","Unknown",PROPER(TRIM(CLEAN(SUBSTITUTE(RawData!F351,CHAR(160)," ")))))</f>
        <v>Office Supplies</v>
      </c>
      <c r="G351">
        <f>_xlfn.LET(
_xlpm.q,RawData!G351,
_xlpm.u,RawData!H351,
_xlpm.d,RawData!I351,
_xlpm.r,RawData!J351,
IF(AND(ISNUMBER(_xlpm.q),_xlpm.q&gt;0),_xlpm.q,
   IF(AND(ISNUMBER(_xlpm.r),ISNUMBER(_xlpm.u),_xlpm.u&gt;0,ISNUMBER(_xlpm.d),_xlpm.d&gt;=0,_xlpm.d&lt;1),
      ROUND(_xlpm.r/(_xlpm.u*(1-_xlpm.d)),0),
      ""
   )
)
)</f>
        <v>2</v>
      </c>
      <c r="H351" s="4">
        <f>_xlfn.LET(
_xlpm.q,RawData!G351,
_xlpm.u,RawData!H351,
_xlpm.d,RawData!I351,
_xlpm.r,RawData!J351,
IF(AND(ISNUMBER(_xlpm.u),_xlpm.u&gt;0),_xlpm.u,
   IF(AND(ISNUMBER(_xlpm.q),_xlpm.q&gt;0,ISNUMBER(_xlpm.r),ISNUMBER(_xlpm.d),_xlpm.d&gt;=0,_xlpm.d&lt;1),
      _xlpm.r/(_xlpm.q*(1-_xlpm.d)),
      ""
   )
)
)</f>
        <v>10.76</v>
      </c>
      <c r="I351" s="5">
        <f>_xlfn.LET(
_xlpm.q,RawData!G351,
_xlpm.u,RawData!H351,
_xlpm.d,RawData!I351,
_xlpm.r,RawData!J351,
IF(AND(ISNUMBER(_xlpm.d),_xlpm.d&gt;=0,_xlpm.d&lt;1),_xlpm.d,
   IF(AND(ISNUMBER(_xlpm.q),_xlpm.q&gt;0,ISNUMBER(_xlpm.u),_xlpm.u&gt;0,ISNUMBER(_xlpm.r),_xlpm.r&gt;=0),
      1-(_xlpm.r/(_xlpm.q*_xlpm.u)),
      ""
   )
)
)</f>
        <v>0</v>
      </c>
      <c r="J351" s="4">
        <f>_xlfn.LET(
_xlpm.q,RawData!G351,
_xlpm.u,RawData!H351,
_xlpm.d,RawData!I351,
_xlpm.r,RawData!J351,
IF(AND(ISNUMBER(_xlpm.r),_xlpm.r&gt;=0),_xlpm.r,
   IF(AND(ISNUMBER(_xlpm.q),_xlpm.q&gt;0,ISNUMBER(_xlpm.u),_xlpm.u&gt;0,ISNUMBER(_xlpm.d),_xlpm.d&gt;=0,_xlpm.d&lt;1),
      _xlpm.q*_xlpm.u*(1-_xlpm.d),
      ""
   )
)
)</f>
        <v>21.52</v>
      </c>
      <c r="K351" s="4">
        <f>_xlfn.LET(
_xlpm.c,RawData!K351,
_xlpm.r,RawData!J351,
_xlpm.p,RawData!L351,
IF(AND(ISNUMBER(_xlpm.c),_xlpm.c&gt;=0),_xlpm.c,
   IF(AND(ISNUMBER(_xlpm.r),ISNUMBER(_xlpm.p)),
      _xlpm.r-_xlpm.p,
      ""
   )
)
)</f>
        <v>14.63</v>
      </c>
      <c r="L351" s="4">
        <f>_xlfn.LET(
_xlpm.p,RawData!L351,
_xlpm.r,RawData!J351,
_xlpm.c,RawData!K351,
IF(ISNUMBER(_xlpm.p),_xlpm.p,
IF(AND(ISNUMBER(_xlpm.r),ISNUMBER(_xlpm.c)),
_xlpm.r-_xlpm.c,
""
)
))</f>
        <v>6.89</v>
      </c>
    </row>
    <row r="352" spans="1:12" x14ac:dyDescent="0.35">
      <c r="A352" t="s">
        <v>391</v>
      </c>
      <c r="B352" s="7">
        <v>45861</v>
      </c>
      <c r="C352" t="str">
        <f>IF(RawData!C352="","Unknown",PROPER(TRIM(CLEAN(SUBSTITUTE(RawData!C352,CHAR(160)," ")))))</f>
        <v>West</v>
      </c>
      <c r="D352" t="str">
        <f>IF(RawData!D352="","Unknown",PROPER(TRIM(CLEAN(SUBSTITUTE(RawData!D352,CHAR(160)," ")))))</f>
        <v>Ahmedabad</v>
      </c>
      <c r="E352" t="str">
        <f>IF(RawData!E352="","Unknown",PROPER(TRIM(CLEAN(SUBSTITUTE(RawData!E352,CHAR(160)," ")))))</f>
        <v>Notebook</v>
      </c>
      <c r="F352" t="str">
        <f>IF(RawData!F352="","Unknown",PROPER(TRIM(CLEAN(SUBSTITUTE(RawData!F352,CHAR(160)," ")))))</f>
        <v>Office Supplies</v>
      </c>
      <c r="G352">
        <f>_xlfn.LET(
_xlpm.q,RawData!G352,
_xlpm.u,RawData!H352,
_xlpm.d,RawData!I352,
_xlpm.r,RawData!J352,
IF(AND(ISNUMBER(_xlpm.q),_xlpm.q&gt;0),_xlpm.q,
   IF(AND(ISNUMBER(_xlpm.r),ISNUMBER(_xlpm.u),_xlpm.u&gt;0,ISNUMBER(_xlpm.d),_xlpm.d&gt;=0,_xlpm.d&lt;1),
      ROUND(_xlpm.r/(_xlpm.u*(1-_xlpm.d)),0),
      ""
   )
)
)</f>
        <v>7</v>
      </c>
      <c r="H352" s="4">
        <f>_xlfn.LET(
_xlpm.q,RawData!G352,
_xlpm.u,RawData!H352,
_xlpm.d,RawData!I352,
_xlpm.r,RawData!J352,
IF(AND(ISNUMBER(_xlpm.u),_xlpm.u&gt;0),_xlpm.u,
   IF(AND(ISNUMBER(_xlpm.q),_xlpm.q&gt;0,ISNUMBER(_xlpm.r),ISNUMBER(_xlpm.d),_xlpm.d&gt;=0,_xlpm.d&lt;1),
      _xlpm.r/(_xlpm.q*(1-_xlpm.d)),
      ""
   )
)
)</f>
        <v>8.08</v>
      </c>
      <c r="I352" s="5">
        <f>_xlfn.LET(
_xlpm.q,RawData!G352,
_xlpm.u,RawData!H352,
_xlpm.d,RawData!I352,
_xlpm.r,RawData!J352,
IF(AND(ISNUMBER(_xlpm.d),_xlpm.d&gt;=0,_xlpm.d&lt;1),_xlpm.d,
   IF(AND(ISNUMBER(_xlpm.q),_xlpm.q&gt;0,ISNUMBER(_xlpm.u),_xlpm.u&gt;0,ISNUMBER(_xlpm.r),_xlpm.r&gt;=0),
      1-(_xlpm.r/(_xlpm.q*_xlpm.u)),
      ""
   )
)
)</f>
        <v>0.1</v>
      </c>
      <c r="J352" s="4">
        <f>_xlfn.LET(
_xlpm.q,RawData!G352,
_xlpm.u,RawData!H352,
_xlpm.d,RawData!I352,
_xlpm.r,RawData!J352,
IF(AND(ISNUMBER(_xlpm.r),_xlpm.r&gt;=0),_xlpm.r,
   IF(AND(ISNUMBER(_xlpm.q),_xlpm.q&gt;0,ISNUMBER(_xlpm.u),_xlpm.u&gt;0,ISNUMBER(_xlpm.d),_xlpm.d&gt;=0,_xlpm.d&lt;1),
      _xlpm.q*_xlpm.u*(1-_xlpm.d),
      ""
   )
)
)</f>
        <v>50.9</v>
      </c>
      <c r="K352" s="4">
        <f>_xlfn.LET(
_xlpm.c,RawData!K352,
_xlpm.r,RawData!J352,
_xlpm.p,RawData!L352,
IF(AND(ISNUMBER(_xlpm.c),_xlpm.c&gt;=0),_xlpm.c,
   IF(AND(ISNUMBER(_xlpm.r),ISNUMBER(_xlpm.p)),
      _xlpm.r-_xlpm.p,
      ""
   )
)
)</f>
        <v>28.71</v>
      </c>
      <c r="L352" s="4">
        <f>_xlfn.LET(
_xlpm.p,RawData!L352,
_xlpm.r,RawData!J352,
_xlpm.c,RawData!K352,
IF(ISNUMBER(_xlpm.p),_xlpm.p,
IF(AND(ISNUMBER(_xlpm.r),ISNUMBER(_xlpm.c)),
_xlpm.r-_xlpm.c,
""
)
))</f>
        <v>22.19</v>
      </c>
    </row>
    <row r="353" spans="1:12" x14ac:dyDescent="0.35">
      <c r="A353" t="s">
        <v>392</v>
      </c>
      <c r="B353" s="7">
        <v>45695</v>
      </c>
      <c r="C353" t="str">
        <f>IF(RawData!C353="","Unknown",PROPER(TRIM(CLEAN(SUBSTITUTE(RawData!C353,CHAR(160)," ")))))</f>
        <v>South</v>
      </c>
      <c r="D353" t="str">
        <f>IF(RawData!D353="","Unknown",PROPER(TRIM(CLEAN(SUBSTITUTE(RawData!D353,CHAR(160)," ")))))</f>
        <v>Chennai</v>
      </c>
      <c r="E353" t="str">
        <f>IF(RawData!E353="","Unknown",PROPER(TRIM(CLEAN(SUBSTITUTE(RawData!E353,CHAR(160)," ")))))</f>
        <v>Desk</v>
      </c>
      <c r="F353" t="str">
        <f>IF(RawData!F353="","Unknown",PROPER(TRIM(CLEAN(SUBSTITUTE(RawData!F353,CHAR(160)," ")))))</f>
        <v>Furniture</v>
      </c>
      <c r="G353">
        <f>_xlfn.LET(
_xlpm.q,RawData!G353,
_xlpm.u,RawData!H353,
_xlpm.d,RawData!I353,
_xlpm.r,RawData!J353,
IF(AND(ISNUMBER(_xlpm.q),_xlpm.q&gt;0),_xlpm.q,
   IF(AND(ISNUMBER(_xlpm.r),ISNUMBER(_xlpm.u),_xlpm.u&gt;0,ISNUMBER(_xlpm.d),_xlpm.d&gt;=0,_xlpm.d&lt;1),
      ROUND(_xlpm.r/(_xlpm.u*(1-_xlpm.d)),0),
      ""
   )
)
)</f>
        <v>2</v>
      </c>
      <c r="H353" s="4">
        <f>_xlfn.LET(
_xlpm.q,RawData!G353,
_xlpm.u,RawData!H353,
_xlpm.d,RawData!I353,
_xlpm.r,RawData!J353,
IF(AND(ISNUMBER(_xlpm.u),_xlpm.u&gt;0),_xlpm.u,
   IF(AND(ISNUMBER(_xlpm.q),_xlpm.q&gt;0,ISNUMBER(_xlpm.r),ISNUMBER(_xlpm.d),_xlpm.d&gt;=0,_xlpm.d&lt;1),
      _xlpm.r/(_xlpm.q*(1-_xlpm.d)),
      ""
   )
)
)</f>
        <v>237.75</v>
      </c>
      <c r="I353" s="5">
        <f>_xlfn.LET(
_xlpm.q,RawData!G353,
_xlpm.u,RawData!H353,
_xlpm.d,RawData!I353,
_xlpm.r,RawData!J353,
IF(AND(ISNUMBER(_xlpm.d),_xlpm.d&gt;=0,_xlpm.d&lt;1),_xlpm.d,
   IF(AND(ISNUMBER(_xlpm.q),_xlpm.q&gt;0,ISNUMBER(_xlpm.u),_xlpm.u&gt;0,ISNUMBER(_xlpm.r),_xlpm.r&gt;=0),
      1-(_xlpm.r/(_xlpm.q*_xlpm.u)),
      ""
   )
)
)</f>
        <v>0.1</v>
      </c>
      <c r="J353" s="4">
        <f>_xlfn.LET(
_xlpm.q,RawData!G353,
_xlpm.u,RawData!H353,
_xlpm.d,RawData!I353,
_xlpm.r,RawData!J353,
IF(AND(ISNUMBER(_xlpm.r),_xlpm.r&gt;=0),_xlpm.r,
   IF(AND(ISNUMBER(_xlpm.q),_xlpm.q&gt;0,ISNUMBER(_xlpm.u),_xlpm.u&gt;0,ISNUMBER(_xlpm.d),_xlpm.d&gt;=0,_xlpm.d&lt;1),
      _xlpm.q*_xlpm.u*(1-_xlpm.d),
      ""
   )
)
)</f>
        <v>427.95</v>
      </c>
      <c r="K353" s="4">
        <f>_xlfn.LET(
_xlpm.c,RawData!K353,
_xlpm.r,RawData!J353,
_xlpm.p,RawData!L353,
IF(AND(ISNUMBER(_xlpm.c),_xlpm.c&gt;=0),_xlpm.c,
   IF(AND(ISNUMBER(_xlpm.r),ISNUMBER(_xlpm.p)),
      _xlpm.r-_xlpm.p,
      ""
   )
)
)</f>
        <v>250.9</v>
      </c>
      <c r="L353" s="4">
        <f>_xlfn.LET(
_xlpm.p,RawData!L353,
_xlpm.r,RawData!J353,
_xlpm.c,RawData!K353,
IF(ISNUMBER(_xlpm.p),_xlpm.p,
IF(AND(ISNUMBER(_xlpm.r),ISNUMBER(_xlpm.c)),
_xlpm.r-_xlpm.c,
""
)
))</f>
        <v>177.05</v>
      </c>
    </row>
    <row r="354" spans="1:12" x14ac:dyDescent="0.35">
      <c r="A354" t="s">
        <v>393</v>
      </c>
      <c r="B354" s="7">
        <v>46006</v>
      </c>
      <c r="C354" t="str">
        <f>IF(RawData!C354="","Unknown",PROPER(TRIM(CLEAN(SUBSTITUTE(RawData!C354,CHAR(160)," ")))))</f>
        <v>East</v>
      </c>
      <c r="D354" t="str">
        <f>IF(RawData!D354="","Unknown",PROPER(TRIM(CLEAN(SUBSTITUTE(RawData!D354,CHAR(160)," ")))))</f>
        <v>Patna</v>
      </c>
      <c r="E354" t="str">
        <f>IF(RawData!E354="","Unknown",PROPER(TRIM(CLEAN(SUBSTITUTE(RawData!E354,CHAR(160)," ")))))</f>
        <v>Headphones</v>
      </c>
      <c r="F354" t="str">
        <f>IF(RawData!F354="","Unknown",PROPER(TRIM(CLEAN(SUBSTITUTE(RawData!F354,CHAR(160)," ")))))</f>
        <v>Electronics</v>
      </c>
      <c r="G354">
        <f>_xlfn.LET(
_xlpm.q,RawData!G354,
_xlpm.u,RawData!H354,
_xlpm.d,RawData!I354,
_xlpm.r,RawData!J354,
IF(AND(ISNUMBER(_xlpm.q),_xlpm.q&gt;0),_xlpm.q,
   IF(AND(ISNUMBER(_xlpm.r),ISNUMBER(_xlpm.u),_xlpm.u&gt;0,ISNUMBER(_xlpm.d),_xlpm.d&gt;=0,_xlpm.d&lt;1),
      ROUND(_xlpm.r/(_xlpm.u*(1-_xlpm.d)),0),
      ""
   )
)
)</f>
        <v>9</v>
      </c>
      <c r="H354" s="4">
        <f>_xlfn.LET(
_xlpm.q,RawData!G354,
_xlpm.u,RawData!H354,
_xlpm.d,RawData!I354,
_xlpm.r,RawData!J354,
IF(AND(ISNUMBER(_xlpm.u),_xlpm.u&gt;0),_xlpm.u,
   IF(AND(ISNUMBER(_xlpm.q),_xlpm.q&gt;0,ISNUMBER(_xlpm.r),ISNUMBER(_xlpm.d),_xlpm.d&gt;=0,_xlpm.d&lt;1),
      _xlpm.r/(_xlpm.q*(1-_xlpm.d)),
      ""
   )
)
)</f>
        <v>69.52</v>
      </c>
      <c r="I354" s="5">
        <f>_xlfn.LET(
_xlpm.q,RawData!G354,
_xlpm.u,RawData!H354,
_xlpm.d,RawData!I354,
_xlpm.r,RawData!J354,
IF(AND(ISNUMBER(_xlpm.d),_xlpm.d&gt;=0,_xlpm.d&lt;1),_xlpm.d,
   IF(AND(ISNUMBER(_xlpm.q),_xlpm.q&gt;0,ISNUMBER(_xlpm.u),_xlpm.u&gt;0,ISNUMBER(_xlpm.r),_xlpm.r&gt;=0),
      1-(_xlpm.r/(_xlpm.q*_xlpm.u)),
      ""
   )
)
)</f>
        <v>0.2</v>
      </c>
      <c r="J354" s="4">
        <f>_xlfn.LET(
_xlpm.q,RawData!G354,
_xlpm.u,RawData!H354,
_xlpm.d,RawData!I354,
_xlpm.r,RawData!J354,
IF(AND(ISNUMBER(_xlpm.r),_xlpm.r&gt;=0),_xlpm.r,
   IF(AND(ISNUMBER(_xlpm.q),_xlpm.q&gt;0,ISNUMBER(_xlpm.u),_xlpm.u&gt;0,ISNUMBER(_xlpm.d),_xlpm.d&gt;=0,_xlpm.d&lt;1),
      _xlpm.q*_xlpm.u*(1-_xlpm.d),
      ""
   )
)
)</f>
        <v>500.54</v>
      </c>
      <c r="K354" s="4">
        <f>_xlfn.LET(
_xlpm.c,RawData!K354,
_xlpm.r,RawData!J354,
_xlpm.p,RawData!L354,
IF(AND(ISNUMBER(_xlpm.c),_xlpm.c&gt;=0),_xlpm.c,
   IF(AND(ISNUMBER(_xlpm.r),ISNUMBER(_xlpm.p)),
      _xlpm.r-_xlpm.p,
      ""
   )
)
)</f>
        <v>409.09</v>
      </c>
      <c r="L354" s="4">
        <f>_xlfn.LET(
_xlpm.p,RawData!L354,
_xlpm.r,RawData!J354,
_xlpm.c,RawData!K354,
IF(ISNUMBER(_xlpm.p),_xlpm.p,
IF(AND(ISNUMBER(_xlpm.r),ISNUMBER(_xlpm.c)),
_xlpm.r-_xlpm.c,
""
)
))</f>
        <v>91.45</v>
      </c>
    </row>
    <row r="355" spans="1:12" x14ac:dyDescent="0.35">
      <c r="A355" t="s">
        <v>394</v>
      </c>
      <c r="B355" s="7">
        <v>45751</v>
      </c>
      <c r="C355" t="str">
        <f>IF(RawData!C355="","Unknown",PROPER(TRIM(CLEAN(SUBSTITUTE(RawData!C355,CHAR(160)," ")))))</f>
        <v>South</v>
      </c>
      <c r="D355" t="str">
        <f>IF(RawData!D355="","Unknown",PROPER(TRIM(CLEAN(SUBSTITUTE(RawData!D355,CHAR(160)," ")))))</f>
        <v>Hyderabad</v>
      </c>
      <c r="E355" t="str">
        <f>IF(RawData!E355="","Unknown",PROPER(TRIM(CLEAN(SUBSTITUTE(RawData!E355,CHAR(160)," ")))))</f>
        <v>Bookshelf</v>
      </c>
      <c r="F355" t="str">
        <f>IF(RawData!F355="","Unknown",PROPER(TRIM(CLEAN(SUBSTITUTE(RawData!F355,CHAR(160)," ")))))</f>
        <v>Furniture</v>
      </c>
      <c r="G355">
        <f>_xlfn.LET(
_xlpm.q,RawData!G355,
_xlpm.u,RawData!H355,
_xlpm.d,RawData!I355,
_xlpm.r,RawData!J355,
IF(AND(ISNUMBER(_xlpm.q),_xlpm.q&gt;0),_xlpm.q,
   IF(AND(ISNUMBER(_xlpm.r),ISNUMBER(_xlpm.u),_xlpm.u&gt;0,ISNUMBER(_xlpm.d),_xlpm.d&gt;=0,_xlpm.d&lt;1),
      ROUND(_xlpm.r/(_xlpm.u*(1-_xlpm.d)),0),
      ""
   )
)
)</f>
        <v>9</v>
      </c>
      <c r="H355" s="4">
        <f>_xlfn.LET(
_xlpm.q,RawData!G355,
_xlpm.u,RawData!H355,
_xlpm.d,RawData!I355,
_xlpm.r,RawData!J355,
IF(AND(ISNUMBER(_xlpm.u),_xlpm.u&gt;0),_xlpm.u,
   IF(AND(ISNUMBER(_xlpm.q),_xlpm.q&gt;0,ISNUMBER(_xlpm.r),ISNUMBER(_xlpm.d),_xlpm.d&gt;=0,_xlpm.d&lt;1),
      _xlpm.r/(_xlpm.q*(1-_xlpm.d)),
      ""
   )
)
)</f>
        <v>132.54</v>
      </c>
      <c r="I355" s="5">
        <f>_xlfn.LET(
_xlpm.q,RawData!G355,
_xlpm.u,RawData!H355,
_xlpm.d,RawData!I355,
_xlpm.r,RawData!J355,
IF(AND(ISNUMBER(_xlpm.d),_xlpm.d&gt;=0,_xlpm.d&lt;1),_xlpm.d,
   IF(AND(ISNUMBER(_xlpm.q),_xlpm.q&gt;0,ISNUMBER(_xlpm.u),_xlpm.u&gt;0,ISNUMBER(_xlpm.r),_xlpm.r&gt;=0),
      1-(_xlpm.r/(_xlpm.q*_xlpm.u)),
      ""
   )
)
)</f>
        <v>0</v>
      </c>
      <c r="J355" s="4">
        <f>_xlfn.LET(
_xlpm.q,RawData!G355,
_xlpm.u,RawData!H355,
_xlpm.d,RawData!I355,
_xlpm.r,RawData!J355,
IF(AND(ISNUMBER(_xlpm.r),_xlpm.r&gt;=0),_xlpm.r,
   IF(AND(ISNUMBER(_xlpm.q),_xlpm.q&gt;0,ISNUMBER(_xlpm.u),_xlpm.u&gt;0,ISNUMBER(_xlpm.d),_xlpm.d&gt;=0,_xlpm.d&lt;1),
      _xlpm.q*_xlpm.u*(1-_xlpm.d),
      ""
   )
)
)</f>
        <v>1192.8599999999999</v>
      </c>
      <c r="K355" s="4">
        <f>_xlfn.LET(
_xlpm.c,RawData!K355,
_xlpm.r,RawData!J355,
_xlpm.p,RawData!L355,
IF(AND(ISNUMBER(_xlpm.c),_xlpm.c&gt;=0),_xlpm.c,
   IF(AND(ISNUMBER(_xlpm.r),ISNUMBER(_xlpm.p)),
      _xlpm.r-_xlpm.p,
      ""
   )
)
)</f>
        <v>916.91</v>
      </c>
      <c r="L355" s="4">
        <f>_xlfn.LET(
_xlpm.p,RawData!L355,
_xlpm.r,RawData!J355,
_xlpm.c,RawData!K355,
IF(ISNUMBER(_xlpm.p),_xlpm.p,
IF(AND(ISNUMBER(_xlpm.r),ISNUMBER(_xlpm.c)),
_xlpm.r-_xlpm.c,
""
)
))</f>
        <v>275.95</v>
      </c>
    </row>
    <row r="356" spans="1:12" x14ac:dyDescent="0.35">
      <c r="A356" t="s">
        <v>395</v>
      </c>
      <c r="B356" s="7">
        <v>45923</v>
      </c>
      <c r="C356" t="str">
        <f>IF(RawData!C356="","Unknown",PROPER(TRIM(CLEAN(SUBSTITUTE(RawData!C356,CHAR(160)," ")))))</f>
        <v>South</v>
      </c>
      <c r="D356" t="str">
        <f>IF(RawData!D356="","Unknown",PROPER(TRIM(CLEAN(SUBSTITUTE(RawData!D356,CHAR(160)," ")))))</f>
        <v>Chennai</v>
      </c>
      <c r="E356" t="str">
        <f>IF(RawData!E356="","Unknown",PROPER(TRIM(CLEAN(SUBSTITUTE(RawData!E356,CHAR(160)," ")))))</f>
        <v>Office Chair</v>
      </c>
      <c r="F356" t="str">
        <f>IF(RawData!F356="","Unknown",PROPER(TRIM(CLEAN(SUBSTITUTE(RawData!F356,CHAR(160)," ")))))</f>
        <v>Furniture</v>
      </c>
      <c r="G356">
        <f>_xlfn.LET(
_xlpm.q,RawData!G356,
_xlpm.u,RawData!H356,
_xlpm.d,RawData!I356,
_xlpm.r,RawData!J356,
IF(AND(ISNUMBER(_xlpm.q),_xlpm.q&gt;0),_xlpm.q,
   IF(AND(ISNUMBER(_xlpm.r),ISNUMBER(_xlpm.u),_xlpm.u&gt;0,ISNUMBER(_xlpm.d),_xlpm.d&gt;=0,_xlpm.d&lt;1),
      ROUND(_xlpm.r/(_xlpm.u*(1-_xlpm.d)),0),
      ""
   )
)
)</f>
        <v>3</v>
      </c>
      <c r="H356" s="4">
        <f>_xlfn.LET(
_xlpm.q,RawData!G356,
_xlpm.u,RawData!H356,
_xlpm.d,RawData!I356,
_xlpm.r,RawData!J356,
IF(AND(ISNUMBER(_xlpm.u),_xlpm.u&gt;0),_xlpm.u,
   IF(AND(ISNUMBER(_xlpm.q),_xlpm.q&gt;0,ISNUMBER(_xlpm.r),ISNUMBER(_xlpm.d),_xlpm.d&gt;=0,_xlpm.d&lt;1),
      _xlpm.r/(_xlpm.q*(1-_xlpm.d)),
      ""
   )
)
)</f>
        <v>166.75</v>
      </c>
      <c r="I356" s="5">
        <f>_xlfn.LET(
_xlpm.q,RawData!G356,
_xlpm.u,RawData!H356,
_xlpm.d,RawData!I356,
_xlpm.r,RawData!J356,
IF(AND(ISNUMBER(_xlpm.d),_xlpm.d&gt;=0,_xlpm.d&lt;1),_xlpm.d,
   IF(AND(ISNUMBER(_xlpm.q),_xlpm.q&gt;0,ISNUMBER(_xlpm.u),_xlpm.u&gt;0,ISNUMBER(_xlpm.r),_xlpm.r&gt;=0),
      1-(_xlpm.r/(_xlpm.q*_xlpm.u)),
      ""
   )
)
)</f>
        <v>0.02</v>
      </c>
      <c r="J356" s="4">
        <f>_xlfn.LET(
_xlpm.q,RawData!G356,
_xlpm.u,RawData!H356,
_xlpm.d,RawData!I356,
_xlpm.r,RawData!J356,
IF(AND(ISNUMBER(_xlpm.r),_xlpm.r&gt;=0),_xlpm.r,
   IF(AND(ISNUMBER(_xlpm.q),_xlpm.q&gt;0,ISNUMBER(_xlpm.u),_xlpm.u&gt;0,ISNUMBER(_xlpm.d),_xlpm.d&gt;=0,_xlpm.d&lt;1),
      _xlpm.q*_xlpm.u*(1-_xlpm.d),
      ""
   )
)
)</f>
        <v>490.25</v>
      </c>
      <c r="K356" s="4">
        <f>_xlfn.LET(
_xlpm.c,RawData!K356,
_xlpm.r,RawData!J356,
_xlpm.p,RawData!L356,
IF(AND(ISNUMBER(_xlpm.c),_xlpm.c&gt;=0),_xlpm.c,
   IF(AND(ISNUMBER(_xlpm.r),ISNUMBER(_xlpm.p)),
      _xlpm.r-_xlpm.p,
      ""
   )
)
)</f>
        <v>359.85</v>
      </c>
      <c r="L356" s="4">
        <f>_xlfn.LET(
_xlpm.p,RawData!L356,
_xlpm.r,RawData!J356,
_xlpm.c,RawData!K356,
IF(ISNUMBER(_xlpm.p),_xlpm.p,
IF(AND(ISNUMBER(_xlpm.r),ISNUMBER(_xlpm.c)),
_xlpm.r-_xlpm.c,
""
)
))</f>
        <v>130.4</v>
      </c>
    </row>
    <row r="357" spans="1:12" x14ac:dyDescent="0.35">
      <c r="A357" t="s">
        <v>396</v>
      </c>
      <c r="B357" s="7">
        <v>46021</v>
      </c>
      <c r="C357" t="str">
        <f>IF(RawData!C357="","Unknown",PROPER(TRIM(CLEAN(SUBSTITUTE(RawData!C357,CHAR(160)," ")))))</f>
        <v>South</v>
      </c>
      <c r="D357" t="str">
        <f>IF(RawData!D357="","Unknown",PROPER(TRIM(CLEAN(SUBSTITUTE(RawData!D357,CHAR(160)," ")))))</f>
        <v>Hyderabad</v>
      </c>
      <c r="E357" t="str">
        <f>IF(RawData!E357="","Unknown",PROPER(TRIM(CLEAN(SUBSTITUTE(RawData!E357,CHAR(160)," ")))))</f>
        <v>Desk</v>
      </c>
      <c r="F357" t="str">
        <f>IF(RawData!F357="","Unknown",PROPER(TRIM(CLEAN(SUBSTITUTE(RawData!F357,CHAR(160)," ")))))</f>
        <v>Furniture</v>
      </c>
      <c r="G357">
        <f>_xlfn.LET(
_xlpm.q,RawData!G357,
_xlpm.u,RawData!H357,
_xlpm.d,RawData!I357,
_xlpm.r,RawData!J357,
IF(AND(ISNUMBER(_xlpm.q),_xlpm.q&gt;0),_xlpm.q,
   IF(AND(ISNUMBER(_xlpm.r),ISNUMBER(_xlpm.u),_xlpm.u&gt;0,ISNUMBER(_xlpm.d),_xlpm.d&gt;=0,_xlpm.d&lt;1),
      ROUND(_xlpm.r/(_xlpm.u*(1-_xlpm.d)),0),
      ""
   )
)
)</f>
        <v>9</v>
      </c>
      <c r="H357" s="4">
        <f>_xlfn.LET(
_xlpm.q,RawData!G357,
_xlpm.u,RawData!H357,
_xlpm.d,RawData!I357,
_xlpm.r,RawData!J357,
IF(AND(ISNUMBER(_xlpm.u),_xlpm.u&gt;0),_xlpm.u,
   IF(AND(ISNUMBER(_xlpm.q),_xlpm.q&gt;0,ISNUMBER(_xlpm.r),ISNUMBER(_xlpm.d),_xlpm.d&gt;=0,_xlpm.d&lt;1),
      _xlpm.r/(_xlpm.q*(1-_xlpm.d)),
      ""
   )
)
)</f>
        <v>269.52</v>
      </c>
      <c r="I357" s="5">
        <f>_xlfn.LET(
_xlpm.q,RawData!G357,
_xlpm.u,RawData!H357,
_xlpm.d,RawData!I357,
_xlpm.r,RawData!J357,
IF(AND(ISNUMBER(_xlpm.d),_xlpm.d&gt;=0,_xlpm.d&lt;1),_xlpm.d,
   IF(AND(ISNUMBER(_xlpm.q),_xlpm.q&gt;0,ISNUMBER(_xlpm.u),_xlpm.u&gt;0,ISNUMBER(_xlpm.r),_xlpm.r&gt;=0),
      1-(_xlpm.r/(_xlpm.q*_xlpm.u)),
      ""
   )
)
)</f>
        <v>0.05</v>
      </c>
      <c r="J357" s="4">
        <f>_xlfn.LET(
_xlpm.q,RawData!G357,
_xlpm.u,RawData!H357,
_xlpm.d,RawData!I357,
_xlpm.r,RawData!J357,
IF(AND(ISNUMBER(_xlpm.r),_xlpm.r&gt;=0),_xlpm.r,
   IF(AND(ISNUMBER(_xlpm.q),_xlpm.q&gt;0,ISNUMBER(_xlpm.u),_xlpm.u&gt;0,ISNUMBER(_xlpm.d),_xlpm.d&gt;=0,_xlpm.d&lt;1),
      _xlpm.q*_xlpm.u*(1-_xlpm.d),
      ""
   )
)
)</f>
        <v>2304.4</v>
      </c>
      <c r="K357" s="4">
        <f>_xlfn.LET(
_xlpm.c,RawData!K357,
_xlpm.r,RawData!J357,
_xlpm.p,RawData!L357,
IF(AND(ISNUMBER(_xlpm.c),_xlpm.c&gt;=0),_xlpm.c,
   IF(AND(ISNUMBER(_xlpm.r),ISNUMBER(_xlpm.p)),
      _xlpm.r-_xlpm.p,
      ""
   )
)
)</f>
        <v>1638.02</v>
      </c>
      <c r="L357" s="4">
        <f>_xlfn.LET(
_xlpm.p,RawData!L357,
_xlpm.r,RawData!J357,
_xlpm.c,RawData!K357,
IF(ISNUMBER(_xlpm.p),_xlpm.p,
IF(AND(ISNUMBER(_xlpm.r),ISNUMBER(_xlpm.c)),
_xlpm.r-_xlpm.c,
""
)
))</f>
        <v>666.38</v>
      </c>
    </row>
    <row r="358" spans="1:12" x14ac:dyDescent="0.35">
      <c r="A358" t="s">
        <v>397</v>
      </c>
      <c r="B358" s="7">
        <v>45786</v>
      </c>
      <c r="C358" t="str">
        <f>IF(RawData!C358="","Unknown",PROPER(TRIM(CLEAN(SUBSTITUTE(RawData!C358,CHAR(160)," ")))))</f>
        <v>South</v>
      </c>
      <c r="D358" t="str">
        <f>IF(RawData!D358="","Unknown",PROPER(TRIM(CLEAN(SUBSTITUTE(RawData!D358,CHAR(160)," ")))))</f>
        <v>Hyderabad</v>
      </c>
      <c r="E358" t="str">
        <f>IF(RawData!E358="","Unknown",PROPER(TRIM(CLEAN(SUBSTITUTE(RawData!E358,CHAR(160)," ")))))</f>
        <v>Backpack</v>
      </c>
      <c r="F358" t="str">
        <f>IF(RawData!F358="","Unknown",PROPER(TRIM(CLEAN(SUBSTITUTE(RawData!F358,CHAR(160)," ")))))</f>
        <v>Accessories</v>
      </c>
      <c r="G358">
        <f>_xlfn.LET(
_xlpm.q,RawData!G358,
_xlpm.u,RawData!H358,
_xlpm.d,RawData!I358,
_xlpm.r,RawData!J358,
IF(AND(ISNUMBER(_xlpm.q),_xlpm.q&gt;0),_xlpm.q,
   IF(AND(ISNUMBER(_xlpm.r),ISNUMBER(_xlpm.u),_xlpm.u&gt;0,ISNUMBER(_xlpm.d),_xlpm.d&gt;=0,_xlpm.d&lt;1),
      ROUND(_xlpm.r/(_xlpm.u*(1-_xlpm.d)),0),
      ""
   )
)
)</f>
        <v>9</v>
      </c>
      <c r="H358" s="4">
        <f>_xlfn.LET(
_xlpm.q,RawData!G358,
_xlpm.u,RawData!H358,
_xlpm.d,RawData!I358,
_xlpm.r,RawData!J358,
IF(AND(ISNUMBER(_xlpm.u),_xlpm.u&gt;0),_xlpm.u,
   IF(AND(ISNUMBER(_xlpm.q),_xlpm.q&gt;0,ISNUMBER(_xlpm.r),ISNUMBER(_xlpm.d),_xlpm.d&gt;=0,_xlpm.d&lt;1),
      _xlpm.r/(_xlpm.q*(1-_xlpm.d)),
      ""
   )
)
)</f>
        <v>44.62</v>
      </c>
      <c r="I358" s="5">
        <f>_xlfn.LET(
_xlpm.q,RawData!G358,
_xlpm.u,RawData!H358,
_xlpm.d,RawData!I358,
_xlpm.r,RawData!J358,
IF(AND(ISNUMBER(_xlpm.d),_xlpm.d&gt;=0,_xlpm.d&lt;1),_xlpm.d,
   IF(AND(ISNUMBER(_xlpm.q),_xlpm.q&gt;0,ISNUMBER(_xlpm.u),_xlpm.u&gt;0,ISNUMBER(_xlpm.r),_xlpm.r&gt;=0),
      1-(_xlpm.r/(_xlpm.q*_xlpm.u)),
      ""
   )
)
)</f>
        <v>0.05</v>
      </c>
      <c r="J358" s="4">
        <f>_xlfn.LET(
_xlpm.q,RawData!G358,
_xlpm.u,RawData!H358,
_xlpm.d,RawData!I358,
_xlpm.r,RawData!J358,
IF(AND(ISNUMBER(_xlpm.r),_xlpm.r&gt;=0),_xlpm.r,
   IF(AND(ISNUMBER(_xlpm.q),_xlpm.q&gt;0,ISNUMBER(_xlpm.u),_xlpm.u&gt;0,ISNUMBER(_xlpm.d),_xlpm.d&gt;=0,_xlpm.d&lt;1),
      _xlpm.q*_xlpm.u*(1-_xlpm.d),
      ""
   )
)
)</f>
        <v>381.5</v>
      </c>
      <c r="K358" s="4">
        <f>_xlfn.LET(
_xlpm.c,RawData!K358,
_xlpm.r,RawData!J358,
_xlpm.p,RawData!L358,
IF(AND(ISNUMBER(_xlpm.c),_xlpm.c&gt;=0),_xlpm.c,
   IF(AND(ISNUMBER(_xlpm.r),ISNUMBER(_xlpm.p)),
      _xlpm.r-_xlpm.p,
      ""
   )
)
)</f>
        <v>252.25</v>
      </c>
      <c r="L358" s="4">
        <f>_xlfn.LET(
_xlpm.p,RawData!L358,
_xlpm.r,RawData!J358,
_xlpm.c,RawData!K358,
IF(ISNUMBER(_xlpm.p),_xlpm.p,
IF(AND(ISNUMBER(_xlpm.r),ISNUMBER(_xlpm.c)),
_xlpm.r-_xlpm.c,
""
)
))</f>
        <v>129.25</v>
      </c>
    </row>
    <row r="359" spans="1:12" x14ac:dyDescent="0.35">
      <c r="A359" t="s">
        <v>398</v>
      </c>
      <c r="B359" s="7">
        <v>45978</v>
      </c>
      <c r="C359" t="str">
        <f>IF(RawData!C359="","Unknown",PROPER(TRIM(CLEAN(SUBSTITUTE(RawData!C359,CHAR(160)," ")))))</f>
        <v>East</v>
      </c>
      <c r="D359" t="str">
        <f>IF(RawData!D359="","Unknown",PROPER(TRIM(CLEAN(SUBSTITUTE(RawData!D359,CHAR(160)," ")))))</f>
        <v>Patna</v>
      </c>
      <c r="E359" t="str">
        <f>IF(RawData!E359="","Unknown",PROPER(TRIM(CLEAN(SUBSTITUTE(RawData!E359,CHAR(160)," ")))))</f>
        <v>Pen Set</v>
      </c>
      <c r="F359" t="str">
        <f>IF(RawData!F359="","Unknown",PROPER(TRIM(CLEAN(SUBSTITUTE(RawData!F359,CHAR(160)," ")))))</f>
        <v>Office Supplies</v>
      </c>
      <c r="G359">
        <f>_xlfn.LET(
_xlpm.q,RawData!G359,
_xlpm.u,RawData!H359,
_xlpm.d,RawData!I359,
_xlpm.r,RawData!J359,
IF(AND(ISNUMBER(_xlpm.q),_xlpm.q&gt;0),_xlpm.q,
   IF(AND(ISNUMBER(_xlpm.r),ISNUMBER(_xlpm.u),_xlpm.u&gt;0,ISNUMBER(_xlpm.d),_xlpm.d&gt;=0,_xlpm.d&lt;1),
      ROUND(_xlpm.r/(_xlpm.u*(1-_xlpm.d)),0),
      ""
   )
)
)</f>
        <v>9</v>
      </c>
      <c r="H359" s="4">
        <f>_xlfn.LET(
_xlpm.q,RawData!G359,
_xlpm.u,RawData!H359,
_xlpm.d,RawData!I359,
_xlpm.r,RawData!J359,
IF(AND(ISNUMBER(_xlpm.u),_xlpm.u&gt;0),_xlpm.u,
   IF(AND(ISNUMBER(_xlpm.q),_xlpm.q&gt;0,ISNUMBER(_xlpm.r),ISNUMBER(_xlpm.d),_xlpm.d&gt;=0,_xlpm.d&lt;1),
      _xlpm.r/(_xlpm.q*(1-_xlpm.d)),
      ""
   )
)
)</f>
        <v>11.46</v>
      </c>
      <c r="I359" s="5">
        <f>_xlfn.LET(
_xlpm.q,RawData!G359,
_xlpm.u,RawData!H359,
_xlpm.d,RawData!I359,
_xlpm.r,RawData!J359,
IF(AND(ISNUMBER(_xlpm.d),_xlpm.d&gt;=0,_xlpm.d&lt;1),_xlpm.d,
   IF(AND(ISNUMBER(_xlpm.q),_xlpm.q&gt;0,ISNUMBER(_xlpm.u),_xlpm.u&gt;0,ISNUMBER(_xlpm.r),_xlpm.r&gt;=0),
      1-(_xlpm.r/(_xlpm.q*_xlpm.u)),
      ""
   )
)
)</f>
        <v>0</v>
      </c>
      <c r="J359" s="4">
        <f>_xlfn.LET(
_xlpm.q,RawData!G359,
_xlpm.u,RawData!H359,
_xlpm.d,RawData!I359,
_xlpm.r,RawData!J359,
IF(AND(ISNUMBER(_xlpm.r),_xlpm.r&gt;=0),_xlpm.r,
   IF(AND(ISNUMBER(_xlpm.q),_xlpm.q&gt;0,ISNUMBER(_xlpm.u),_xlpm.u&gt;0,ISNUMBER(_xlpm.d),_xlpm.d&gt;=0,_xlpm.d&lt;1),
      _xlpm.q*_xlpm.u*(1-_xlpm.d),
      ""
   )
)
)</f>
        <v>103.14</v>
      </c>
      <c r="K359" s="4">
        <f>_xlfn.LET(
_xlpm.c,RawData!K359,
_xlpm.r,RawData!J359,
_xlpm.p,RawData!L359,
IF(AND(ISNUMBER(_xlpm.c),_xlpm.c&gt;=0),_xlpm.c,
   IF(AND(ISNUMBER(_xlpm.r),ISNUMBER(_xlpm.p)),
      _xlpm.r-_xlpm.p,
      ""
   )
)
)</f>
        <v>82.61</v>
      </c>
      <c r="L359" s="4">
        <f>_xlfn.LET(
_xlpm.p,RawData!L359,
_xlpm.r,RawData!J359,
_xlpm.c,RawData!K359,
IF(ISNUMBER(_xlpm.p),_xlpm.p,
IF(AND(ISNUMBER(_xlpm.r),ISNUMBER(_xlpm.c)),
_xlpm.r-_xlpm.c,
""
)
))</f>
        <v>20.53</v>
      </c>
    </row>
    <row r="360" spans="1:12" x14ac:dyDescent="0.35">
      <c r="A360" t="s">
        <v>399</v>
      </c>
      <c r="B360" s="7">
        <v>45986</v>
      </c>
      <c r="C360" t="str">
        <f>IF(RawData!C360="","Unknown",PROPER(TRIM(CLEAN(SUBSTITUTE(RawData!C360,CHAR(160)," ")))))</f>
        <v>South</v>
      </c>
      <c r="D360" t="str">
        <f>IF(RawData!D360="","Unknown",PROPER(TRIM(CLEAN(SUBSTITUTE(RawData!D360,CHAR(160)," ")))))</f>
        <v>Hyderabad</v>
      </c>
      <c r="E360" t="str">
        <f>IF(RawData!E360="","Unknown",PROPER(TRIM(CLEAN(SUBSTITUTE(RawData!E360,CHAR(160)," ")))))</f>
        <v>Pen Set</v>
      </c>
      <c r="F360" t="str">
        <f>IF(RawData!F360="","Unknown",PROPER(TRIM(CLEAN(SUBSTITUTE(RawData!F360,CHAR(160)," ")))))</f>
        <v>Office Supplies</v>
      </c>
      <c r="G360">
        <f>_xlfn.LET(
_xlpm.q,RawData!G360,
_xlpm.u,RawData!H360,
_xlpm.d,RawData!I360,
_xlpm.r,RawData!J360,
IF(AND(ISNUMBER(_xlpm.q),_xlpm.q&gt;0),_xlpm.q,
   IF(AND(ISNUMBER(_xlpm.r),ISNUMBER(_xlpm.u),_xlpm.u&gt;0,ISNUMBER(_xlpm.d),_xlpm.d&gt;=0,_xlpm.d&lt;1),
      ROUND(_xlpm.r/(_xlpm.u*(1-_xlpm.d)),0),
      ""
   )
)
)</f>
        <v>10</v>
      </c>
      <c r="H360" s="4">
        <f>_xlfn.LET(
_xlpm.q,RawData!G360,
_xlpm.u,RawData!H360,
_xlpm.d,RawData!I360,
_xlpm.r,RawData!J360,
IF(AND(ISNUMBER(_xlpm.u),_xlpm.u&gt;0),_xlpm.u,
   IF(AND(ISNUMBER(_xlpm.q),_xlpm.q&gt;0,ISNUMBER(_xlpm.r),ISNUMBER(_xlpm.d),_xlpm.d&gt;=0,_xlpm.d&lt;1),
      _xlpm.r/(_xlpm.q*(1-_xlpm.d)),
      ""
   )
)
)</f>
        <v>13.19</v>
      </c>
      <c r="I360" s="5">
        <f>_xlfn.LET(
_xlpm.q,RawData!G360,
_xlpm.u,RawData!H360,
_xlpm.d,RawData!I360,
_xlpm.r,RawData!J360,
IF(AND(ISNUMBER(_xlpm.d),_xlpm.d&gt;=0,_xlpm.d&lt;1),_xlpm.d,
   IF(AND(ISNUMBER(_xlpm.q),_xlpm.q&gt;0,ISNUMBER(_xlpm.u),_xlpm.u&gt;0,ISNUMBER(_xlpm.r),_xlpm.r&gt;=0),
      1-(_xlpm.r/(_xlpm.q*_xlpm.u)),
      ""
   )
)
)</f>
        <v>0.02</v>
      </c>
      <c r="J360" s="4">
        <f>_xlfn.LET(
_xlpm.q,RawData!G360,
_xlpm.u,RawData!H360,
_xlpm.d,RawData!I360,
_xlpm.r,RawData!J360,
IF(AND(ISNUMBER(_xlpm.r),_xlpm.r&gt;=0),_xlpm.r,
   IF(AND(ISNUMBER(_xlpm.q),_xlpm.q&gt;0,ISNUMBER(_xlpm.u),_xlpm.u&gt;0,ISNUMBER(_xlpm.d),_xlpm.d&gt;=0,_xlpm.d&lt;1),
      _xlpm.q*_xlpm.u*(1-_xlpm.d),
      ""
   )
)
)</f>
        <v>129.26</v>
      </c>
      <c r="K360" s="4">
        <f>_xlfn.LET(
_xlpm.c,RawData!K360,
_xlpm.r,RawData!J360,
_xlpm.p,RawData!L360,
IF(AND(ISNUMBER(_xlpm.c),_xlpm.c&gt;=0),_xlpm.c,
   IF(AND(ISNUMBER(_xlpm.r),ISNUMBER(_xlpm.p)),
      _xlpm.r-_xlpm.p,
      ""
   )
)
)</f>
        <v>104.77</v>
      </c>
      <c r="L360" s="4">
        <f>_xlfn.LET(
_xlpm.p,RawData!L360,
_xlpm.r,RawData!J360,
_xlpm.c,RawData!K360,
IF(ISNUMBER(_xlpm.p),_xlpm.p,
IF(AND(ISNUMBER(_xlpm.r),ISNUMBER(_xlpm.c)),
_xlpm.r-_xlpm.c,
""
)
))</f>
        <v>24.49</v>
      </c>
    </row>
    <row r="361" spans="1:12" x14ac:dyDescent="0.35">
      <c r="A361" t="s">
        <v>400</v>
      </c>
      <c r="B361" s="7">
        <v>45995</v>
      </c>
      <c r="C361" t="str">
        <f>IF(RawData!C361="","Unknown",PROPER(TRIM(CLEAN(SUBSTITUTE(RawData!C361,CHAR(160)," ")))))</f>
        <v>East</v>
      </c>
      <c r="D361" t="str">
        <f>IF(RawData!D361="","Unknown",PROPER(TRIM(CLEAN(SUBSTITUTE(RawData!D361,CHAR(160)," ")))))</f>
        <v>Kolkata</v>
      </c>
      <c r="E361" t="str">
        <f>IF(RawData!E361="","Unknown",PROPER(TRIM(CLEAN(SUBSTITUTE(RawData!E361,CHAR(160)," ")))))</f>
        <v>Pen Set</v>
      </c>
      <c r="F361" t="str">
        <f>IF(RawData!F361="","Unknown",PROPER(TRIM(CLEAN(SUBSTITUTE(RawData!F361,CHAR(160)," ")))))</f>
        <v>Office Supplies</v>
      </c>
      <c r="G361">
        <f>_xlfn.LET(
_xlpm.q,RawData!G361,
_xlpm.u,RawData!H361,
_xlpm.d,RawData!I361,
_xlpm.r,RawData!J361,
IF(AND(ISNUMBER(_xlpm.q),_xlpm.q&gt;0),_xlpm.q,
   IF(AND(ISNUMBER(_xlpm.r),ISNUMBER(_xlpm.u),_xlpm.u&gt;0,ISNUMBER(_xlpm.d),_xlpm.d&gt;=0,_xlpm.d&lt;1),
      ROUND(_xlpm.r/(_xlpm.u*(1-_xlpm.d)),0),
      ""
   )
)
)</f>
        <v>1</v>
      </c>
      <c r="H361" s="4">
        <f>_xlfn.LET(
_xlpm.q,RawData!G361,
_xlpm.u,RawData!H361,
_xlpm.d,RawData!I361,
_xlpm.r,RawData!J361,
IF(AND(ISNUMBER(_xlpm.u),_xlpm.u&gt;0),_xlpm.u,
   IF(AND(ISNUMBER(_xlpm.q),_xlpm.q&gt;0,ISNUMBER(_xlpm.r),ISNUMBER(_xlpm.d),_xlpm.d&gt;=0,_xlpm.d&lt;1),
      _xlpm.r/(_xlpm.q*(1-_xlpm.d)),
      ""
   )
)
)</f>
        <v>10.65</v>
      </c>
      <c r="I361" s="5">
        <f>_xlfn.LET(
_xlpm.q,RawData!G361,
_xlpm.u,RawData!H361,
_xlpm.d,RawData!I361,
_xlpm.r,RawData!J361,
IF(AND(ISNUMBER(_xlpm.d),_xlpm.d&gt;=0,_xlpm.d&lt;1),_xlpm.d,
   IF(AND(ISNUMBER(_xlpm.q),_xlpm.q&gt;0,ISNUMBER(_xlpm.u),_xlpm.u&gt;0,ISNUMBER(_xlpm.r),_xlpm.r&gt;=0),
      1-(_xlpm.r/(_xlpm.q*_xlpm.u)),
      ""
   )
)
)</f>
        <v>0</v>
      </c>
      <c r="J361" s="4">
        <f>_xlfn.LET(
_xlpm.q,RawData!G361,
_xlpm.u,RawData!H361,
_xlpm.d,RawData!I361,
_xlpm.r,RawData!J361,
IF(AND(ISNUMBER(_xlpm.r),_xlpm.r&gt;=0),_xlpm.r,
   IF(AND(ISNUMBER(_xlpm.q),_xlpm.q&gt;0,ISNUMBER(_xlpm.u),_xlpm.u&gt;0,ISNUMBER(_xlpm.d),_xlpm.d&gt;=0,_xlpm.d&lt;1),
      _xlpm.q*_xlpm.u*(1-_xlpm.d),
      ""
   )
)
)</f>
        <v>10.65</v>
      </c>
      <c r="K361" s="4">
        <f>_xlfn.LET(
_xlpm.c,RawData!K361,
_xlpm.r,RawData!J361,
_xlpm.p,RawData!L361,
IF(AND(ISNUMBER(_xlpm.c),_xlpm.c&gt;=0),_xlpm.c,
   IF(AND(ISNUMBER(_xlpm.r),ISNUMBER(_xlpm.p)),
      _xlpm.r-_xlpm.p,
      ""
   )
)
)</f>
        <v>7.96</v>
      </c>
      <c r="L361" s="4">
        <f>_xlfn.LET(
_xlpm.p,RawData!L361,
_xlpm.r,RawData!J361,
_xlpm.c,RawData!K361,
IF(ISNUMBER(_xlpm.p),_xlpm.p,
IF(AND(ISNUMBER(_xlpm.r),ISNUMBER(_xlpm.c)),
_xlpm.r-_xlpm.c,
""
)
))</f>
        <v>2.69</v>
      </c>
    </row>
    <row r="362" spans="1:12" x14ac:dyDescent="0.35">
      <c r="A362" t="s">
        <v>401</v>
      </c>
      <c r="B362" s="7">
        <v>45681</v>
      </c>
      <c r="C362" t="str">
        <f>IF(RawData!C362="","Unknown",PROPER(TRIM(CLEAN(SUBSTITUTE(RawData!C362,CHAR(160)," ")))))</f>
        <v>East</v>
      </c>
      <c r="D362" t="str">
        <f>IF(RawData!D362="","Unknown",PROPER(TRIM(CLEAN(SUBSTITUTE(RawData!D362,CHAR(160)," ")))))</f>
        <v>Bhubaneswar</v>
      </c>
      <c r="E362" t="str">
        <f>IF(RawData!E362="","Unknown",PROPER(TRIM(CLEAN(SUBSTITUTE(RawData!E362,CHAR(160)," ")))))</f>
        <v>Backpack</v>
      </c>
      <c r="F362" t="str">
        <f>IF(RawData!F362="","Unknown",PROPER(TRIM(CLEAN(SUBSTITUTE(RawData!F362,CHAR(160)," ")))))</f>
        <v>Accessories</v>
      </c>
      <c r="G362">
        <f>_xlfn.LET(
_xlpm.q,RawData!G362,
_xlpm.u,RawData!H362,
_xlpm.d,RawData!I362,
_xlpm.r,RawData!J362,
IF(AND(ISNUMBER(_xlpm.q),_xlpm.q&gt;0),_xlpm.q,
   IF(AND(ISNUMBER(_xlpm.r),ISNUMBER(_xlpm.u),_xlpm.u&gt;0,ISNUMBER(_xlpm.d),_xlpm.d&gt;=0,_xlpm.d&lt;1),
      ROUND(_xlpm.r/(_xlpm.u*(1-_xlpm.d)),0),
      ""
   )
)
)</f>
        <v>4</v>
      </c>
      <c r="H362" s="4">
        <f>_xlfn.LET(
_xlpm.q,RawData!G362,
_xlpm.u,RawData!H362,
_xlpm.d,RawData!I362,
_xlpm.r,RawData!J362,
IF(AND(ISNUMBER(_xlpm.u),_xlpm.u&gt;0),_xlpm.u,
   IF(AND(ISNUMBER(_xlpm.q),_xlpm.q&gt;0,ISNUMBER(_xlpm.r),ISNUMBER(_xlpm.d),_xlpm.d&gt;=0,_xlpm.d&lt;1),
      _xlpm.r/(_xlpm.q*(1-_xlpm.d)),
      ""
   )
)
)</f>
        <v>50.92</v>
      </c>
      <c r="I362" s="5">
        <f>_xlfn.LET(
_xlpm.q,RawData!G362,
_xlpm.u,RawData!H362,
_xlpm.d,RawData!I362,
_xlpm.r,RawData!J362,
IF(AND(ISNUMBER(_xlpm.d),_xlpm.d&gt;=0,_xlpm.d&lt;1),_xlpm.d,
   IF(AND(ISNUMBER(_xlpm.q),_xlpm.q&gt;0,ISNUMBER(_xlpm.u),_xlpm.u&gt;0,ISNUMBER(_xlpm.r),_xlpm.r&gt;=0),
      1-(_xlpm.r/(_xlpm.q*_xlpm.u)),
      ""
   )
)
)</f>
        <v>0.15</v>
      </c>
      <c r="J362" s="4">
        <f>_xlfn.LET(
_xlpm.q,RawData!G362,
_xlpm.u,RawData!H362,
_xlpm.d,RawData!I362,
_xlpm.r,RawData!J362,
IF(AND(ISNUMBER(_xlpm.r),_xlpm.r&gt;=0),_xlpm.r,
   IF(AND(ISNUMBER(_xlpm.q),_xlpm.q&gt;0,ISNUMBER(_xlpm.u),_xlpm.u&gt;0,ISNUMBER(_xlpm.d),_xlpm.d&gt;=0,_xlpm.d&lt;1),
      _xlpm.q*_xlpm.u*(1-_xlpm.d),
      ""
   )
)
)</f>
        <v>173.13</v>
      </c>
      <c r="K362" s="4">
        <f>_xlfn.LET(
_xlpm.c,RawData!K362,
_xlpm.r,RawData!J362,
_xlpm.p,RawData!L362,
IF(AND(ISNUMBER(_xlpm.c),_xlpm.c&gt;=0),_xlpm.c,
   IF(AND(ISNUMBER(_xlpm.r),ISNUMBER(_xlpm.p)),
      _xlpm.r-_xlpm.p,
      ""
   )
)
)</f>
        <v>103.69</v>
      </c>
      <c r="L362" s="4">
        <f>_xlfn.LET(
_xlpm.p,RawData!L362,
_xlpm.r,RawData!J362,
_xlpm.c,RawData!K362,
IF(ISNUMBER(_xlpm.p),_xlpm.p,
IF(AND(ISNUMBER(_xlpm.r),ISNUMBER(_xlpm.c)),
_xlpm.r-_xlpm.c,
""
)
))</f>
        <v>69.44</v>
      </c>
    </row>
    <row r="363" spans="1:12" x14ac:dyDescent="0.35">
      <c r="A363" t="s">
        <v>402</v>
      </c>
      <c r="B363" s="7">
        <v>45974</v>
      </c>
      <c r="C363" t="str">
        <f>IF(RawData!C363="","Unknown",PROPER(TRIM(CLEAN(SUBSTITUTE(RawData!C363,CHAR(160)," ")))))</f>
        <v>North</v>
      </c>
      <c r="D363" t="str">
        <f>IF(RawData!D363="","Unknown",PROPER(TRIM(CLEAN(SUBSTITUTE(RawData!D363,CHAR(160)," ")))))</f>
        <v>Lucknow</v>
      </c>
      <c r="E363" t="str">
        <f>IF(RawData!E363="","Unknown",PROPER(TRIM(CLEAN(SUBSTITUTE(RawData!E363,CHAR(160)," ")))))</f>
        <v>Printer</v>
      </c>
      <c r="F363" t="str">
        <f>IF(RawData!F363="","Unknown",PROPER(TRIM(CLEAN(SUBSTITUTE(RawData!F363,CHAR(160)," ")))))</f>
        <v>Office Supplies</v>
      </c>
      <c r="G363">
        <f>_xlfn.LET(
_xlpm.q,RawData!G363,
_xlpm.u,RawData!H363,
_xlpm.d,RawData!I363,
_xlpm.r,RawData!J363,
IF(AND(ISNUMBER(_xlpm.q),_xlpm.q&gt;0),_xlpm.q,
   IF(AND(ISNUMBER(_xlpm.r),ISNUMBER(_xlpm.u),_xlpm.u&gt;0,ISNUMBER(_xlpm.d),_xlpm.d&gt;=0,_xlpm.d&lt;1),
      ROUND(_xlpm.r/(_xlpm.u*(1-_xlpm.d)),0),
      ""
   )
)
)</f>
        <v>9</v>
      </c>
      <c r="H363" s="4">
        <f>_xlfn.LET(
_xlpm.q,RawData!G363,
_xlpm.u,RawData!H363,
_xlpm.d,RawData!I363,
_xlpm.r,RawData!J363,
IF(AND(ISNUMBER(_xlpm.u),_xlpm.u&gt;0),_xlpm.u,
   IF(AND(ISNUMBER(_xlpm.q),_xlpm.q&gt;0,ISNUMBER(_xlpm.r),ISNUMBER(_xlpm.d),_xlpm.d&gt;=0,_xlpm.d&lt;1),
      _xlpm.r/(_xlpm.q*(1-_xlpm.d)),
      ""
   )
)
)</f>
        <v>139.19</v>
      </c>
      <c r="I363" s="5">
        <f>_xlfn.LET(
_xlpm.q,RawData!G363,
_xlpm.u,RawData!H363,
_xlpm.d,RawData!I363,
_xlpm.r,RawData!J363,
IF(AND(ISNUMBER(_xlpm.d),_xlpm.d&gt;=0,_xlpm.d&lt;1),_xlpm.d,
   IF(AND(ISNUMBER(_xlpm.q),_xlpm.q&gt;0,ISNUMBER(_xlpm.u),_xlpm.u&gt;0,ISNUMBER(_xlpm.r),_xlpm.r&gt;=0),
      1-(_xlpm.r/(_xlpm.q*_xlpm.u)),
      ""
   )
)
)</f>
        <v>5.000359221208428E-2</v>
      </c>
      <c r="J363" s="4">
        <f>_xlfn.LET(
_xlpm.q,RawData!G363,
_xlpm.u,RawData!H363,
_xlpm.d,RawData!I363,
_xlpm.r,RawData!J363,
IF(AND(ISNUMBER(_xlpm.r),_xlpm.r&gt;=0),_xlpm.r,
   IF(AND(ISNUMBER(_xlpm.q),_xlpm.q&gt;0,ISNUMBER(_xlpm.u),_xlpm.u&gt;0,ISNUMBER(_xlpm.d),_xlpm.d&gt;=0,_xlpm.d&lt;1),
      _xlpm.q*_xlpm.u*(1-_xlpm.d),
      ""
   )
)
)</f>
        <v>1190.07</v>
      </c>
      <c r="K363" s="4">
        <f>_xlfn.LET(
_xlpm.c,RawData!K363,
_xlpm.r,RawData!J363,
_xlpm.p,RawData!L363,
IF(AND(ISNUMBER(_xlpm.c),_xlpm.c&gt;=0),_xlpm.c,
   IF(AND(ISNUMBER(_xlpm.r),ISNUMBER(_xlpm.p)),
      _xlpm.r-_xlpm.p,
      ""
   )
)
)</f>
        <v>892.67</v>
      </c>
      <c r="L363" s="4">
        <f>_xlfn.LET(
_xlpm.p,RawData!L363,
_xlpm.r,RawData!J363,
_xlpm.c,RawData!K363,
IF(ISNUMBER(_xlpm.p),_xlpm.p,
IF(AND(ISNUMBER(_xlpm.r),ISNUMBER(_xlpm.c)),
_xlpm.r-_xlpm.c,
""
)
))</f>
        <v>297.39999999999998</v>
      </c>
    </row>
    <row r="364" spans="1:12" x14ac:dyDescent="0.35">
      <c r="A364" t="s">
        <v>403</v>
      </c>
      <c r="B364" s="7">
        <v>45812</v>
      </c>
      <c r="C364" t="str">
        <f>IF(RawData!C364="","Unknown",PROPER(TRIM(CLEAN(SUBSTITUTE(RawData!C364,CHAR(160)," ")))))</f>
        <v>West</v>
      </c>
      <c r="D364" t="str">
        <f>IF(RawData!D364="","Unknown",PROPER(TRIM(CLEAN(SUBSTITUTE(RawData!D364,CHAR(160)," ")))))</f>
        <v>Pune</v>
      </c>
      <c r="E364" t="str">
        <f>IF(RawData!E364="","Unknown",PROPER(TRIM(CLEAN(SUBSTITUTE(RawData!E364,CHAR(160)," ")))))</f>
        <v>Monitor</v>
      </c>
      <c r="F364" t="str">
        <f>IF(RawData!F364="","Unknown",PROPER(TRIM(CLEAN(SUBSTITUTE(RawData!F364,CHAR(160)," ")))))</f>
        <v>Electronics</v>
      </c>
      <c r="G364">
        <f>_xlfn.LET(
_xlpm.q,RawData!G364,
_xlpm.u,RawData!H364,
_xlpm.d,RawData!I364,
_xlpm.r,RawData!J364,
IF(AND(ISNUMBER(_xlpm.q),_xlpm.q&gt;0),_xlpm.q,
   IF(AND(ISNUMBER(_xlpm.r),ISNUMBER(_xlpm.u),_xlpm.u&gt;0,ISNUMBER(_xlpm.d),_xlpm.d&gt;=0,_xlpm.d&lt;1),
      ROUND(_xlpm.r/(_xlpm.u*(1-_xlpm.d)),0),
      ""
   )
)
)</f>
        <v>7</v>
      </c>
      <c r="H364" s="4">
        <f>_xlfn.LET(
_xlpm.q,RawData!G364,
_xlpm.u,RawData!H364,
_xlpm.d,RawData!I364,
_xlpm.r,RawData!J364,
IF(AND(ISNUMBER(_xlpm.u),_xlpm.u&gt;0),_xlpm.u,
   IF(AND(ISNUMBER(_xlpm.q),_xlpm.q&gt;0,ISNUMBER(_xlpm.r),ISNUMBER(_xlpm.d),_xlpm.d&gt;=0,_xlpm.d&lt;1),
      _xlpm.r/(_xlpm.q*(1-_xlpm.d)),
      ""
   )
)
)</f>
        <v>224.92</v>
      </c>
      <c r="I364" s="5">
        <f>_xlfn.LET(
_xlpm.q,RawData!G364,
_xlpm.u,RawData!H364,
_xlpm.d,RawData!I364,
_xlpm.r,RawData!J364,
IF(AND(ISNUMBER(_xlpm.d),_xlpm.d&gt;=0,_xlpm.d&lt;1),_xlpm.d,
   IF(AND(ISNUMBER(_xlpm.q),_xlpm.q&gt;0,ISNUMBER(_xlpm.u),_xlpm.u&gt;0,ISNUMBER(_xlpm.r),_xlpm.r&gt;=0),
      1-(_xlpm.r/(_xlpm.q*_xlpm.u)),
      ""
   )
)
)</f>
        <v>0.05</v>
      </c>
      <c r="J364" s="4">
        <f>_xlfn.LET(
_xlpm.q,RawData!G364,
_xlpm.u,RawData!H364,
_xlpm.d,RawData!I364,
_xlpm.r,RawData!J364,
IF(AND(ISNUMBER(_xlpm.r),_xlpm.r&gt;=0),_xlpm.r,
   IF(AND(ISNUMBER(_xlpm.q),_xlpm.q&gt;0,ISNUMBER(_xlpm.u),_xlpm.u&gt;0,ISNUMBER(_xlpm.d),_xlpm.d&gt;=0,_xlpm.d&lt;1),
      _xlpm.q*_xlpm.u*(1-_xlpm.d),
      ""
   )
)
)</f>
        <v>1495.72</v>
      </c>
      <c r="K364" s="4">
        <f>_xlfn.LET(
_xlpm.c,RawData!K364,
_xlpm.r,RawData!J364,
_xlpm.p,RawData!L364,
IF(AND(ISNUMBER(_xlpm.c),_xlpm.c&gt;=0),_xlpm.c,
   IF(AND(ISNUMBER(_xlpm.r),ISNUMBER(_xlpm.p)),
      _xlpm.r-_xlpm.p,
      ""
   )
)
)</f>
        <v>1162.6099999999999</v>
      </c>
      <c r="L364" s="4">
        <f>_xlfn.LET(
_xlpm.p,RawData!L364,
_xlpm.r,RawData!J364,
_xlpm.c,RawData!K364,
IF(ISNUMBER(_xlpm.p),_xlpm.p,
IF(AND(ISNUMBER(_xlpm.r),ISNUMBER(_xlpm.c)),
_xlpm.r-_xlpm.c,
""
)
))</f>
        <v>333.11</v>
      </c>
    </row>
    <row r="365" spans="1:12" x14ac:dyDescent="0.35">
      <c r="A365" t="s">
        <v>404</v>
      </c>
      <c r="B365" s="7">
        <v>45695</v>
      </c>
      <c r="C365" t="str">
        <f>IF(RawData!C365="","Unknown",PROPER(TRIM(CLEAN(SUBSTITUTE(RawData!C365,CHAR(160)," ")))))</f>
        <v>North</v>
      </c>
      <c r="D365" t="str">
        <f>IF(RawData!D365="","Unknown",PROPER(TRIM(CLEAN(SUBSTITUTE(RawData!D365,CHAR(160)," ")))))</f>
        <v>Jaipur</v>
      </c>
      <c r="E365" t="str">
        <f>IF(RawData!E365="","Unknown",PROPER(TRIM(CLEAN(SUBSTITUTE(RawData!E365,CHAR(160)," ")))))</f>
        <v>Headphones</v>
      </c>
      <c r="F365" t="str">
        <f>IF(RawData!F365="","Unknown",PROPER(TRIM(CLEAN(SUBSTITUTE(RawData!F365,CHAR(160)," ")))))</f>
        <v>Electronics</v>
      </c>
      <c r="G365">
        <f>_xlfn.LET(
_xlpm.q,RawData!G365,
_xlpm.u,RawData!H365,
_xlpm.d,RawData!I365,
_xlpm.r,RawData!J365,
IF(AND(ISNUMBER(_xlpm.q),_xlpm.q&gt;0),_xlpm.q,
   IF(AND(ISNUMBER(_xlpm.r),ISNUMBER(_xlpm.u),_xlpm.u&gt;0,ISNUMBER(_xlpm.d),_xlpm.d&gt;=0,_xlpm.d&lt;1),
      ROUND(_xlpm.r/(_xlpm.u*(1-_xlpm.d)),0),
      ""
   )
)
)</f>
        <v>8</v>
      </c>
      <c r="H365" s="4">
        <f>_xlfn.LET(
_xlpm.q,RawData!G365,
_xlpm.u,RawData!H365,
_xlpm.d,RawData!I365,
_xlpm.r,RawData!J365,
IF(AND(ISNUMBER(_xlpm.u),_xlpm.u&gt;0),_xlpm.u,
   IF(AND(ISNUMBER(_xlpm.q),_xlpm.q&gt;0,ISNUMBER(_xlpm.r),ISNUMBER(_xlpm.d),_xlpm.d&gt;=0,_xlpm.d&lt;1),
      _xlpm.r/(_xlpm.q*(1-_xlpm.d)),
      ""
   )
)
)</f>
        <v>71.349999999999994</v>
      </c>
      <c r="I365" s="5">
        <f>_xlfn.LET(
_xlpm.q,RawData!G365,
_xlpm.u,RawData!H365,
_xlpm.d,RawData!I365,
_xlpm.r,RawData!J365,
IF(AND(ISNUMBER(_xlpm.d),_xlpm.d&gt;=0,_xlpm.d&lt;1),_xlpm.d,
   IF(AND(ISNUMBER(_xlpm.q),_xlpm.q&gt;0,ISNUMBER(_xlpm.u),_xlpm.u&gt;0,ISNUMBER(_xlpm.r),_xlpm.r&gt;=0),
      1-(_xlpm.r/(_xlpm.q*_xlpm.u)),
      ""
   )
)
)</f>
        <v>0.1</v>
      </c>
      <c r="J365" s="4">
        <f>_xlfn.LET(
_xlpm.q,RawData!G365,
_xlpm.u,RawData!H365,
_xlpm.d,RawData!I365,
_xlpm.r,RawData!J365,
IF(AND(ISNUMBER(_xlpm.r),_xlpm.r&gt;=0),_xlpm.r,
   IF(AND(ISNUMBER(_xlpm.q),_xlpm.q&gt;0,ISNUMBER(_xlpm.u),_xlpm.u&gt;0,ISNUMBER(_xlpm.d),_xlpm.d&gt;=0,_xlpm.d&lt;1),
      _xlpm.q*_xlpm.u*(1-_xlpm.d),
      ""
   )
)
)</f>
        <v>513.72</v>
      </c>
      <c r="K365" s="4">
        <f>_xlfn.LET(
_xlpm.c,RawData!K365,
_xlpm.r,RawData!J365,
_xlpm.p,RawData!L365,
IF(AND(ISNUMBER(_xlpm.c),_xlpm.c&gt;=0),_xlpm.c,
   IF(AND(ISNUMBER(_xlpm.r),ISNUMBER(_xlpm.p)),
      _xlpm.r-_xlpm.p,
      ""
   )
)
)</f>
        <v>392.85</v>
      </c>
      <c r="L365" s="4">
        <f>_xlfn.LET(
_xlpm.p,RawData!L365,
_xlpm.r,RawData!J365,
_xlpm.c,RawData!K365,
IF(ISNUMBER(_xlpm.p),_xlpm.p,
IF(AND(ISNUMBER(_xlpm.r),ISNUMBER(_xlpm.c)),
_xlpm.r-_xlpm.c,
""
)
))</f>
        <v>120.87</v>
      </c>
    </row>
    <row r="366" spans="1:12" x14ac:dyDescent="0.35">
      <c r="A366" t="s">
        <v>405</v>
      </c>
      <c r="B366" s="7">
        <v>45895</v>
      </c>
      <c r="C366" t="str">
        <f>IF(RawData!C366="","Unknown",PROPER(TRIM(CLEAN(SUBSTITUTE(RawData!C366,CHAR(160)," ")))))</f>
        <v>South</v>
      </c>
      <c r="D366" t="str">
        <f>IF(RawData!D366="","Unknown",PROPER(TRIM(CLEAN(SUBSTITUTE(RawData!D366,CHAR(160)," ")))))</f>
        <v>Chennai</v>
      </c>
      <c r="E366" t="str">
        <f>IF(RawData!E366="","Unknown",PROPER(TRIM(CLEAN(SUBSTITUTE(RawData!E366,CHAR(160)," ")))))</f>
        <v>Desk</v>
      </c>
      <c r="F366" t="str">
        <f>IF(RawData!F366="","Unknown",PROPER(TRIM(CLEAN(SUBSTITUTE(RawData!F366,CHAR(160)," ")))))</f>
        <v>Furniture</v>
      </c>
      <c r="G366">
        <f>_xlfn.LET(
_xlpm.q,RawData!G366,
_xlpm.u,RawData!H366,
_xlpm.d,RawData!I366,
_xlpm.r,RawData!J366,
IF(AND(ISNUMBER(_xlpm.q),_xlpm.q&gt;0),_xlpm.q,
   IF(AND(ISNUMBER(_xlpm.r),ISNUMBER(_xlpm.u),_xlpm.u&gt;0,ISNUMBER(_xlpm.d),_xlpm.d&gt;=0,_xlpm.d&lt;1),
      ROUND(_xlpm.r/(_xlpm.u*(1-_xlpm.d)),0),
      ""
   )
)
)</f>
        <v>10</v>
      </c>
      <c r="H366" s="4">
        <f>_xlfn.LET(
_xlpm.q,RawData!G366,
_xlpm.u,RawData!H366,
_xlpm.d,RawData!I366,
_xlpm.r,RawData!J366,
IF(AND(ISNUMBER(_xlpm.u),_xlpm.u&gt;0),_xlpm.u,
   IF(AND(ISNUMBER(_xlpm.q),_xlpm.q&gt;0,ISNUMBER(_xlpm.r),ISNUMBER(_xlpm.d),_xlpm.d&gt;=0,_xlpm.d&lt;1),
      _xlpm.r/(_xlpm.q*(1-_xlpm.d)),
      ""
   )
)
)</f>
        <v>227.62</v>
      </c>
      <c r="I366" s="5">
        <f>_xlfn.LET(
_xlpm.q,RawData!G366,
_xlpm.u,RawData!H366,
_xlpm.d,RawData!I366,
_xlpm.r,RawData!J366,
IF(AND(ISNUMBER(_xlpm.d),_xlpm.d&gt;=0,_xlpm.d&lt;1),_xlpm.d,
   IF(AND(ISNUMBER(_xlpm.q),_xlpm.q&gt;0,ISNUMBER(_xlpm.u),_xlpm.u&gt;0,ISNUMBER(_xlpm.r),_xlpm.r&gt;=0),
      1-(_xlpm.r/(_xlpm.q*_xlpm.u)),
      ""
   )
)
)</f>
        <v>0.02</v>
      </c>
      <c r="J366" s="4">
        <f>_xlfn.LET(
_xlpm.q,RawData!G366,
_xlpm.u,RawData!H366,
_xlpm.d,RawData!I366,
_xlpm.r,RawData!J366,
IF(AND(ISNUMBER(_xlpm.r),_xlpm.r&gt;=0),_xlpm.r,
   IF(AND(ISNUMBER(_xlpm.q),_xlpm.q&gt;0,ISNUMBER(_xlpm.u),_xlpm.u&gt;0,ISNUMBER(_xlpm.d),_xlpm.d&gt;=0,_xlpm.d&lt;1),
      _xlpm.q*_xlpm.u*(1-_xlpm.d),
      ""
   )
)
)</f>
        <v>2230.6799999999998</v>
      </c>
      <c r="K366" s="4">
        <f>_xlfn.LET(
_xlpm.c,RawData!K366,
_xlpm.r,RawData!J366,
_xlpm.p,RawData!L366,
IF(AND(ISNUMBER(_xlpm.c),_xlpm.c&gt;=0),_xlpm.c,
   IF(AND(ISNUMBER(_xlpm.r),ISNUMBER(_xlpm.p)),
      _xlpm.r-_xlpm.p,
      ""
   )
)
)</f>
        <v>1325.44</v>
      </c>
      <c r="L366" s="4">
        <f>_xlfn.LET(
_xlpm.p,RawData!L366,
_xlpm.r,RawData!J366,
_xlpm.c,RawData!K366,
IF(ISNUMBER(_xlpm.p),_xlpm.p,
IF(AND(ISNUMBER(_xlpm.r),ISNUMBER(_xlpm.c)),
_xlpm.r-_xlpm.c,
""
)
))</f>
        <v>905.24</v>
      </c>
    </row>
    <row r="367" spans="1:12" x14ac:dyDescent="0.35">
      <c r="A367" t="s">
        <v>406</v>
      </c>
      <c r="B367" s="7">
        <v>45821</v>
      </c>
      <c r="C367" t="str">
        <f>IF(RawData!C367="","Unknown",PROPER(TRIM(CLEAN(SUBSTITUTE(RawData!C367,CHAR(160)," ")))))</f>
        <v>East</v>
      </c>
      <c r="D367" t="str">
        <f>IF(RawData!D367="","Unknown",PROPER(TRIM(CLEAN(SUBSTITUTE(RawData!D367,CHAR(160)," ")))))</f>
        <v>Patna</v>
      </c>
      <c r="E367" t="str">
        <f>IF(RawData!E367="","Unknown",PROPER(TRIM(CLEAN(SUBSTITUTE(RawData!E367,CHAR(160)," ")))))</f>
        <v>Bookshelf</v>
      </c>
      <c r="F367" t="str">
        <f>IF(RawData!F367="","Unknown",PROPER(TRIM(CLEAN(SUBSTITUTE(RawData!F367,CHAR(160)," ")))))</f>
        <v>Furniture</v>
      </c>
      <c r="G367">
        <f>_xlfn.LET(
_xlpm.q,RawData!G367,
_xlpm.u,RawData!H367,
_xlpm.d,RawData!I367,
_xlpm.r,RawData!J367,
IF(AND(ISNUMBER(_xlpm.q),_xlpm.q&gt;0),_xlpm.q,
   IF(AND(ISNUMBER(_xlpm.r),ISNUMBER(_xlpm.u),_xlpm.u&gt;0,ISNUMBER(_xlpm.d),_xlpm.d&gt;=0,_xlpm.d&lt;1),
      ROUND(_xlpm.r/(_xlpm.u*(1-_xlpm.d)),0),
      ""
   )
)
)</f>
        <v>3</v>
      </c>
      <c r="H367" s="4">
        <f>_xlfn.LET(
_xlpm.q,RawData!G367,
_xlpm.u,RawData!H367,
_xlpm.d,RawData!I367,
_xlpm.r,RawData!J367,
IF(AND(ISNUMBER(_xlpm.u),_xlpm.u&gt;0),_xlpm.u,
   IF(AND(ISNUMBER(_xlpm.q),_xlpm.q&gt;0,ISNUMBER(_xlpm.r),ISNUMBER(_xlpm.d),_xlpm.d&gt;=0,_xlpm.d&lt;1),
      _xlpm.r/(_xlpm.q*(1-_xlpm.d)),
      ""
   )
)
)</f>
        <v>125.9</v>
      </c>
      <c r="I367" s="5">
        <f>_xlfn.LET(
_xlpm.q,RawData!G367,
_xlpm.u,RawData!H367,
_xlpm.d,RawData!I367,
_xlpm.r,RawData!J367,
IF(AND(ISNUMBER(_xlpm.d),_xlpm.d&gt;=0,_xlpm.d&lt;1),_xlpm.d,
   IF(AND(ISNUMBER(_xlpm.q),_xlpm.q&gt;0,ISNUMBER(_xlpm.u),_xlpm.u&gt;0,ISNUMBER(_xlpm.r),_xlpm.r&gt;=0),
      1-(_xlpm.r/(_xlpm.q*_xlpm.u)),
      ""
   )
)
)</f>
        <v>0.05</v>
      </c>
      <c r="J367" s="4">
        <f>_xlfn.LET(
_xlpm.q,RawData!G367,
_xlpm.u,RawData!H367,
_xlpm.d,RawData!I367,
_xlpm.r,RawData!J367,
IF(AND(ISNUMBER(_xlpm.r),_xlpm.r&gt;=0),_xlpm.r,
   IF(AND(ISNUMBER(_xlpm.q),_xlpm.q&gt;0,ISNUMBER(_xlpm.u),_xlpm.u&gt;0,ISNUMBER(_xlpm.d),_xlpm.d&gt;=0,_xlpm.d&lt;1),
      _xlpm.q*_xlpm.u*(1-_xlpm.d),
      ""
   )
)
)</f>
        <v>358.82</v>
      </c>
      <c r="K367" s="4">
        <f>_xlfn.LET(
_xlpm.c,RawData!K367,
_xlpm.r,RawData!J367,
_xlpm.p,RawData!L367,
IF(AND(ISNUMBER(_xlpm.c),_xlpm.c&gt;=0),_xlpm.c,
   IF(AND(ISNUMBER(_xlpm.r),ISNUMBER(_xlpm.p)),
      _xlpm.r-_xlpm.p,
      ""
   )
)
)</f>
        <v>276.27</v>
      </c>
      <c r="L367" s="4">
        <f>_xlfn.LET(
_xlpm.p,RawData!L367,
_xlpm.r,RawData!J367,
_xlpm.c,RawData!K367,
IF(ISNUMBER(_xlpm.p),_xlpm.p,
IF(AND(ISNUMBER(_xlpm.r),ISNUMBER(_xlpm.c)),
_xlpm.r-_xlpm.c,
""
)
))</f>
        <v>82.55</v>
      </c>
    </row>
    <row r="368" spans="1:12" x14ac:dyDescent="0.35">
      <c r="A368" t="s">
        <v>407</v>
      </c>
      <c r="B368" s="7">
        <v>45945</v>
      </c>
      <c r="C368" t="str">
        <f>IF(RawData!C368="","Unknown",PROPER(TRIM(CLEAN(SUBSTITUTE(RawData!C368,CHAR(160)," ")))))</f>
        <v>North</v>
      </c>
      <c r="D368" t="str">
        <f>IF(RawData!D368="","Unknown",PROPER(TRIM(CLEAN(SUBSTITUTE(RawData!D368,CHAR(160)," ")))))</f>
        <v>Delhi</v>
      </c>
      <c r="E368" t="str">
        <f>IF(RawData!E368="","Unknown",PROPER(TRIM(CLEAN(SUBSTITUTE(RawData!E368,CHAR(160)," ")))))</f>
        <v>Desk</v>
      </c>
      <c r="F368" t="str">
        <f>IF(RawData!F368="","Unknown",PROPER(TRIM(CLEAN(SUBSTITUTE(RawData!F368,CHAR(160)," ")))))</f>
        <v>Furniture</v>
      </c>
      <c r="G368">
        <f>_xlfn.LET(
_xlpm.q,RawData!G368,
_xlpm.u,RawData!H368,
_xlpm.d,RawData!I368,
_xlpm.r,RawData!J368,
IF(AND(ISNUMBER(_xlpm.q),_xlpm.q&gt;0),_xlpm.q,
   IF(AND(ISNUMBER(_xlpm.r),ISNUMBER(_xlpm.u),_xlpm.u&gt;0,ISNUMBER(_xlpm.d),_xlpm.d&gt;=0,_xlpm.d&lt;1),
      ROUND(_xlpm.r/(_xlpm.u*(1-_xlpm.d)),0),
      ""
   )
)
)</f>
        <v>4</v>
      </c>
      <c r="H368" s="4">
        <f>_xlfn.LET(
_xlpm.q,RawData!G368,
_xlpm.u,RawData!H368,
_xlpm.d,RawData!I368,
_xlpm.r,RawData!J368,
IF(AND(ISNUMBER(_xlpm.u),_xlpm.u&gt;0),_xlpm.u,
   IF(AND(ISNUMBER(_xlpm.q),_xlpm.q&gt;0,ISNUMBER(_xlpm.r),ISNUMBER(_xlpm.d),_xlpm.d&gt;=0,_xlpm.d&lt;1),
      _xlpm.r/(_xlpm.q*(1-_xlpm.d)),
      ""
   )
)
)</f>
        <v>262.39</v>
      </c>
      <c r="I368" s="5">
        <f>_xlfn.LET(
_xlpm.q,RawData!G368,
_xlpm.u,RawData!H368,
_xlpm.d,RawData!I368,
_xlpm.r,RawData!J368,
IF(AND(ISNUMBER(_xlpm.d),_xlpm.d&gt;=0,_xlpm.d&lt;1),_xlpm.d,
   IF(AND(ISNUMBER(_xlpm.q),_xlpm.q&gt;0,ISNUMBER(_xlpm.u),_xlpm.u&gt;0,ISNUMBER(_xlpm.r),_xlpm.r&gt;=0),
      1-(_xlpm.r/(_xlpm.q*_xlpm.u)),
      ""
   )
)
)</f>
        <v>0.1</v>
      </c>
      <c r="J368" s="4">
        <f>_xlfn.LET(
_xlpm.q,RawData!G368,
_xlpm.u,RawData!H368,
_xlpm.d,RawData!I368,
_xlpm.r,RawData!J368,
IF(AND(ISNUMBER(_xlpm.r),_xlpm.r&gt;=0),_xlpm.r,
   IF(AND(ISNUMBER(_xlpm.q),_xlpm.q&gt;0,ISNUMBER(_xlpm.u),_xlpm.u&gt;0,ISNUMBER(_xlpm.d),_xlpm.d&gt;=0,_xlpm.d&lt;1),
      _xlpm.q*_xlpm.u*(1-_xlpm.d),
      ""
   )
)
)</f>
        <v>944.6</v>
      </c>
      <c r="K368" s="4">
        <f>_xlfn.LET(
_xlpm.c,RawData!K368,
_xlpm.r,RawData!J368,
_xlpm.p,RawData!L368,
IF(AND(ISNUMBER(_xlpm.c),_xlpm.c&gt;=0),_xlpm.c,
   IF(AND(ISNUMBER(_xlpm.r),ISNUMBER(_xlpm.p)),
      _xlpm.r-_xlpm.p,
      ""
   )
)
)</f>
        <v>652.92999999999995</v>
      </c>
      <c r="L368" s="4">
        <f>_xlfn.LET(
_xlpm.p,RawData!L368,
_xlpm.r,RawData!J368,
_xlpm.c,RawData!K368,
IF(ISNUMBER(_xlpm.p),_xlpm.p,
IF(AND(ISNUMBER(_xlpm.r),ISNUMBER(_xlpm.c)),
_xlpm.r-_xlpm.c,
""
)
))</f>
        <v>291.67</v>
      </c>
    </row>
    <row r="369" spans="1:12" x14ac:dyDescent="0.35">
      <c r="A369" t="s">
        <v>408</v>
      </c>
      <c r="B369" s="7">
        <v>45794</v>
      </c>
      <c r="C369" t="str">
        <f>IF(RawData!C369="","Unknown",PROPER(TRIM(CLEAN(SUBSTITUTE(RawData!C369,CHAR(160)," ")))))</f>
        <v>West</v>
      </c>
      <c r="D369" t="str">
        <f>IF(RawData!D369="","Unknown",PROPER(TRIM(CLEAN(SUBSTITUTE(RawData!D369,CHAR(160)," ")))))</f>
        <v>Mumbai</v>
      </c>
      <c r="E369" t="str">
        <f>IF(RawData!E369="","Unknown",PROPER(TRIM(CLEAN(SUBSTITUTE(RawData!E369,CHAR(160)," ")))))</f>
        <v>Monitor</v>
      </c>
      <c r="F369" t="str">
        <f>IF(RawData!F369="","Unknown",PROPER(TRIM(CLEAN(SUBSTITUTE(RawData!F369,CHAR(160)," ")))))</f>
        <v>Electronics</v>
      </c>
      <c r="G369">
        <f>_xlfn.LET(
_xlpm.q,RawData!G369,
_xlpm.u,RawData!H369,
_xlpm.d,RawData!I369,
_xlpm.r,RawData!J369,
IF(AND(ISNUMBER(_xlpm.q),_xlpm.q&gt;0),_xlpm.q,
   IF(AND(ISNUMBER(_xlpm.r),ISNUMBER(_xlpm.u),_xlpm.u&gt;0,ISNUMBER(_xlpm.d),_xlpm.d&gt;=0,_xlpm.d&lt;1),
      ROUND(_xlpm.r/(_xlpm.u*(1-_xlpm.d)),0),
      ""
   )
)
)</f>
        <v>3</v>
      </c>
      <c r="H369" s="4">
        <f>_xlfn.LET(
_xlpm.q,RawData!G369,
_xlpm.u,RawData!H369,
_xlpm.d,RawData!I369,
_xlpm.r,RawData!J369,
IF(AND(ISNUMBER(_xlpm.u),_xlpm.u&gt;0),_xlpm.u,
   IF(AND(ISNUMBER(_xlpm.q),_xlpm.q&gt;0,ISNUMBER(_xlpm.r),ISNUMBER(_xlpm.d),_xlpm.d&gt;=0,_xlpm.d&lt;1),
      _xlpm.r/(_xlpm.q*(1-_xlpm.d)),
      ""
   )
)
)</f>
        <v>210.68</v>
      </c>
      <c r="I369" s="5">
        <f>_xlfn.LET(
_xlpm.q,RawData!G369,
_xlpm.u,RawData!H369,
_xlpm.d,RawData!I369,
_xlpm.r,RawData!J369,
IF(AND(ISNUMBER(_xlpm.d),_xlpm.d&gt;=0,_xlpm.d&lt;1),_xlpm.d,
   IF(AND(ISNUMBER(_xlpm.q),_xlpm.q&gt;0,ISNUMBER(_xlpm.u),_xlpm.u&gt;0,ISNUMBER(_xlpm.r),_xlpm.r&gt;=0),
      1-(_xlpm.r/(_xlpm.q*_xlpm.u)),
      ""
   )
)
)</f>
        <v>0</v>
      </c>
      <c r="J369" s="4">
        <f>_xlfn.LET(
_xlpm.q,RawData!G369,
_xlpm.u,RawData!H369,
_xlpm.d,RawData!I369,
_xlpm.r,RawData!J369,
IF(AND(ISNUMBER(_xlpm.r),_xlpm.r&gt;=0),_xlpm.r,
   IF(AND(ISNUMBER(_xlpm.q),_xlpm.q&gt;0,ISNUMBER(_xlpm.u),_xlpm.u&gt;0,ISNUMBER(_xlpm.d),_xlpm.d&gt;=0,_xlpm.d&lt;1),
      _xlpm.q*_xlpm.u*(1-_xlpm.d),
      ""
   )
)
)</f>
        <v>632.04</v>
      </c>
      <c r="K369" s="4">
        <f>_xlfn.LET(
_xlpm.c,RawData!K369,
_xlpm.r,RawData!J369,
_xlpm.p,RawData!L369,
IF(AND(ISNUMBER(_xlpm.c),_xlpm.c&gt;=0),_xlpm.c,
   IF(AND(ISNUMBER(_xlpm.r),ISNUMBER(_xlpm.p)),
      _xlpm.r-_xlpm.p,
      ""
   )
)
)</f>
        <v>497.32</v>
      </c>
      <c r="L369" s="4">
        <f>_xlfn.LET(
_xlpm.p,RawData!L369,
_xlpm.r,RawData!J369,
_xlpm.c,RawData!K369,
IF(ISNUMBER(_xlpm.p),_xlpm.p,
IF(AND(ISNUMBER(_xlpm.r),ISNUMBER(_xlpm.c)),
_xlpm.r-_xlpm.c,
""
)
))</f>
        <v>134.72</v>
      </c>
    </row>
    <row r="370" spans="1:12" x14ac:dyDescent="0.35">
      <c r="A370" t="s">
        <v>409</v>
      </c>
      <c r="B370" s="7">
        <v>45806</v>
      </c>
      <c r="C370" t="str">
        <f>IF(RawData!C370="","Unknown",PROPER(TRIM(CLEAN(SUBSTITUTE(RawData!C370,CHAR(160)," ")))))</f>
        <v>West</v>
      </c>
      <c r="D370" t="str">
        <f>IF(RawData!D370="","Unknown",PROPER(TRIM(CLEAN(SUBSTITUTE(RawData!D370,CHAR(160)," ")))))</f>
        <v>Mumbai</v>
      </c>
      <c r="E370" t="str">
        <f>IF(RawData!E370="","Unknown",PROPER(TRIM(CLEAN(SUBSTITUTE(RawData!E370,CHAR(160)," ")))))</f>
        <v>Pen Set</v>
      </c>
      <c r="F370" t="str">
        <f>IF(RawData!F370="","Unknown",PROPER(TRIM(CLEAN(SUBSTITUTE(RawData!F370,CHAR(160)," ")))))</f>
        <v>Office Supplies</v>
      </c>
      <c r="G370">
        <f>_xlfn.LET(
_xlpm.q,RawData!G370,
_xlpm.u,RawData!H370,
_xlpm.d,RawData!I370,
_xlpm.r,RawData!J370,
IF(AND(ISNUMBER(_xlpm.q),_xlpm.q&gt;0),_xlpm.q,
   IF(AND(ISNUMBER(_xlpm.r),ISNUMBER(_xlpm.u),_xlpm.u&gt;0,ISNUMBER(_xlpm.d),_xlpm.d&gt;=0,_xlpm.d&lt;1),
      ROUND(_xlpm.r/(_xlpm.u*(1-_xlpm.d)),0),
      ""
   )
)
)</f>
        <v>7</v>
      </c>
      <c r="H370" s="4">
        <f>_xlfn.LET(
_xlpm.q,RawData!G370,
_xlpm.u,RawData!H370,
_xlpm.d,RawData!I370,
_xlpm.r,RawData!J370,
IF(AND(ISNUMBER(_xlpm.u),_xlpm.u&gt;0),_xlpm.u,
   IF(AND(ISNUMBER(_xlpm.q),_xlpm.q&gt;0,ISNUMBER(_xlpm.r),ISNUMBER(_xlpm.d),_xlpm.d&gt;=0,_xlpm.d&lt;1),
      _xlpm.r/(_xlpm.q*(1-_xlpm.d)),
      ""
   )
)
)</f>
        <v>11.61</v>
      </c>
      <c r="I370" s="5">
        <f>_xlfn.LET(
_xlpm.q,RawData!G370,
_xlpm.u,RawData!H370,
_xlpm.d,RawData!I370,
_xlpm.r,RawData!J370,
IF(AND(ISNUMBER(_xlpm.d),_xlpm.d&gt;=0,_xlpm.d&lt;1),_xlpm.d,
   IF(AND(ISNUMBER(_xlpm.q),_xlpm.q&gt;0,ISNUMBER(_xlpm.u),_xlpm.u&gt;0,ISNUMBER(_xlpm.r),_xlpm.r&gt;=0),
      1-(_xlpm.r/(_xlpm.q*_xlpm.u)),
      ""
   )
)
)</f>
        <v>0.02</v>
      </c>
      <c r="J370" s="4">
        <f>_xlfn.LET(
_xlpm.q,RawData!G370,
_xlpm.u,RawData!H370,
_xlpm.d,RawData!I370,
_xlpm.r,RawData!J370,
IF(AND(ISNUMBER(_xlpm.r),_xlpm.r&gt;=0),_xlpm.r,
   IF(AND(ISNUMBER(_xlpm.q),_xlpm.q&gt;0,ISNUMBER(_xlpm.u),_xlpm.u&gt;0,ISNUMBER(_xlpm.d),_xlpm.d&gt;=0,_xlpm.d&lt;1),
      _xlpm.q*_xlpm.u*(1-_xlpm.d),
      ""
   )
)
)</f>
        <v>79.64</v>
      </c>
      <c r="K370" s="4">
        <f>_xlfn.LET(
_xlpm.c,RawData!K370,
_xlpm.r,RawData!J370,
_xlpm.p,RawData!L370,
IF(AND(ISNUMBER(_xlpm.c),_xlpm.c&gt;=0),_xlpm.c,
   IF(AND(ISNUMBER(_xlpm.r),ISNUMBER(_xlpm.p)),
      _xlpm.r-_xlpm.p,
      ""
   )
)
)</f>
        <v>61.36</v>
      </c>
      <c r="L370" s="4">
        <f>_xlfn.LET(
_xlpm.p,RawData!L370,
_xlpm.r,RawData!J370,
_xlpm.c,RawData!K370,
IF(ISNUMBER(_xlpm.p),_xlpm.p,
IF(AND(ISNUMBER(_xlpm.r),ISNUMBER(_xlpm.c)),
_xlpm.r-_xlpm.c,
""
)
))</f>
        <v>18.28</v>
      </c>
    </row>
    <row r="371" spans="1:12" x14ac:dyDescent="0.35">
      <c r="A371" t="s">
        <v>410</v>
      </c>
      <c r="B371" s="7">
        <v>45825</v>
      </c>
      <c r="C371" t="str">
        <f>IF(RawData!C371="","Unknown",PROPER(TRIM(CLEAN(SUBSTITUTE(RawData!C371,CHAR(160)," ")))))</f>
        <v>East</v>
      </c>
      <c r="D371" t="str">
        <f>IF(RawData!D371="","Unknown",PROPER(TRIM(CLEAN(SUBSTITUTE(RawData!D371,CHAR(160)," ")))))</f>
        <v>Patna</v>
      </c>
      <c r="E371" t="str">
        <f>IF(RawData!E371="","Unknown",PROPER(TRIM(CLEAN(SUBSTITUTE(RawData!E371,CHAR(160)," ")))))</f>
        <v>Monitor</v>
      </c>
      <c r="F371" t="str">
        <f>IF(RawData!F371="","Unknown",PROPER(TRIM(CLEAN(SUBSTITUTE(RawData!F371,CHAR(160)," ")))))</f>
        <v>Electronics</v>
      </c>
      <c r="G371">
        <f>_xlfn.LET(
_xlpm.q,RawData!G371,
_xlpm.u,RawData!H371,
_xlpm.d,RawData!I371,
_xlpm.r,RawData!J371,
IF(AND(ISNUMBER(_xlpm.q),_xlpm.q&gt;0),_xlpm.q,
   IF(AND(ISNUMBER(_xlpm.r),ISNUMBER(_xlpm.u),_xlpm.u&gt;0,ISNUMBER(_xlpm.d),_xlpm.d&gt;=0,_xlpm.d&lt;1),
      ROUND(_xlpm.r/(_xlpm.u*(1-_xlpm.d)),0),
      ""
   )
)
)</f>
        <v>3</v>
      </c>
      <c r="H371" s="4">
        <f>_xlfn.LET(
_xlpm.q,RawData!G371,
_xlpm.u,RawData!H371,
_xlpm.d,RawData!I371,
_xlpm.r,RawData!J371,
IF(AND(ISNUMBER(_xlpm.u),_xlpm.u&gt;0),_xlpm.u,
   IF(AND(ISNUMBER(_xlpm.q),_xlpm.q&gt;0,ISNUMBER(_xlpm.r),ISNUMBER(_xlpm.d),_xlpm.d&gt;=0,_xlpm.d&lt;1),
      _xlpm.r/(_xlpm.q*(1-_xlpm.d)),
      ""
   )
)
)</f>
        <v>215.98</v>
      </c>
      <c r="I371" s="5">
        <f>_xlfn.LET(
_xlpm.q,RawData!G371,
_xlpm.u,RawData!H371,
_xlpm.d,RawData!I371,
_xlpm.r,RawData!J371,
IF(AND(ISNUMBER(_xlpm.d),_xlpm.d&gt;=0,_xlpm.d&lt;1),_xlpm.d,
   IF(AND(ISNUMBER(_xlpm.q),_xlpm.q&gt;0,ISNUMBER(_xlpm.u),_xlpm.u&gt;0,ISNUMBER(_xlpm.r),_xlpm.r&gt;=0),
      1-(_xlpm.r/(_xlpm.q*_xlpm.u)),
      ""
   )
)
)</f>
        <v>0.1</v>
      </c>
      <c r="J371" s="4">
        <f>_xlfn.LET(
_xlpm.q,RawData!G371,
_xlpm.u,RawData!H371,
_xlpm.d,RawData!I371,
_xlpm.r,RawData!J371,
IF(AND(ISNUMBER(_xlpm.r),_xlpm.r&gt;=0),_xlpm.r,
   IF(AND(ISNUMBER(_xlpm.q),_xlpm.q&gt;0,ISNUMBER(_xlpm.u),_xlpm.u&gt;0,ISNUMBER(_xlpm.d),_xlpm.d&gt;=0,_xlpm.d&lt;1),
      _xlpm.q*_xlpm.u*(1-_xlpm.d),
      ""
   )
)
)</f>
        <v>583.15</v>
      </c>
      <c r="K371" s="4">
        <f>_xlfn.LET(
_xlpm.c,RawData!K371,
_xlpm.r,RawData!J371,
_xlpm.p,RawData!L371,
IF(AND(ISNUMBER(_xlpm.c),_xlpm.c&gt;=0),_xlpm.c,
   IF(AND(ISNUMBER(_xlpm.r),ISNUMBER(_xlpm.p)),
      _xlpm.r-_xlpm.p,
      ""
   )
)
)</f>
        <v>380.08</v>
      </c>
      <c r="L371" s="4">
        <f>_xlfn.LET(
_xlpm.p,RawData!L371,
_xlpm.r,RawData!J371,
_xlpm.c,RawData!K371,
IF(ISNUMBER(_xlpm.p),_xlpm.p,
IF(AND(ISNUMBER(_xlpm.r),ISNUMBER(_xlpm.c)),
_xlpm.r-_xlpm.c,
""
)
))</f>
        <v>203.07</v>
      </c>
    </row>
    <row r="372" spans="1:12" x14ac:dyDescent="0.35">
      <c r="A372" t="s">
        <v>411</v>
      </c>
      <c r="B372" s="7">
        <v>45897</v>
      </c>
      <c r="C372" t="str">
        <f>IF(RawData!C372="","Unknown",PROPER(TRIM(CLEAN(SUBSTITUTE(RawData!C372,CHAR(160)," ")))))</f>
        <v>West</v>
      </c>
      <c r="D372" t="str">
        <f>IF(RawData!D372="","Unknown",PROPER(TRIM(CLEAN(SUBSTITUTE(RawData!D372,CHAR(160)," ")))))</f>
        <v>Mumbai</v>
      </c>
      <c r="E372" t="str">
        <f>IF(RawData!E372="","Unknown",PROPER(TRIM(CLEAN(SUBSTITUTE(RawData!E372,CHAR(160)," ")))))</f>
        <v>Office Chair</v>
      </c>
      <c r="F372" t="str">
        <f>IF(RawData!F372="","Unknown",PROPER(TRIM(CLEAN(SUBSTITUTE(RawData!F372,CHAR(160)," ")))))</f>
        <v>Furniture</v>
      </c>
      <c r="G372">
        <f>_xlfn.LET(
_xlpm.q,RawData!G372,
_xlpm.u,RawData!H372,
_xlpm.d,RawData!I372,
_xlpm.r,RawData!J372,
IF(AND(ISNUMBER(_xlpm.q),_xlpm.q&gt;0),_xlpm.q,
   IF(AND(ISNUMBER(_xlpm.r),ISNUMBER(_xlpm.u),_xlpm.u&gt;0,ISNUMBER(_xlpm.d),_xlpm.d&gt;=0,_xlpm.d&lt;1),
      ROUND(_xlpm.r/(_xlpm.u*(1-_xlpm.d)),0),
      ""
   )
)
)</f>
        <v>8</v>
      </c>
      <c r="H372" s="4">
        <f>_xlfn.LET(
_xlpm.q,RawData!G372,
_xlpm.u,RawData!H372,
_xlpm.d,RawData!I372,
_xlpm.r,RawData!J372,
IF(AND(ISNUMBER(_xlpm.u),_xlpm.u&gt;0),_xlpm.u,
   IF(AND(ISNUMBER(_xlpm.q),_xlpm.q&gt;0,ISNUMBER(_xlpm.r),ISNUMBER(_xlpm.d),_xlpm.d&gt;=0,_xlpm.d&lt;1),
      _xlpm.r/(_xlpm.q*(1-_xlpm.d)),
      ""
   )
)
)</f>
        <v>177.98</v>
      </c>
      <c r="I372" s="5">
        <f>_xlfn.LET(
_xlpm.q,RawData!G372,
_xlpm.u,RawData!H372,
_xlpm.d,RawData!I372,
_xlpm.r,RawData!J372,
IF(AND(ISNUMBER(_xlpm.d),_xlpm.d&gt;=0,_xlpm.d&lt;1),_xlpm.d,
   IF(AND(ISNUMBER(_xlpm.q),_xlpm.q&gt;0,ISNUMBER(_xlpm.u),_xlpm.u&gt;0,ISNUMBER(_xlpm.r),_xlpm.r&gt;=0),
      1-(_xlpm.r/(_xlpm.q*_xlpm.u)),
      ""
   )
)
)</f>
        <v>0</v>
      </c>
      <c r="J372" s="4">
        <f>_xlfn.LET(
_xlpm.q,RawData!G372,
_xlpm.u,RawData!H372,
_xlpm.d,RawData!I372,
_xlpm.r,RawData!J372,
IF(AND(ISNUMBER(_xlpm.r),_xlpm.r&gt;=0),_xlpm.r,
   IF(AND(ISNUMBER(_xlpm.q),_xlpm.q&gt;0,ISNUMBER(_xlpm.u),_xlpm.u&gt;0,ISNUMBER(_xlpm.d),_xlpm.d&gt;=0,_xlpm.d&lt;1),
      _xlpm.q*_xlpm.u*(1-_xlpm.d),
      ""
   )
)
)</f>
        <v>1423.84</v>
      </c>
      <c r="K372" s="4">
        <f>_xlfn.LET(
_xlpm.c,RawData!K372,
_xlpm.r,RawData!J372,
_xlpm.p,RawData!L372,
IF(AND(ISNUMBER(_xlpm.c),_xlpm.c&gt;=0),_xlpm.c,
   IF(AND(ISNUMBER(_xlpm.r),ISNUMBER(_xlpm.p)),
      _xlpm.r-_xlpm.p,
      ""
   )
)
)</f>
        <v>898.97</v>
      </c>
      <c r="L372" s="4">
        <f>_xlfn.LET(
_xlpm.p,RawData!L372,
_xlpm.r,RawData!J372,
_xlpm.c,RawData!K372,
IF(ISNUMBER(_xlpm.p),_xlpm.p,
IF(AND(ISNUMBER(_xlpm.r),ISNUMBER(_xlpm.c)),
_xlpm.r-_xlpm.c,
""
)
))</f>
        <v>524.87</v>
      </c>
    </row>
    <row r="373" spans="1:12" x14ac:dyDescent="0.35">
      <c r="A373" t="s">
        <v>412</v>
      </c>
      <c r="B373" s="7">
        <v>45859</v>
      </c>
      <c r="C373" t="str">
        <f>IF(RawData!C373="","Unknown",PROPER(TRIM(CLEAN(SUBSTITUTE(RawData!C373,CHAR(160)," ")))))</f>
        <v>West</v>
      </c>
      <c r="D373" t="str">
        <f>IF(RawData!D373="","Unknown",PROPER(TRIM(CLEAN(SUBSTITUTE(RawData!D373,CHAR(160)," ")))))</f>
        <v>Pune</v>
      </c>
      <c r="E373" t="str">
        <f>IF(RawData!E373="","Unknown",PROPER(TRIM(CLEAN(SUBSTITUTE(RawData!E373,CHAR(160)," ")))))</f>
        <v>Monitor</v>
      </c>
      <c r="F373" t="str">
        <f>IF(RawData!F373="","Unknown",PROPER(TRIM(CLEAN(SUBSTITUTE(RawData!F373,CHAR(160)," ")))))</f>
        <v>Electronics</v>
      </c>
      <c r="G373">
        <f>_xlfn.LET(
_xlpm.q,RawData!G373,
_xlpm.u,RawData!H373,
_xlpm.d,RawData!I373,
_xlpm.r,RawData!J373,
IF(AND(ISNUMBER(_xlpm.q),_xlpm.q&gt;0),_xlpm.q,
   IF(AND(ISNUMBER(_xlpm.r),ISNUMBER(_xlpm.u),_xlpm.u&gt;0,ISNUMBER(_xlpm.d),_xlpm.d&gt;=0,_xlpm.d&lt;1),
      ROUND(_xlpm.r/(_xlpm.u*(1-_xlpm.d)),0),
      ""
   )
)
)</f>
        <v>4</v>
      </c>
      <c r="H373" s="4">
        <f>_xlfn.LET(
_xlpm.q,RawData!G373,
_xlpm.u,RawData!H373,
_xlpm.d,RawData!I373,
_xlpm.r,RawData!J373,
IF(AND(ISNUMBER(_xlpm.u),_xlpm.u&gt;0),_xlpm.u,
   IF(AND(ISNUMBER(_xlpm.q),_xlpm.q&gt;0,ISNUMBER(_xlpm.r),ISNUMBER(_xlpm.d),_xlpm.d&gt;=0,_xlpm.d&lt;1),
      _xlpm.r/(_xlpm.q*(1-_xlpm.d)),
      ""
   )
)
)</f>
        <v>236.34</v>
      </c>
      <c r="I373" s="5">
        <f>_xlfn.LET(
_xlpm.q,RawData!G373,
_xlpm.u,RawData!H373,
_xlpm.d,RawData!I373,
_xlpm.r,RawData!J373,
IF(AND(ISNUMBER(_xlpm.d),_xlpm.d&gt;=0,_xlpm.d&lt;1),_xlpm.d,
   IF(AND(ISNUMBER(_xlpm.q),_xlpm.q&gt;0,ISNUMBER(_xlpm.u),_xlpm.u&gt;0,ISNUMBER(_xlpm.r),_xlpm.r&gt;=0),
      1-(_xlpm.r/(_xlpm.q*_xlpm.u)),
      ""
   )
)
)</f>
        <v>0.15</v>
      </c>
      <c r="J373" s="4">
        <f>_xlfn.LET(
_xlpm.q,RawData!G373,
_xlpm.u,RawData!H373,
_xlpm.d,RawData!I373,
_xlpm.r,RawData!J373,
IF(AND(ISNUMBER(_xlpm.r),_xlpm.r&gt;=0),_xlpm.r,
   IF(AND(ISNUMBER(_xlpm.q),_xlpm.q&gt;0,ISNUMBER(_xlpm.u),_xlpm.u&gt;0,ISNUMBER(_xlpm.d),_xlpm.d&gt;=0,_xlpm.d&lt;1),
      _xlpm.q*_xlpm.u*(1-_xlpm.d),
      ""
   )
)
)</f>
        <v>803.56</v>
      </c>
      <c r="K373" s="4">
        <f>_xlfn.LET(
_xlpm.c,RawData!K373,
_xlpm.r,RawData!J373,
_xlpm.p,RawData!L373,
IF(AND(ISNUMBER(_xlpm.c),_xlpm.c&gt;=0),_xlpm.c,
   IF(AND(ISNUMBER(_xlpm.r),ISNUMBER(_xlpm.p)),
      _xlpm.r-_xlpm.p,
      ""
   )
)
)</f>
        <v>551.03</v>
      </c>
      <c r="L373" s="4">
        <f>_xlfn.LET(
_xlpm.p,RawData!L373,
_xlpm.r,RawData!J373,
_xlpm.c,RawData!K373,
IF(ISNUMBER(_xlpm.p),_xlpm.p,
IF(AND(ISNUMBER(_xlpm.r),ISNUMBER(_xlpm.c)),
_xlpm.r-_xlpm.c,
""
)
))</f>
        <v>252.53</v>
      </c>
    </row>
    <row r="374" spans="1:12" x14ac:dyDescent="0.35">
      <c r="A374" t="s">
        <v>413</v>
      </c>
      <c r="B374" s="7">
        <v>45682</v>
      </c>
      <c r="C374" t="str">
        <f>IF(RawData!C374="","Unknown",PROPER(TRIM(CLEAN(SUBSTITUTE(RawData!C374,CHAR(160)," ")))))</f>
        <v>North</v>
      </c>
      <c r="D374" t="str">
        <f>IF(RawData!D374="","Unknown",PROPER(TRIM(CLEAN(SUBSTITUTE(RawData!D374,CHAR(160)," ")))))</f>
        <v>Lucknow</v>
      </c>
      <c r="E374" t="str">
        <f>IF(RawData!E374="","Unknown",PROPER(TRIM(CLEAN(SUBSTITUTE(RawData!E374,CHAR(160)," ")))))</f>
        <v>Office Chair</v>
      </c>
      <c r="F374" t="str">
        <f>IF(RawData!F374="","Unknown",PROPER(TRIM(CLEAN(SUBSTITUTE(RawData!F374,CHAR(160)," ")))))</f>
        <v>Furniture</v>
      </c>
      <c r="G374">
        <f>_xlfn.LET(
_xlpm.q,RawData!G374,
_xlpm.u,RawData!H374,
_xlpm.d,RawData!I374,
_xlpm.r,RawData!J374,
IF(AND(ISNUMBER(_xlpm.q),_xlpm.q&gt;0),_xlpm.q,
   IF(AND(ISNUMBER(_xlpm.r),ISNUMBER(_xlpm.u),_xlpm.u&gt;0,ISNUMBER(_xlpm.d),_xlpm.d&gt;=0,_xlpm.d&lt;1),
      ROUND(_xlpm.r/(_xlpm.u*(1-_xlpm.d)),0),
      ""
   )
)
)</f>
        <v>8</v>
      </c>
      <c r="H374" s="4">
        <f>_xlfn.LET(
_xlpm.q,RawData!G374,
_xlpm.u,RawData!H374,
_xlpm.d,RawData!I374,
_xlpm.r,RawData!J374,
IF(AND(ISNUMBER(_xlpm.u),_xlpm.u&gt;0),_xlpm.u,
   IF(AND(ISNUMBER(_xlpm.q),_xlpm.q&gt;0,ISNUMBER(_xlpm.r),ISNUMBER(_xlpm.d),_xlpm.d&gt;=0,_xlpm.d&lt;1),
      _xlpm.r/(_xlpm.q*(1-_xlpm.d)),
      ""
   )
)
)</f>
        <v>165.54</v>
      </c>
      <c r="I374" s="5">
        <f>_xlfn.LET(
_xlpm.q,RawData!G374,
_xlpm.u,RawData!H374,
_xlpm.d,RawData!I374,
_xlpm.r,RawData!J374,
IF(AND(ISNUMBER(_xlpm.d),_xlpm.d&gt;=0,_xlpm.d&lt;1),_xlpm.d,
   IF(AND(ISNUMBER(_xlpm.q),_xlpm.q&gt;0,ISNUMBER(_xlpm.u),_xlpm.u&gt;0,ISNUMBER(_xlpm.r),_xlpm.r&gt;=0),
      1-(_xlpm.r/(_xlpm.q*_xlpm.u)),
      ""
   )
)
)</f>
        <v>0.15</v>
      </c>
      <c r="J374" s="4">
        <f>_xlfn.LET(
_xlpm.q,RawData!G374,
_xlpm.u,RawData!H374,
_xlpm.d,RawData!I374,
_xlpm.r,RawData!J374,
IF(AND(ISNUMBER(_xlpm.r),_xlpm.r&gt;=0),_xlpm.r,
   IF(AND(ISNUMBER(_xlpm.q),_xlpm.q&gt;0,ISNUMBER(_xlpm.u),_xlpm.u&gt;0,ISNUMBER(_xlpm.d),_xlpm.d&gt;=0,_xlpm.d&lt;1),
      _xlpm.q*_xlpm.u*(1-_xlpm.d),
      ""
   )
)
)</f>
        <v>1125.67</v>
      </c>
      <c r="K374" s="4">
        <f>_xlfn.LET(
_xlpm.c,RawData!K374,
_xlpm.r,RawData!J374,
_xlpm.p,RawData!L374,
IF(AND(ISNUMBER(_xlpm.c),_xlpm.c&gt;=0),_xlpm.c,
   IF(AND(ISNUMBER(_xlpm.r),ISNUMBER(_xlpm.p)),
      _xlpm.r-_xlpm.p,
      ""
   )
)
)</f>
        <v>892.53</v>
      </c>
      <c r="L374" s="4">
        <f>_xlfn.LET(
_xlpm.p,RawData!L374,
_xlpm.r,RawData!J374,
_xlpm.c,RawData!K374,
IF(ISNUMBER(_xlpm.p),_xlpm.p,
IF(AND(ISNUMBER(_xlpm.r),ISNUMBER(_xlpm.c)),
_xlpm.r-_xlpm.c,
""
)
))</f>
        <v>233.14</v>
      </c>
    </row>
    <row r="375" spans="1:12" x14ac:dyDescent="0.35">
      <c r="A375" t="s">
        <v>414</v>
      </c>
      <c r="B375" s="7">
        <v>46002</v>
      </c>
      <c r="C375" t="str">
        <f>IF(RawData!C375="","Unknown",PROPER(TRIM(CLEAN(SUBSTITUTE(RawData!C375,CHAR(160)," ")))))</f>
        <v>West</v>
      </c>
      <c r="D375" t="str">
        <f>IF(RawData!D375="","Unknown",PROPER(TRIM(CLEAN(SUBSTITUTE(RawData!D375,CHAR(160)," ")))))</f>
        <v>Mumbai</v>
      </c>
      <c r="E375" t="str">
        <f>IF(RawData!E375="","Unknown",PROPER(TRIM(CLEAN(SUBSTITUTE(RawData!E375,CHAR(160)," ")))))</f>
        <v>Office Chair</v>
      </c>
      <c r="F375" t="str">
        <f>IF(RawData!F375="","Unknown",PROPER(TRIM(CLEAN(SUBSTITUTE(RawData!F375,CHAR(160)," ")))))</f>
        <v>Furniture</v>
      </c>
      <c r="G375">
        <f>_xlfn.LET(
_xlpm.q,RawData!G375,
_xlpm.u,RawData!H375,
_xlpm.d,RawData!I375,
_xlpm.r,RawData!J375,
IF(AND(ISNUMBER(_xlpm.q),_xlpm.q&gt;0),_xlpm.q,
   IF(AND(ISNUMBER(_xlpm.r),ISNUMBER(_xlpm.u),_xlpm.u&gt;0,ISNUMBER(_xlpm.d),_xlpm.d&gt;=0,_xlpm.d&lt;1),
      ROUND(_xlpm.r/(_xlpm.u*(1-_xlpm.d)),0),
      ""
   )
)
)</f>
        <v>9</v>
      </c>
      <c r="H375" s="4">
        <f>_xlfn.LET(
_xlpm.q,RawData!G375,
_xlpm.u,RawData!H375,
_xlpm.d,RawData!I375,
_xlpm.r,RawData!J375,
IF(AND(ISNUMBER(_xlpm.u),_xlpm.u&gt;0),_xlpm.u,
   IF(AND(ISNUMBER(_xlpm.q),_xlpm.q&gt;0,ISNUMBER(_xlpm.r),ISNUMBER(_xlpm.d),_xlpm.d&gt;=0,_xlpm.d&lt;1),
      _xlpm.r/(_xlpm.q*(1-_xlpm.d)),
      ""
   )
)
)</f>
        <v>173.73</v>
      </c>
      <c r="I375" s="5">
        <f>_xlfn.LET(
_xlpm.q,RawData!G375,
_xlpm.u,RawData!H375,
_xlpm.d,RawData!I375,
_xlpm.r,RawData!J375,
IF(AND(ISNUMBER(_xlpm.d),_xlpm.d&gt;=0,_xlpm.d&lt;1),_xlpm.d,
   IF(AND(ISNUMBER(_xlpm.q),_xlpm.q&gt;0,ISNUMBER(_xlpm.u),_xlpm.u&gt;0,ISNUMBER(_xlpm.r),_xlpm.r&gt;=0),
      1-(_xlpm.r/(_xlpm.q*_xlpm.u)),
      ""
   )
)
)</f>
        <v>0</v>
      </c>
      <c r="J375" s="4">
        <f>_xlfn.LET(
_xlpm.q,RawData!G375,
_xlpm.u,RawData!H375,
_xlpm.d,RawData!I375,
_xlpm.r,RawData!J375,
IF(AND(ISNUMBER(_xlpm.r),_xlpm.r&gt;=0),_xlpm.r,
   IF(AND(ISNUMBER(_xlpm.q),_xlpm.q&gt;0,ISNUMBER(_xlpm.u),_xlpm.u&gt;0,ISNUMBER(_xlpm.d),_xlpm.d&gt;=0,_xlpm.d&lt;1),
      _xlpm.q*_xlpm.u*(1-_xlpm.d),
      ""
   )
)
)</f>
        <v>1563.57</v>
      </c>
      <c r="K375" s="4">
        <f>_xlfn.LET(
_xlpm.c,RawData!K375,
_xlpm.r,RawData!J375,
_xlpm.p,RawData!L375,
IF(AND(ISNUMBER(_xlpm.c),_xlpm.c&gt;=0),_xlpm.c,
   IF(AND(ISNUMBER(_xlpm.r),ISNUMBER(_xlpm.p)),
      _xlpm.r-_xlpm.p,
      ""
   )
)
)</f>
        <v>1089.43</v>
      </c>
      <c r="L375" s="4">
        <f>_xlfn.LET(
_xlpm.p,RawData!L375,
_xlpm.r,RawData!J375,
_xlpm.c,RawData!K375,
IF(ISNUMBER(_xlpm.p),_xlpm.p,
IF(AND(ISNUMBER(_xlpm.r),ISNUMBER(_xlpm.c)),
_xlpm.r-_xlpm.c,
""
)
))</f>
        <v>474.14</v>
      </c>
    </row>
    <row r="376" spans="1:12" x14ac:dyDescent="0.35">
      <c r="A376" t="s">
        <v>415</v>
      </c>
      <c r="B376" s="7">
        <v>45878</v>
      </c>
      <c r="C376" t="str">
        <f>IF(RawData!C376="","Unknown",PROPER(TRIM(CLEAN(SUBSTITUTE(RawData!C376,CHAR(160)," ")))))</f>
        <v>South</v>
      </c>
      <c r="D376" t="str">
        <f>IF(RawData!D376="","Unknown",PROPER(TRIM(CLEAN(SUBSTITUTE(RawData!D376,CHAR(160)," ")))))</f>
        <v>Chennai</v>
      </c>
      <c r="E376" t="str">
        <f>IF(RawData!E376="","Unknown",PROPER(TRIM(CLEAN(SUBSTITUTE(RawData!E376,CHAR(160)," ")))))</f>
        <v>Office Chair</v>
      </c>
      <c r="F376" t="str">
        <f>IF(RawData!F376="","Unknown",PROPER(TRIM(CLEAN(SUBSTITUTE(RawData!F376,CHAR(160)," ")))))</f>
        <v>Furniture</v>
      </c>
      <c r="G376">
        <f>_xlfn.LET(
_xlpm.q,RawData!G376,
_xlpm.u,RawData!H376,
_xlpm.d,RawData!I376,
_xlpm.r,RawData!J376,
IF(AND(ISNUMBER(_xlpm.q),_xlpm.q&gt;0),_xlpm.q,
   IF(AND(ISNUMBER(_xlpm.r),ISNUMBER(_xlpm.u),_xlpm.u&gt;0,ISNUMBER(_xlpm.d),_xlpm.d&gt;=0,_xlpm.d&lt;1),
      ROUND(_xlpm.r/(_xlpm.u*(1-_xlpm.d)),0),
      ""
   )
)
)</f>
        <v>6</v>
      </c>
      <c r="H376" s="4">
        <f>_xlfn.LET(
_xlpm.q,RawData!G376,
_xlpm.u,RawData!H376,
_xlpm.d,RawData!I376,
_xlpm.r,RawData!J376,
IF(AND(ISNUMBER(_xlpm.u),_xlpm.u&gt;0),_xlpm.u,
   IF(AND(ISNUMBER(_xlpm.q),_xlpm.q&gt;0,ISNUMBER(_xlpm.r),ISNUMBER(_xlpm.d),_xlpm.d&gt;=0,_xlpm.d&lt;1),
      _xlpm.r/(_xlpm.q*(1-_xlpm.d)),
      ""
   )
)
)</f>
        <v>201.95</v>
      </c>
      <c r="I376" s="5">
        <f>_xlfn.LET(
_xlpm.q,RawData!G376,
_xlpm.u,RawData!H376,
_xlpm.d,RawData!I376,
_xlpm.r,RawData!J376,
IF(AND(ISNUMBER(_xlpm.d),_xlpm.d&gt;=0,_xlpm.d&lt;1),_xlpm.d,
   IF(AND(ISNUMBER(_xlpm.q),_xlpm.q&gt;0,ISNUMBER(_xlpm.u),_xlpm.u&gt;0,ISNUMBER(_xlpm.r),_xlpm.r&gt;=0),
      1-(_xlpm.r/(_xlpm.q*_xlpm.u)),
      ""
   )
)
)</f>
        <v>0.1</v>
      </c>
      <c r="J376" s="4">
        <f>_xlfn.LET(
_xlpm.q,RawData!G376,
_xlpm.u,RawData!H376,
_xlpm.d,RawData!I376,
_xlpm.r,RawData!J376,
IF(AND(ISNUMBER(_xlpm.r),_xlpm.r&gt;=0),_xlpm.r,
   IF(AND(ISNUMBER(_xlpm.q),_xlpm.q&gt;0,ISNUMBER(_xlpm.u),_xlpm.u&gt;0,ISNUMBER(_xlpm.d),_xlpm.d&gt;=0,_xlpm.d&lt;1),
      _xlpm.q*_xlpm.u*(1-_xlpm.d),
      ""
   )
)
)</f>
        <v>1090.53</v>
      </c>
      <c r="K376" s="4">
        <f>_xlfn.LET(
_xlpm.c,RawData!K376,
_xlpm.r,RawData!J376,
_xlpm.p,RawData!L376,
IF(AND(ISNUMBER(_xlpm.c),_xlpm.c&gt;=0),_xlpm.c,
   IF(AND(ISNUMBER(_xlpm.r),ISNUMBER(_xlpm.p)),
      _xlpm.r-_xlpm.p,
      ""
   )
)
)</f>
        <v>783.59</v>
      </c>
      <c r="L376" s="4">
        <f>_xlfn.LET(
_xlpm.p,RawData!L376,
_xlpm.r,RawData!J376,
_xlpm.c,RawData!K376,
IF(ISNUMBER(_xlpm.p),_xlpm.p,
IF(AND(ISNUMBER(_xlpm.r),ISNUMBER(_xlpm.c)),
_xlpm.r-_xlpm.c,
""
)
))</f>
        <v>306.94</v>
      </c>
    </row>
    <row r="377" spans="1:12" x14ac:dyDescent="0.35">
      <c r="A377" t="s">
        <v>416</v>
      </c>
      <c r="B377" s="7">
        <v>45681</v>
      </c>
      <c r="C377" t="str">
        <f>IF(RawData!C377="","Unknown",PROPER(TRIM(CLEAN(SUBSTITUTE(RawData!C377,CHAR(160)," ")))))</f>
        <v>West</v>
      </c>
      <c r="D377" t="str">
        <f>IF(RawData!D377="","Unknown",PROPER(TRIM(CLEAN(SUBSTITUTE(RawData!D377,CHAR(160)," ")))))</f>
        <v>Mumbai</v>
      </c>
      <c r="E377" t="str">
        <f>IF(RawData!E377="","Unknown",PROPER(TRIM(CLEAN(SUBSTITUTE(RawData!E377,CHAR(160)," ")))))</f>
        <v>Laptop</v>
      </c>
      <c r="F377" t="str">
        <f>IF(RawData!F377="","Unknown",PROPER(TRIM(CLEAN(SUBSTITUTE(RawData!F377,CHAR(160)," ")))))</f>
        <v>Electronics</v>
      </c>
      <c r="G377">
        <f>_xlfn.LET(
_xlpm.q,RawData!G377,
_xlpm.u,RawData!H377,
_xlpm.d,RawData!I377,
_xlpm.r,RawData!J377,
IF(AND(ISNUMBER(_xlpm.q),_xlpm.q&gt;0),_xlpm.q,
   IF(AND(ISNUMBER(_xlpm.r),ISNUMBER(_xlpm.u),_xlpm.u&gt;0,ISNUMBER(_xlpm.d),_xlpm.d&gt;=0,_xlpm.d&lt;1),
      ROUND(_xlpm.r/(_xlpm.u*(1-_xlpm.d)),0),
      ""
   )
)
)</f>
        <v>10</v>
      </c>
      <c r="H377" s="4">
        <f>_xlfn.LET(
_xlpm.q,RawData!G377,
_xlpm.u,RawData!H377,
_xlpm.d,RawData!I377,
_xlpm.r,RawData!J377,
IF(AND(ISNUMBER(_xlpm.u),_xlpm.u&gt;0),_xlpm.u,
   IF(AND(ISNUMBER(_xlpm.q),_xlpm.q&gt;0,ISNUMBER(_xlpm.r),ISNUMBER(_xlpm.d),_xlpm.d&gt;=0,_xlpm.d&lt;1),
      _xlpm.r/(_xlpm.q*(1-_xlpm.d)),
      ""
   )
)
)</f>
        <v>752.31</v>
      </c>
      <c r="I377" s="5">
        <f>_xlfn.LET(
_xlpm.q,RawData!G377,
_xlpm.u,RawData!H377,
_xlpm.d,RawData!I377,
_xlpm.r,RawData!J377,
IF(AND(ISNUMBER(_xlpm.d),_xlpm.d&gt;=0,_xlpm.d&lt;1),_xlpm.d,
   IF(AND(ISNUMBER(_xlpm.q),_xlpm.q&gt;0,ISNUMBER(_xlpm.u),_xlpm.u&gt;0,ISNUMBER(_xlpm.r),_xlpm.r&gt;=0),
      1-(_xlpm.r/(_xlpm.q*_xlpm.u)),
      ""
   )
)
)</f>
        <v>0.15</v>
      </c>
      <c r="J377" s="4">
        <f>_xlfn.LET(
_xlpm.q,RawData!G377,
_xlpm.u,RawData!H377,
_xlpm.d,RawData!I377,
_xlpm.r,RawData!J377,
IF(AND(ISNUMBER(_xlpm.r),_xlpm.r&gt;=0),_xlpm.r,
   IF(AND(ISNUMBER(_xlpm.q),_xlpm.q&gt;0,ISNUMBER(_xlpm.u),_xlpm.u&gt;0,ISNUMBER(_xlpm.d),_xlpm.d&gt;=0,_xlpm.d&lt;1),
      _xlpm.q*_xlpm.u*(1-_xlpm.d),
      ""
   )
)
)</f>
        <v>6394.63</v>
      </c>
      <c r="K377" s="4">
        <f>_xlfn.LET(
_xlpm.c,RawData!K377,
_xlpm.r,RawData!J377,
_xlpm.p,RawData!L377,
IF(AND(ISNUMBER(_xlpm.c),_xlpm.c&gt;=0),_xlpm.c,
   IF(AND(ISNUMBER(_xlpm.r),ISNUMBER(_xlpm.p)),
      _xlpm.r-_xlpm.p,
      ""
   )
)
)</f>
        <v>5139.71</v>
      </c>
      <c r="L377" s="4">
        <f>_xlfn.LET(
_xlpm.p,RawData!L377,
_xlpm.r,RawData!J377,
_xlpm.c,RawData!K377,
IF(ISNUMBER(_xlpm.p),_xlpm.p,
IF(AND(ISNUMBER(_xlpm.r),ISNUMBER(_xlpm.c)),
_xlpm.r-_xlpm.c,
""
)
))</f>
        <v>1254.92</v>
      </c>
    </row>
    <row r="378" spans="1:12" x14ac:dyDescent="0.35">
      <c r="A378" t="s">
        <v>417</v>
      </c>
      <c r="B378" s="7">
        <v>45843</v>
      </c>
      <c r="C378" t="str">
        <f>IF(RawData!C378="","Unknown",PROPER(TRIM(CLEAN(SUBSTITUTE(RawData!C378,CHAR(160)," ")))))</f>
        <v>East</v>
      </c>
      <c r="D378" t="str">
        <f>IF(RawData!D378="","Unknown",PROPER(TRIM(CLEAN(SUBSTITUTE(RawData!D378,CHAR(160)," ")))))</f>
        <v>Bhubaneswar</v>
      </c>
      <c r="E378" t="str">
        <f>IF(RawData!E378="","Unknown",PROPER(TRIM(CLEAN(SUBSTITUTE(RawData!E378,CHAR(160)," ")))))</f>
        <v>Smartphone</v>
      </c>
      <c r="F378" t="str">
        <f>IF(RawData!F378="","Unknown",PROPER(TRIM(CLEAN(SUBSTITUTE(RawData!F378,CHAR(160)," ")))))</f>
        <v>Electronics</v>
      </c>
      <c r="G378">
        <f>_xlfn.LET(
_xlpm.q,RawData!G378,
_xlpm.u,RawData!H378,
_xlpm.d,RawData!I378,
_xlpm.r,RawData!J378,
IF(AND(ISNUMBER(_xlpm.q),_xlpm.q&gt;0),_xlpm.q,
   IF(AND(ISNUMBER(_xlpm.r),ISNUMBER(_xlpm.u),_xlpm.u&gt;0,ISNUMBER(_xlpm.d),_xlpm.d&gt;=0,_xlpm.d&lt;1),
      ROUND(_xlpm.r/(_xlpm.u*(1-_xlpm.d)),0),
      ""
   )
)
)</f>
        <v>7</v>
      </c>
      <c r="H378" s="4">
        <f>_xlfn.LET(
_xlpm.q,RawData!G378,
_xlpm.u,RawData!H378,
_xlpm.d,RawData!I378,
_xlpm.r,RawData!J378,
IF(AND(ISNUMBER(_xlpm.u),_xlpm.u&gt;0),_xlpm.u,
   IF(AND(ISNUMBER(_xlpm.q),_xlpm.q&gt;0,ISNUMBER(_xlpm.r),ISNUMBER(_xlpm.d),_xlpm.d&gt;=0,_xlpm.d&lt;1),
      _xlpm.r/(_xlpm.q*(1-_xlpm.d)),
      ""
   )
)
)</f>
        <v>571.07000000000005</v>
      </c>
      <c r="I378" s="5">
        <f>_xlfn.LET(
_xlpm.q,RawData!G378,
_xlpm.u,RawData!H378,
_xlpm.d,RawData!I378,
_xlpm.r,RawData!J378,
IF(AND(ISNUMBER(_xlpm.d),_xlpm.d&gt;=0,_xlpm.d&lt;1),_xlpm.d,
   IF(AND(ISNUMBER(_xlpm.q),_xlpm.q&gt;0,ISNUMBER(_xlpm.u),_xlpm.u&gt;0,ISNUMBER(_xlpm.r),_xlpm.r&gt;=0),
      1-(_xlpm.r/(_xlpm.q*_xlpm.u)),
      ""
   )
)
)</f>
        <v>0.15</v>
      </c>
      <c r="J378" s="4">
        <f>_xlfn.LET(
_xlpm.q,RawData!G378,
_xlpm.u,RawData!H378,
_xlpm.d,RawData!I378,
_xlpm.r,RawData!J378,
IF(AND(ISNUMBER(_xlpm.r),_xlpm.r&gt;=0),_xlpm.r,
   IF(AND(ISNUMBER(_xlpm.q),_xlpm.q&gt;0,ISNUMBER(_xlpm.u),_xlpm.u&gt;0,ISNUMBER(_xlpm.d),_xlpm.d&gt;=0,_xlpm.d&lt;1),
      _xlpm.q*_xlpm.u*(1-_xlpm.d),
      ""
   )
)
)</f>
        <v>3397.87</v>
      </c>
      <c r="K378" s="4">
        <f>_xlfn.LET(
_xlpm.c,RawData!K378,
_xlpm.r,RawData!J378,
_xlpm.p,RawData!L378,
IF(AND(ISNUMBER(_xlpm.c),_xlpm.c&gt;=0),_xlpm.c,
   IF(AND(ISNUMBER(_xlpm.r),ISNUMBER(_xlpm.p)),
      _xlpm.r-_xlpm.p,
      ""
   )
)
)</f>
        <v>2176.08</v>
      </c>
      <c r="L378" s="4">
        <f>_xlfn.LET(
_xlpm.p,RawData!L378,
_xlpm.r,RawData!J378,
_xlpm.c,RawData!K378,
IF(ISNUMBER(_xlpm.p),_xlpm.p,
IF(AND(ISNUMBER(_xlpm.r),ISNUMBER(_xlpm.c)),
_xlpm.r-_xlpm.c,
""
)
))</f>
        <v>1221.79</v>
      </c>
    </row>
    <row r="379" spans="1:12" x14ac:dyDescent="0.35">
      <c r="A379" t="s">
        <v>418</v>
      </c>
      <c r="B379" s="7">
        <v>45939</v>
      </c>
      <c r="C379" t="str">
        <f>IF(RawData!C379="","Unknown",PROPER(TRIM(CLEAN(SUBSTITUTE(RawData!C379,CHAR(160)," ")))))</f>
        <v>East</v>
      </c>
      <c r="D379" t="str">
        <f>IF(RawData!D379="","Unknown",PROPER(TRIM(CLEAN(SUBSTITUTE(RawData!D379,CHAR(160)," ")))))</f>
        <v>Kolkata</v>
      </c>
      <c r="E379" t="str">
        <f>IF(RawData!E379="","Unknown",PROPER(TRIM(CLEAN(SUBSTITUTE(RawData!E379,CHAR(160)," ")))))</f>
        <v>Pen Set</v>
      </c>
      <c r="F379" t="str">
        <f>IF(RawData!F379="","Unknown",PROPER(TRIM(CLEAN(SUBSTITUTE(RawData!F379,CHAR(160)," ")))))</f>
        <v>Office Supplies</v>
      </c>
      <c r="G379">
        <f>_xlfn.LET(
_xlpm.q,RawData!G379,
_xlpm.u,RawData!H379,
_xlpm.d,RawData!I379,
_xlpm.r,RawData!J379,
IF(AND(ISNUMBER(_xlpm.q),_xlpm.q&gt;0),_xlpm.q,
   IF(AND(ISNUMBER(_xlpm.r),ISNUMBER(_xlpm.u),_xlpm.u&gt;0,ISNUMBER(_xlpm.d),_xlpm.d&gt;=0,_xlpm.d&lt;1),
      ROUND(_xlpm.r/(_xlpm.u*(1-_xlpm.d)),0),
      ""
   )
)
)</f>
        <v>10</v>
      </c>
      <c r="H379" s="4">
        <f>_xlfn.LET(
_xlpm.q,RawData!G379,
_xlpm.u,RawData!H379,
_xlpm.d,RawData!I379,
_xlpm.r,RawData!J379,
IF(AND(ISNUMBER(_xlpm.u),_xlpm.u&gt;0),_xlpm.u,
   IF(AND(ISNUMBER(_xlpm.q),_xlpm.q&gt;0,ISNUMBER(_xlpm.r),ISNUMBER(_xlpm.d),_xlpm.d&gt;=0,_xlpm.d&lt;1),
      _xlpm.r/(_xlpm.q*(1-_xlpm.d)),
      ""
   )
)
)</f>
        <v>10.7</v>
      </c>
      <c r="I379" s="5">
        <f>_xlfn.LET(
_xlpm.q,RawData!G379,
_xlpm.u,RawData!H379,
_xlpm.d,RawData!I379,
_xlpm.r,RawData!J379,
IF(AND(ISNUMBER(_xlpm.d),_xlpm.d&gt;=0,_xlpm.d&lt;1),_xlpm.d,
   IF(AND(ISNUMBER(_xlpm.q),_xlpm.q&gt;0,ISNUMBER(_xlpm.u),_xlpm.u&gt;0,ISNUMBER(_xlpm.r),_xlpm.r&gt;=0),
      1-(_xlpm.r/(_xlpm.q*_xlpm.u)),
      ""
   )
)
)</f>
        <v>0</v>
      </c>
      <c r="J379" s="4">
        <f>_xlfn.LET(
_xlpm.q,RawData!G379,
_xlpm.u,RawData!H379,
_xlpm.d,RawData!I379,
_xlpm.r,RawData!J379,
IF(AND(ISNUMBER(_xlpm.r),_xlpm.r&gt;=0),_xlpm.r,
   IF(AND(ISNUMBER(_xlpm.q),_xlpm.q&gt;0,ISNUMBER(_xlpm.u),_xlpm.u&gt;0,ISNUMBER(_xlpm.d),_xlpm.d&gt;=0,_xlpm.d&lt;1),
      _xlpm.q*_xlpm.u*(1-_xlpm.d),
      ""
   )
)
)</f>
        <v>107</v>
      </c>
      <c r="K379" s="4">
        <f>_xlfn.LET(
_xlpm.c,RawData!K379,
_xlpm.r,RawData!J379,
_xlpm.p,RawData!L379,
IF(AND(ISNUMBER(_xlpm.c),_xlpm.c&gt;=0),_xlpm.c,
   IF(AND(ISNUMBER(_xlpm.r),ISNUMBER(_xlpm.p)),
      _xlpm.r-_xlpm.p,
      ""
   )
)
)</f>
        <v>81.790000000000006</v>
      </c>
      <c r="L379" s="4">
        <f>_xlfn.LET(
_xlpm.p,RawData!L379,
_xlpm.r,RawData!J379,
_xlpm.c,RawData!K379,
IF(ISNUMBER(_xlpm.p),_xlpm.p,
IF(AND(ISNUMBER(_xlpm.r),ISNUMBER(_xlpm.c)),
_xlpm.r-_xlpm.c,
""
)
))</f>
        <v>25.21</v>
      </c>
    </row>
    <row r="380" spans="1:12" x14ac:dyDescent="0.35">
      <c r="A380" t="s">
        <v>419</v>
      </c>
      <c r="B380" s="7">
        <v>45707</v>
      </c>
      <c r="C380" t="str">
        <f>IF(RawData!C380="","Unknown",PROPER(TRIM(CLEAN(SUBSTITUTE(RawData!C380,CHAR(160)," ")))))</f>
        <v>West</v>
      </c>
      <c r="D380" t="str">
        <f>IF(RawData!D380="","Unknown",PROPER(TRIM(CLEAN(SUBSTITUTE(RawData!D380,CHAR(160)," ")))))</f>
        <v>Pune</v>
      </c>
      <c r="E380" t="str">
        <f>IF(RawData!E380="","Unknown",PROPER(TRIM(CLEAN(SUBSTITUTE(RawData!E380,CHAR(160)," ")))))</f>
        <v>Desk</v>
      </c>
      <c r="F380" t="str">
        <f>IF(RawData!F380="","Unknown",PROPER(TRIM(CLEAN(SUBSTITUTE(RawData!F380,CHAR(160)," ")))))</f>
        <v>Furniture</v>
      </c>
      <c r="G380">
        <f>_xlfn.LET(
_xlpm.q,RawData!G380,
_xlpm.u,RawData!H380,
_xlpm.d,RawData!I380,
_xlpm.r,RawData!J380,
IF(AND(ISNUMBER(_xlpm.q),_xlpm.q&gt;0),_xlpm.q,
   IF(AND(ISNUMBER(_xlpm.r),ISNUMBER(_xlpm.u),_xlpm.u&gt;0,ISNUMBER(_xlpm.d),_xlpm.d&gt;=0,_xlpm.d&lt;1),
      ROUND(_xlpm.r/(_xlpm.u*(1-_xlpm.d)),0),
      ""
   )
)
)</f>
        <v>6</v>
      </c>
      <c r="H380" s="4">
        <f>_xlfn.LET(
_xlpm.q,RawData!G380,
_xlpm.u,RawData!H380,
_xlpm.d,RawData!I380,
_xlpm.r,RawData!J380,
IF(AND(ISNUMBER(_xlpm.u),_xlpm.u&gt;0),_xlpm.u,
   IF(AND(ISNUMBER(_xlpm.q),_xlpm.q&gt;0,ISNUMBER(_xlpm.r),ISNUMBER(_xlpm.d),_xlpm.d&gt;=0,_xlpm.d&lt;1),
      _xlpm.r/(_xlpm.q*(1-_xlpm.d)),
      ""
   )
)
)</f>
        <v>259.01</v>
      </c>
      <c r="I380" s="5">
        <f>_xlfn.LET(
_xlpm.q,RawData!G380,
_xlpm.u,RawData!H380,
_xlpm.d,RawData!I380,
_xlpm.r,RawData!J380,
IF(AND(ISNUMBER(_xlpm.d),_xlpm.d&gt;=0,_xlpm.d&lt;1),_xlpm.d,
   IF(AND(ISNUMBER(_xlpm.q),_xlpm.q&gt;0,ISNUMBER(_xlpm.u),_xlpm.u&gt;0,ISNUMBER(_xlpm.r),_xlpm.r&gt;=0),
      1-(_xlpm.r/(_xlpm.q*_xlpm.u)),
      ""
   )
)
)</f>
        <v>0.15</v>
      </c>
      <c r="J380" s="4">
        <f>_xlfn.LET(
_xlpm.q,RawData!G380,
_xlpm.u,RawData!H380,
_xlpm.d,RawData!I380,
_xlpm.r,RawData!J380,
IF(AND(ISNUMBER(_xlpm.r),_xlpm.r&gt;=0),_xlpm.r,
   IF(AND(ISNUMBER(_xlpm.q),_xlpm.q&gt;0,ISNUMBER(_xlpm.u),_xlpm.u&gt;0,ISNUMBER(_xlpm.d),_xlpm.d&gt;=0,_xlpm.d&lt;1),
      _xlpm.q*_xlpm.u*(1-_xlpm.d),
      ""
   )
)
)</f>
        <v>1320.95</v>
      </c>
      <c r="K380" s="4">
        <f>_xlfn.LET(
_xlpm.c,RawData!K380,
_xlpm.r,RawData!J380,
_xlpm.p,RawData!L380,
IF(AND(ISNUMBER(_xlpm.c),_xlpm.c&gt;=0),_xlpm.c,
   IF(AND(ISNUMBER(_xlpm.r),ISNUMBER(_xlpm.p)),
      _xlpm.r-_xlpm.p,
      ""
   )
)
)</f>
        <v>916.78</v>
      </c>
      <c r="L380" s="4">
        <f>_xlfn.LET(
_xlpm.p,RawData!L380,
_xlpm.r,RawData!J380,
_xlpm.c,RawData!K380,
IF(ISNUMBER(_xlpm.p),_xlpm.p,
IF(AND(ISNUMBER(_xlpm.r),ISNUMBER(_xlpm.c)),
_xlpm.r-_xlpm.c,
""
)
))</f>
        <v>404.17</v>
      </c>
    </row>
    <row r="381" spans="1:12" x14ac:dyDescent="0.35">
      <c r="A381" t="s">
        <v>420</v>
      </c>
      <c r="B381" s="7">
        <v>45731</v>
      </c>
      <c r="C381" t="str">
        <f>IF(RawData!C381="","Unknown",PROPER(TRIM(CLEAN(SUBSTITUTE(RawData!C381,CHAR(160)," ")))))</f>
        <v>South</v>
      </c>
      <c r="D381" t="str">
        <f>IF(RawData!D381="","Unknown",PROPER(TRIM(CLEAN(SUBSTITUTE(RawData!D381,CHAR(160)," ")))))</f>
        <v>Bengaluru</v>
      </c>
      <c r="E381" t="str">
        <f>IF(RawData!E381="","Unknown",PROPER(TRIM(CLEAN(SUBSTITUTE(RawData!E381,CHAR(160)," ")))))</f>
        <v>Pen Set</v>
      </c>
      <c r="F381" t="str">
        <f>IF(RawData!F381="","Unknown",PROPER(TRIM(CLEAN(SUBSTITUTE(RawData!F381,CHAR(160)," ")))))</f>
        <v>Office Supplies</v>
      </c>
      <c r="G381">
        <f>_xlfn.LET(
_xlpm.q,RawData!G381,
_xlpm.u,RawData!H381,
_xlpm.d,RawData!I381,
_xlpm.r,RawData!J381,
IF(AND(ISNUMBER(_xlpm.q),_xlpm.q&gt;0),_xlpm.q,
   IF(AND(ISNUMBER(_xlpm.r),ISNUMBER(_xlpm.u),_xlpm.u&gt;0,ISNUMBER(_xlpm.d),_xlpm.d&gt;=0,_xlpm.d&lt;1),
      ROUND(_xlpm.r/(_xlpm.u*(1-_xlpm.d)),0),
      ""
   )
)
)</f>
        <v>9</v>
      </c>
      <c r="H381" s="4">
        <f>_xlfn.LET(
_xlpm.q,RawData!G381,
_xlpm.u,RawData!H381,
_xlpm.d,RawData!I381,
_xlpm.r,RawData!J381,
IF(AND(ISNUMBER(_xlpm.u),_xlpm.u&gt;0),_xlpm.u,
   IF(AND(ISNUMBER(_xlpm.q),_xlpm.q&gt;0,ISNUMBER(_xlpm.r),ISNUMBER(_xlpm.d),_xlpm.d&gt;=0,_xlpm.d&lt;1),
      _xlpm.r/(_xlpm.q*(1-_xlpm.d)),
      ""
   )
)
)</f>
        <v>13.42</v>
      </c>
      <c r="I381" s="5">
        <f>_xlfn.LET(
_xlpm.q,RawData!G381,
_xlpm.u,RawData!H381,
_xlpm.d,RawData!I381,
_xlpm.r,RawData!J381,
IF(AND(ISNUMBER(_xlpm.d),_xlpm.d&gt;=0,_xlpm.d&lt;1),_xlpm.d,
   IF(AND(ISNUMBER(_xlpm.q),_xlpm.q&gt;0,ISNUMBER(_xlpm.u),_xlpm.u&gt;0,ISNUMBER(_xlpm.r),_xlpm.r&gt;=0),
      1-(_xlpm.r/(_xlpm.q*_xlpm.u)),
      ""
   )
)
)</f>
        <v>0.1</v>
      </c>
      <c r="J381" s="4">
        <f>_xlfn.LET(
_xlpm.q,RawData!G381,
_xlpm.u,RawData!H381,
_xlpm.d,RawData!I381,
_xlpm.r,RawData!J381,
IF(AND(ISNUMBER(_xlpm.r),_xlpm.r&gt;=0),_xlpm.r,
   IF(AND(ISNUMBER(_xlpm.q),_xlpm.q&gt;0,ISNUMBER(_xlpm.u),_xlpm.u&gt;0,ISNUMBER(_xlpm.d),_xlpm.d&gt;=0,_xlpm.d&lt;1),
      _xlpm.q*_xlpm.u*(1-_xlpm.d),
      ""
   )
)
)</f>
        <v>108.7</v>
      </c>
      <c r="K381" s="4">
        <f>_xlfn.LET(
_xlpm.c,RawData!K381,
_xlpm.r,RawData!J381,
_xlpm.p,RawData!L381,
IF(AND(ISNUMBER(_xlpm.c),_xlpm.c&gt;=0),_xlpm.c,
   IF(AND(ISNUMBER(_xlpm.r),ISNUMBER(_xlpm.p)),
      _xlpm.r-_xlpm.p,
      ""
   )
)
)</f>
        <v>82.93</v>
      </c>
      <c r="L381" s="4">
        <f>_xlfn.LET(
_xlpm.p,RawData!L381,
_xlpm.r,RawData!J381,
_xlpm.c,RawData!K381,
IF(ISNUMBER(_xlpm.p),_xlpm.p,
IF(AND(ISNUMBER(_xlpm.r),ISNUMBER(_xlpm.c)),
_xlpm.r-_xlpm.c,
""
)
))</f>
        <v>25.77</v>
      </c>
    </row>
    <row r="382" spans="1:12" x14ac:dyDescent="0.35">
      <c r="A382" t="s">
        <v>421</v>
      </c>
      <c r="B382" s="7">
        <v>45678</v>
      </c>
      <c r="C382" t="str">
        <f>IF(RawData!C382="","Unknown",PROPER(TRIM(CLEAN(SUBSTITUTE(RawData!C382,CHAR(160)," ")))))</f>
        <v>North</v>
      </c>
      <c r="D382" t="str">
        <f>IF(RawData!D382="","Unknown",PROPER(TRIM(CLEAN(SUBSTITUTE(RawData!D382,CHAR(160)," ")))))</f>
        <v>Jaipur</v>
      </c>
      <c r="E382" t="str">
        <f>IF(RawData!E382="","Unknown",PROPER(TRIM(CLEAN(SUBSTITUTE(RawData!E382,CHAR(160)," ")))))</f>
        <v>Laptop</v>
      </c>
      <c r="F382" t="str">
        <f>IF(RawData!F382="","Unknown",PROPER(TRIM(CLEAN(SUBSTITUTE(RawData!F382,CHAR(160)," ")))))</f>
        <v>Electronics</v>
      </c>
      <c r="G382">
        <f>_xlfn.LET(
_xlpm.q,RawData!G382,
_xlpm.u,RawData!H382,
_xlpm.d,RawData!I382,
_xlpm.r,RawData!J382,
IF(AND(ISNUMBER(_xlpm.q),_xlpm.q&gt;0),_xlpm.q,
   IF(AND(ISNUMBER(_xlpm.r),ISNUMBER(_xlpm.u),_xlpm.u&gt;0,ISNUMBER(_xlpm.d),_xlpm.d&gt;=0,_xlpm.d&lt;1),
      ROUND(_xlpm.r/(_xlpm.u*(1-_xlpm.d)),0),
      ""
   )
)
)</f>
        <v>3</v>
      </c>
      <c r="H382" s="4">
        <f>_xlfn.LET(
_xlpm.q,RawData!G382,
_xlpm.u,RawData!H382,
_xlpm.d,RawData!I382,
_xlpm.r,RawData!J382,
IF(AND(ISNUMBER(_xlpm.u),_xlpm.u&gt;0),_xlpm.u,
   IF(AND(ISNUMBER(_xlpm.q),_xlpm.q&gt;0,ISNUMBER(_xlpm.r),ISNUMBER(_xlpm.d),_xlpm.d&gt;=0,_xlpm.d&lt;1),
      _xlpm.r/(_xlpm.q*(1-_xlpm.d)),
      ""
   )
)
)</f>
        <v>761.18</v>
      </c>
      <c r="I382" s="5">
        <f>_xlfn.LET(
_xlpm.q,RawData!G382,
_xlpm.u,RawData!H382,
_xlpm.d,RawData!I382,
_xlpm.r,RawData!J382,
IF(AND(ISNUMBER(_xlpm.d),_xlpm.d&gt;=0,_xlpm.d&lt;1),_xlpm.d,
   IF(AND(ISNUMBER(_xlpm.q),_xlpm.q&gt;0,ISNUMBER(_xlpm.u),_xlpm.u&gt;0,ISNUMBER(_xlpm.r),_xlpm.r&gt;=0),
      1-(_xlpm.r/(_xlpm.q*_xlpm.u)),
      ""
   )
)
)</f>
        <v>0.2</v>
      </c>
      <c r="J382" s="4">
        <f>_xlfn.LET(
_xlpm.q,RawData!G382,
_xlpm.u,RawData!H382,
_xlpm.d,RawData!I382,
_xlpm.r,RawData!J382,
IF(AND(ISNUMBER(_xlpm.r),_xlpm.r&gt;=0),_xlpm.r,
   IF(AND(ISNUMBER(_xlpm.q),_xlpm.q&gt;0,ISNUMBER(_xlpm.u),_xlpm.u&gt;0,ISNUMBER(_xlpm.d),_xlpm.d&gt;=0,_xlpm.d&lt;1),
      _xlpm.q*_xlpm.u*(1-_xlpm.d),
      ""
   )
)
)</f>
        <v>1826.83</v>
      </c>
      <c r="K382" s="4">
        <f>_xlfn.LET(
_xlpm.c,RawData!K382,
_xlpm.r,RawData!J382,
_xlpm.p,RawData!L382,
IF(AND(ISNUMBER(_xlpm.c),_xlpm.c&gt;=0),_xlpm.c,
   IF(AND(ISNUMBER(_xlpm.r),ISNUMBER(_xlpm.p)),
      _xlpm.r-_xlpm.p,
      ""
   )
)
)</f>
        <v>1158.51</v>
      </c>
      <c r="L382" s="4">
        <f>_xlfn.LET(
_xlpm.p,RawData!L382,
_xlpm.r,RawData!J382,
_xlpm.c,RawData!K382,
IF(ISNUMBER(_xlpm.p),_xlpm.p,
IF(AND(ISNUMBER(_xlpm.r),ISNUMBER(_xlpm.c)),
_xlpm.r-_xlpm.c,
""
)
))</f>
        <v>668.32</v>
      </c>
    </row>
    <row r="383" spans="1:12" x14ac:dyDescent="0.35">
      <c r="A383" t="s">
        <v>422</v>
      </c>
      <c r="B383" s="7">
        <v>45900</v>
      </c>
      <c r="C383" t="str">
        <f>IF(RawData!C383="","Unknown",PROPER(TRIM(CLEAN(SUBSTITUTE(RawData!C383,CHAR(160)," ")))))</f>
        <v>West</v>
      </c>
      <c r="D383" t="str">
        <f>IF(RawData!D383="","Unknown",PROPER(TRIM(CLEAN(SUBSTITUTE(RawData!D383,CHAR(160)," ")))))</f>
        <v>Mumbai</v>
      </c>
      <c r="E383" t="str">
        <f>IF(RawData!E383="","Unknown",PROPER(TRIM(CLEAN(SUBSTITUTE(RawData!E383,CHAR(160)," ")))))</f>
        <v>Headphones</v>
      </c>
      <c r="F383" t="str">
        <f>IF(RawData!F383="","Unknown",PROPER(TRIM(CLEAN(SUBSTITUTE(RawData!F383,CHAR(160)," ")))))</f>
        <v>Electronics</v>
      </c>
      <c r="G383">
        <f>_xlfn.LET(
_xlpm.q,RawData!G383,
_xlpm.u,RawData!H383,
_xlpm.d,RawData!I383,
_xlpm.r,RawData!J383,
IF(AND(ISNUMBER(_xlpm.q),_xlpm.q&gt;0),_xlpm.q,
   IF(AND(ISNUMBER(_xlpm.r),ISNUMBER(_xlpm.u),_xlpm.u&gt;0,ISNUMBER(_xlpm.d),_xlpm.d&gt;=0,_xlpm.d&lt;1),
      ROUND(_xlpm.r/(_xlpm.u*(1-_xlpm.d)),0),
      ""
   )
)
)</f>
        <v>10</v>
      </c>
      <c r="H383" s="4">
        <f>_xlfn.LET(
_xlpm.q,RawData!G383,
_xlpm.u,RawData!H383,
_xlpm.d,RawData!I383,
_xlpm.r,RawData!J383,
IF(AND(ISNUMBER(_xlpm.u),_xlpm.u&gt;0),_xlpm.u,
   IF(AND(ISNUMBER(_xlpm.q),_xlpm.q&gt;0,ISNUMBER(_xlpm.r),ISNUMBER(_xlpm.d),_xlpm.d&gt;=0,_xlpm.d&lt;1),
      _xlpm.r/(_xlpm.q*(1-_xlpm.d)),
      ""
   )
)
)</f>
        <v>73.959999999999994</v>
      </c>
      <c r="I383" s="5">
        <f>_xlfn.LET(
_xlpm.q,RawData!G383,
_xlpm.u,RawData!H383,
_xlpm.d,RawData!I383,
_xlpm.r,RawData!J383,
IF(AND(ISNUMBER(_xlpm.d),_xlpm.d&gt;=0,_xlpm.d&lt;1),_xlpm.d,
   IF(AND(ISNUMBER(_xlpm.q),_xlpm.q&gt;0,ISNUMBER(_xlpm.u),_xlpm.u&gt;0,ISNUMBER(_xlpm.r),_xlpm.r&gt;=0),
      1-(_xlpm.r/(_xlpm.q*_xlpm.u)),
      ""
   )
)
)</f>
        <v>0.15</v>
      </c>
      <c r="J383" s="4">
        <f>_xlfn.LET(
_xlpm.q,RawData!G383,
_xlpm.u,RawData!H383,
_xlpm.d,RawData!I383,
_xlpm.r,RawData!J383,
IF(AND(ISNUMBER(_xlpm.r),_xlpm.r&gt;=0),_xlpm.r,
   IF(AND(ISNUMBER(_xlpm.q),_xlpm.q&gt;0,ISNUMBER(_xlpm.u),_xlpm.u&gt;0,ISNUMBER(_xlpm.d),_xlpm.d&gt;=0,_xlpm.d&lt;1),
      _xlpm.q*_xlpm.u*(1-_xlpm.d),
      ""
   )
)
)</f>
        <v>628.66</v>
      </c>
      <c r="K383" s="4">
        <f>_xlfn.LET(
_xlpm.c,RawData!K383,
_xlpm.r,RawData!J383,
_xlpm.p,RawData!L383,
IF(AND(ISNUMBER(_xlpm.c),_xlpm.c&gt;=0),_xlpm.c,
   IF(AND(ISNUMBER(_xlpm.r),ISNUMBER(_xlpm.p)),
      _xlpm.r-_xlpm.p,
      ""
   )
)
)</f>
        <v>472.04</v>
      </c>
      <c r="L383" s="4">
        <f>_xlfn.LET(
_xlpm.p,RawData!L383,
_xlpm.r,RawData!J383,
_xlpm.c,RawData!K383,
IF(ISNUMBER(_xlpm.p),_xlpm.p,
IF(AND(ISNUMBER(_xlpm.r),ISNUMBER(_xlpm.c)),
_xlpm.r-_xlpm.c,
""
)
))</f>
        <v>156.62</v>
      </c>
    </row>
    <row r="384" spans="1:12" x14ac:dyDescent="0.35">
      <c r="A384" t="s">
        <v>423</v>
      </c>
      <c r="B384" s="7">
        <v>45825</v>
      </c>
      <c r="C384" t="str">
        <f>IF(RawData!C384="","Unknown",PROPER(TRIM(CLEAN(SUBSTITUTE(RawData!C384,CHAR(160)," ")))))</f>
        <v>East</v>
      </c>
      <c r="D384" t="str">
        <f>IF(RawData!D384="","Unknown",PROPER(TRIM(CLEAN(SUBSTITUTE(RawData!D384,CHAR(160)," ")))))</f>
        <v>Patna</v>
      </c>
      <c r="E384" t="str">
        <f>IF(RawData!E384="","Unknown",PROPER(TRIM(CLEAN(SUBSTITUTE(RawData!E384,CHAR(160)," ")))))</f>
        <v>Headphones</v>
      </c>
      <c r="F384" t="str">
        <f>IF(RawData!F384="","Unknown",PROPER(TRIM(CLEAN(SUBSTITUTE(RawData!F384,CHAR(160)," ")))))</f>
        <v>Electronics</v>
      </c>
      <c r="G384">
        <f>_xlfn.LET(
_xlpm.q,RawData!G384,
_xlpm.u,RawData!H384,
_xlpm.d,RawData!I384,
_xlpm.r,RawData!J384,
IF(AND(ISNUMBER(_xlpm.q),_xlpm.q&gt;0),_xlpm.q,
   IF(AND(ISNUMBER(_xlpm.r),ISNUMBER(_xlpm.u),_xlpm.u&gt;0,ISNUMBER(_xlpm.d),_xlpm.d&gt;=0,_xlpm.d&lt;1),
      ROUND(_xlpm.r/(_xlpm.u*(1-_xlpm.d)),0),
      ""
   )
)
)</f>
        <v>7</v>
      </c>
      <c r="H384" s="4">
        <f>_xlfn.LET(
_xlpm.q,RawData!G384,
_xlpm.u,RawData!H384,
_xlpm.d,RawData!I384,
_xlpm.r,RawData!J384,
IF(AND(ISNUMBER(_xlpm.u),_xlpm.u&gt;0),_xlpm.u,
   IF(AND(ISNUMBER(_xlpm.q),_xlpm.q&gt;0,ISNUMBER(_xlpm.r),ISNUMBER(_xlpm.d),_xlpm.d&gt;=0,_xlpm.d&lt;1),
      _xlpm.r/(_xlpm.q*(1-_xlpm.d)),
      ""
   )
)
)</f>
        <v>68.8</v>
      </c>
      <c r="I384" s="5">
        <f>_xlfn.LET(
_xlpm.q,RawData!G384,
_xlpm.u,RawData!H384,
_xlpm.d,RawData!I384,
_xlpm.r,RawData!J384,
IF(AND(ISNUMBER(_xlpm.d),_xlpm.d&gt;=0,_xlpm.d&lt;1),_xlpm.d,
   IF(AND(ISNUMBER(_xlpm.q),_xlpm.q&gt;0,ISNUMBER(_xlpm.u),_xlpm.u&gt;0,ISNUMBER(_xlpm.r),_xlpm.r&gt;=0),
      1-(_xlpm.r/(_xlpm.q*_xlpm.u)),
      ""
   )
)
)</f>
        <v>0.15</v>
      </c>
      <c r="J384" s="4">
        <f>_xlfn.LET(
_xlpm.q,RawData!G384,
_xlpm.u,RawData!H384,
_xlpm.d,RawData!I384,
_xlpm.r,RawData!J384,
IF(AND(ISNUMBER(_xlpm.r),_xlpm.r&gt;=0),_xlpm.r,
   IF(AND(ISNUMBER(_xlpm.q),_xlpm.q&gt;0,ISNUMBER(_xlpm.u),_xlpm.u&gt;0,ISNUMBER(_xlpm.d),_xlpm.d&gt;=0,_xlpm.d&lt;1),
      _xlpm.q*_xlpm.u*(1-_xlpm.d),
      ""
   )
)
)</f>
        <v>409.36</v>
      </c>
      <c r="K384" s="4">
        <f>_xlfn.LET(
_xlpm.c,RawData!K384,
_xlpm.r,RawData!J384,
_xlpm.p,RawData!L384,
IF(AND(ISNUMBER(_xlpm.c),_xlpm.c&gt;=0),_xlpm.c,
   IF(AND(ISNUMBER(_xlpm.r),ISNUMBER(_xlpm.p)),
      _xlpm.r-_xlpm.p,
      ""
   )
)
)</f>
        <v>288.14</v>
      </c>
      <c r="L384" s="4">
        <f>_xlfn.LET(
_xlpm.p,RawData!L384,
_xlpm.r,RawData!J384,
_xlpm.c,RawData!K384,
IF(ISNUMBER(_xlpm.p),_xlpm.p,
IF(AND(ISNUMBER(_xlpm.r),ISNUMBER(_xlpm.c)),
_xlpm.r-_xlpm.c,
""
)
))</f>
        <v>121.22</v>
      </c>
    </row>
    <row r="385" spans="1:12" x14ac:dyDescent="0.35">
      <c r="A385" t="s">
        <v>424</v>
      </c>
      <c r="B385" s="7">
        <v>45811</v>
      </c>
      <c r="C385" t="str">
        <f>IF(RawData!C385="","Unknown",PROPER(TRIM(CLEAN(SUBSTITUTE(RawData!C385,CHAR(160)," ")))))</f>
        <v>East</v>
      </c>
      <c r="D385" t="str">
        <f>IF(RawData!D385="","Unknown",PROPER(TRIM(CLEAN(SUBSTITUTE(RawData!D385,CHAR(160)," ")))))</f>
        <v>Bhubaneswar</v>
      </c>
      <c r="E385" t="str">
        <f>IF(RawData!E385="","Unknown",PROPER(TRIM(CLEAN(SUBSTITUTE(RawData!E385,CHAR(160)," ")))))</f>
        <v>Notebook</v>
      </c>
      <c r="F385" t="str">
        <f>IF(RawData!F385="","Unknown",PROPER(TRIM(CLEAN(SUBSTITUTE(RawData!F385,CHAR(160)," ")))))</f>
        <v>Office Supplies</v>
      </c>
      <c r="G385">
        <f>_xlfn.LET(
_xlpm.q,RawData!G385,
_xlpm.u,RawData!H385,
_xlpm.d,RawData!I385,
_xlpm.r,RawData!J385,
IF(AND(ISNUMBER(_xlpm.q),_xlpm.q&gt;0),_xlpm.q,
   IF(AND(ISNUMBER(_xlpm.r),ISNUMBER(_xlpm.u),_xlpm.u&gt;0,ISNUMBER(_xlpm.d),_xlpm.d&gt;=0,_xlpm.d&lt;1),
      ROUND(_xlpm.r/(_xlpm.u*(1-_xlpm.d)),0),
      ""
   )
)
)</f>
        <v>9</v>
      </c>
      <c r="H385" s="4">
        <f>_xlfn.LET(
_xlpm.q,RawData!G385,
_xlpm.u,RawData!H385,
_xlpm.d,RawData!I385,
_xlpm.r,RawData!J385,
IF(AND(ISNUMBER(_xlpm.u),_xlpm.u&gt;0),_xlpm.u,
   IF(AND(ISNUMBER(_xlpm.q),_xlpm.q&gt;0,ISNUMBER(_xlpm.r),ISNUMBER(_xlpm.d),_xlpm.d&gt;=0,_xlpm.d&lt;1),
      _xlpm.r/(_xlpm.q*(1-_xlpm.d)),
      ""
   )
)
)</f>
        <v>8.6300000000000008</v>
      </c>
      <c r="I385" s="5">
        <f>_xlfn.LET(
_xlpm.q,RawData!G385,
_xlpm.u,RawData!H385,
_xlpm.d,RawData!I385,
_xlpm.r,RawData!J385,
IF(AND(ISNUMBER(_xlpm.d),_xlpm.d&gt;=0,_xlpm.d&lt;1),_xlpm.d,
   IF(AND(ISNUMBER(_xlpm.q),_xlpm.q&gt;0,ISNUMBER(_xlpm.u),_xlpm.u&gt;0,ISNUMBER(_xlpm.r),_xlpm.r&gt;=0),
      1-(_xlpm.r/(_xlpm.q*_xlpm.u)),
      ""
   )
)
)</f>
        <v>0.15</v>
      </c>
      <c r="J385" s="4">
        <f>_xlfn.LET(
_xlpm.q,RawData!G385,
_xlpm.u,RawData!H385,
_xlpm.d,RawData!I385,
_xlpm.r,RawData!J385,
IF(AND(ISNUMBER(_xlpm.r),_xlpm.r&gt;=0),_xlpm.r,
   IF(AND(ISNUMBER(_xlpm.q),_xlpm.q&gt;0,ISNUMBER(_xlpm.u),_xlpm.u&gt;0,ISNUMBER(_xlpm.d),_xlpm.d&gt;=0,_xlpm.d&lt;1),
      _xlpm.q*_xlpm.u*(1-_xlpm.d),
      ""
   )
)
)</f>
        <v>66.02</v>
      </c>
      <c r="K385" s="4">
        <f>_xlfn.LET(
_xlpm.c,RawData!K385,
_xlpm.r,RawData!J385,
_xlpm.p,RawData!L385,
IF(AND(ISNUMBER(_xlpm.c),_xlpm.c&gt;=0),_xlpm.c,
   IF(AND(ISNUMBER(_xlpm.r),ISNUMBER(_xlpm.p)),
      _xlpm.r-_xlpm.p,
      ""
   )
)
)</f>
        <v>51.94</v>
      </c>
      <c r="L385" s="4">
        <f>_xlfn.LET(
_xlpm.p,RawData!L385,
_xlpm.r,RawData!J385,
_xlpm.c,RawData!K385,
IF(ISNUMBER(_xlpm.p),_xlpm.p,
IF(AND(ISNUMBER(_xlpm.r),ISNUMBER(_xlpm.c)),
_xlpm.r-_xlpm.c,
""
)
))</f>
        <v>14.08</v>
      </c>
    </row>
    <row r="386" spans="1:12" x14ac:dyDescent="0.35">
      <c r="A386" t="s">
        <v>425</v>
      </c>
      <c r="B386" s="7">
        <v>46020</v>
      </c>
      <c r="C386" t="str">
        <f>IF(RawData!C386="","Unknown",PROPER(TRIM(CLEAN(SUBSTITUTE(RawData!C386,CHAR(160)," ")))))</f>
        <v>East</v>
      </c>
      <c r="D386" t="str">
        <f>IF(RawData!D386="","Unknown",PROPER(TRIM(CLEAN(SUBSTITUTE(RawData!D386,CHAR(160)," ")))))</f>
        <v>Bhubaneswar</v>
      </c>
      <c r="E386" t="str">
        <f>IF(RawData!E386="","Unknown",PROPER(TRIM(CLEAN(SUBSTITUTE(RawData!E386,CHAR(160)," ")))))</f>
        <v>Printer</v>
      </c>
      <c r="F386" t="str">
        <f>IF(RawData!F386="","Unknown",PROPER(TRIM(CLEAN(SUBSTITUTE(RawData!F386,CHAR(160)," ")))))</f>
        <v>Office Supplies</v>
      </c>
      <c r="G386">
        <f>_xlfn.LET(
_xlpm.q,RawData!G386,
_xlpm.u,RawData!H386,
_xlpm.d,RawData!I386,
_xlpm.r,RawData!J386,
IF(AND(ISNUMBER(_xlpm.q),_xlpm.q&gt;0),_xlpm.q,
   IF(AND(ISNUMBER(_xlpm.r),ISNUMBER(_xlpm.u),_xlpm.u&gt;0,ISNUMBER(_xlpm.d),_xlpm.d&gt;=0,_xlpm.d&lt;1),
      ROUND(_xlpm.r/(_xlpm.u*(1-_xlpm.d)),0),
      ""
   )
)
)</f>
        <v>1</v>
      </c>
      <c r="H386" s="4">
        <f>_xlfn.LET(
_xlpm.q,RawData!G386,
_xlpm.u,RawData!H386,
_xlpm.d,RawData!I386,
_xlpm.r,RawData!J386,
IF(AND(ISNUMBER(_xlpm.u),_xlpm.u&gt;0),_xlpm.u,
   IF(AND(ISNUMBER(_xlpm.q),_xlpm.q&gt;0,ISNUMBER(_xlpm.r),ISNUMBER(_xlpm.d),_xlpm.d&gt;=0,_xlpm.d&lt;1),
      _xlpm.r/(_xlpm.q*(1-_xlpm.d)),
      ""
   )
)
)</f>
        <v>152.41999999999999</v>
      </c>
      <c r="I386" s="5">
        <f>_xlfn.LET(
_xlpm.q,RawData!G386,
_xlpm.u,RawData!H386,
_xlpm.d,RawData!I386,
_xlpm.r,RawData!J386,
IF(AND(ISNUMBER(_xlpm.d),_xlpm.d&gt;=0,_xlpm.d&lt;1),_xlpm.d,
   IF(AND(ISNUMBER(_xlpm.q),_xlpm.q&gt;0,ISNUMBER(_xlpm.u),_xlpm.u&gt;0,ISNUMBER(_xlpm.r),_xlpm.r&gt;=0),
      1-(_xlpm.r/(_xlpm.q*_xlpm.u)),
      ""
   )
)
)</f>
        <v>0.05</v>
      </c>
      <c r="J386" s="4">
        <f>_xlfn.LET(
_xlpm.q,RawData!G386,
_xlpm.u,RawData!H386,
_xlpm.d,RawData!I386,
_xlpm.r,RawData!J386,
IF(AND(ISNUMBER(_xlpm.r),_xlpm.r&gt;=0),_xlpm.r,
   IF(AND(ISNUMBER(_xlpm.q),_xlpm.q&gt;0,ISNUMBER(_xlpm.u),_xlpm.u&gt;0,ISNUMBER(_xlpm.d),_xlpm.d&gt;=0,_xlpm.d&lt;1),
      _xlpm.q*_xlpm.u*(1-_xlpm.d),
      ""
   )
)
)</f>
        <v>144.80000000000001</v>
      </c>
      <c r="K386" s="4">
        <f>_xlfn.LET(
_xlpm.c,RawData!K386,
_xlpm.r,RawData!J386,
_xlpm.p,RawData!L386,
IF(AND(ISNUMBER(_xlpm.c),_xlpm.c&gt;=0),_xlpm.c,
   IF(AND(ISNUMBER(_xlpm.r),ISNUMBER(_xlpm.p)),
      _xlpm.r-_xlpm.p,
      ""
   )
)
)</f>
        <v>111.75</v>
      </c>
      <c r="L386" s="4">
        <f>_xlfn.LET(
_xlpm.p,RawData!L386,
_xlpm.r,RawData!J386,
_xlpm.c,RawData!K386,
IF(ISNUMBER(_xlpm.p),_xlpm.p,
IF(AND(ISNUMBER(_xlpm.r),ISNUMBER(_xlpm.c)),
_xlpm.r-_xlpm.c,
""
)
))</f>
        <v>33.049999999999997</v>
      </c>
    </row>
    <row r="387" spans="1:12" x14ac:dyDescent="0.35">
      <c r="A387" t="s">
        <v>426</v>
      </c>
      <c r="B387" s="7">
        <v>46002</v>
      </c>
      <c r="C387" t="str">
        <f>IF(RawData!C387="","Unknown",PROPER(TRIM(CLEAN(SUBSTITUTE(RawData!C387,CHAR(160)," ")))))</f>
        <v>North</v>
      </c>
      <c r="D387" t="str">
        <f>IF(RawData!D387="","Unknown",PROPER(TRIM(CLEAN(SUBSTITUTE(RawData!D387,CHAR(160)," ")))))</f>
        <v>Lucknow</v>
      </c>
      <c r="E387" t="str">
        <f>IF(RawData!E387="","Unknown",PROPER(TRIM(CLEAN(SUBSTITUTE(RawData!E387,CHAR(160)," ")))))</f>
        <v>Bookshelf</v>
      </c>
      <c r="F387" t="str">
        <f>IF(RawData!F387="","Unknown",PROPER(TRIM(CLEAN(SUBSTITUTE(RawData!F387,CHAR(160)," ")))))</f>
        <v>Furniture</v>
      </c>
      <c r="G387">
        <f>_xlfn.LET(
_xlpm.q,RawData!G387,
_xlpm.u,RawData!H387,
_xlpm.d,RawData!I387,
_xlpm.r,RawData!J387,
IF(AND(ISNUMBER(_xlpm.q),_xlpm.q&gt;0),_xlpm.q,
   IF(AND(ISNUMBER(_xlpm.r),ISNUMBER(_xlpm.u),_xlpm.u&gt;0,ISNUMBER(_xlpm.d),_xlpm.d&gt;=0,_xlpm.d&lt;1),
      ROUND(_xlpm.r/(_xlpm.u*(1-_xlpm.d)),0),
      ""
   )
)
)</f>
        <v>10</v>
      </c>
      <c r="H387" s="4">
        <f>_xlfn.LET(
_xlpm.q,RawData!G387,
_xlpm.u,RawData!H387,
_xlpm.d,RawData!I387,
_xlpm.r,RawData!J387,
IF(AND(ISNUMBER(_xlpm.u),_xlpm.u&gt;0),_xlpm.u,
   IF(AND(ISNUMBER(_xlpm.q),_xlpm.q&gt;0,ISNUMBER(_xlpm.r),ISNUMBER(_xlpm.d),_xlpm.d&gt;=0,_xlpm.d&lt;1),
      _xlpm.r/(_xlpm.q*(1-_xlpm.d)),
      ""
   )
)
)</f>
        <v>123.65</v>
      </c>
      <c r="I387" s="5">
        <f>_xlfn.LET(
_xlpm.q,RawData!G387,
_xlpm.u,RawData!H387,
_xlpm.d,RawData!I387,
_xlpm.r,RawData!J387,
IF(AND(ISNUMBER(_xlpm.d),_xlpm.d&gt;=0,_xlpm.d&lt;1),_xlpm.d,
   IF(AND(ISNUMBER(_xlpm.q),_xlpm.q&gt;0,ISNUMBER(_xlpm.u),_xlpm.u&gt;0,ISNUMBER(_xlpm.r),_xlpm.r&gt;=0),
      1-(_xlpm.r/(_xlpm.q*_xlpm.u)),
      ""
   )
)
)</f>
        <v>0.05</v>
      </c>
      <c r="J387" s="4">
        <f>_xlfn.LET(
_xlpm.q,RawData!G387,
_xlpm.u,RawData!H387,
_xlpm.d,RawData!I387,
_xlpm.r,RawData!J387,
IF(AND(ISNUMBER(_xlpm.r),_xlpm.r&gt;=0),_xlpm.r,
   IF(AND(ISNUMBER(_xlpm.q),_xlpm.q&gt;0,ISNUMBER(_xlpm.u),_xlpm.u&gt;0,ISNUMBER(_xlpm.d),_xlpm.d&gt;=0,_xlpm.d&lt;1),
      _xlpm.q*_xlpm.u*(1-_xlpm.d),
      ""
   )
)
)</f>
        <v>1174.67</v>
      </c>
      <c r="K387" s="4">
        <f>_xlfn.LET(
_xlpm.c,RawData!K387,
_xlpm.r,RawData!J387,
_xlpm.p,RawData!L387,
IF(AND(ISNUMBER(_xlpm.c),_xlpm.c&gt;=0),_xlpm.c,
   IF(AND(ISNUMBER(_xlpm.r),ISNUMBER(_xlpm.p)),
      _xlpm.r-_xlpm.p,
      ""
   )
)
)</f>
        <v>914.53</v>
      </c>
      <c r="L387" s="4">
        <f>_xlfn.LET(
_xlpm.p,RawData!L387,
_xlpm.r,RawData!J387,
_xlpm.c,RawData!K387,
IF(ISNUMBER(_xlpm.p),_xlpm.p,
IF(AND(ISNUMBER(_xlpm.r),ISNUMBER(_xlpm.c)),
_xlpm.r-_xlpm.c,
""
)
))</f>
        <v>260.14</v>
      </c>
    </row>
    <row r="388" spans="1:12" x14ac:dyDescent="0.35">
      <c r="A388" t="s">
        <v>427</v>
      </c>
      <c r="B388" s="7">
        <v>46010</v>
      </c>
      <c r="C388" t="str">
        <f>IF(RawData!C388="","Unknown",PROPER(TRIM(CLEAN(SUBSTITUTE(RawData!C388,CHAR(160)," ")))))</f>
        <v>North</v>
      </c>
      <c r="D388" t="str">
        <f>IF(RawData!D388="","Unknown",PROPER(TRIM(CLEAN(SUBSTITUTE(RawData!D388,CHAR(160)," ")))))</f>
        <v>Lucknow</v>
      </c>
      <c r="E388" t="str">
        <f>IF(RawData!E388="","Unknown",PROPER(TRIM(CLEAN(SUBSTITUTE(RawData!E388,CHAR(160)," ")))))</f>
        <v>Pen Set</v>
      </c>
      <c r="F388" t="str">
        <f>IF(RawData!F388="","Unknown",PROPER(TRIM(CLEAN(SUBSTITUTE(RawData!F388,CHAR(160)," ")))))</f>
        <v>Office Supplies</v>
      </c>
      <c r="G388">
        <f>_xlfn.LET(
_xlpm.q,RawData!G388,
_xlpm.u,RawData!H388,
_xlpm.d,RawData!I388,
_xlpm.r,RawData!J388,
IF(AND(ISNUMBER(_xlpm.q),_xlpm.q&gt;0),_xlpm.q,
   IF(AND(ISNUMBER(_xlpm.r),ISNUMBER(_xlpm.u),_xlpm.u&gt;0,ISNUMBER(_xlpm.d),_xlpm.d&gt;=0,_xlpm.d&lt;1),
      ROUND(_xlpm.r/(_xlpm.u*(1-_xlpm.d)),0),
      ""
   )
)
)</f>
        <v>8</v>
      </c>
      <c r="H388" s="4">
        <f>_xlfn.LET(
_xlpm.q,RawData!G388,
_xlpm.u,RawData!H388,
_xlpm.d,RawData!I388,
_xlpm.r,RawData!J388,
IF(AND(ISNUMBER(_xlpm.u),_xlpm.u&gt;0),_xlpm.u,
   IF(AND(ISNUMBER(_xlpm.q),_xlpm.q&gt;0,ISNUMBER(_xlpm.r),ISNUMBER(_xlpm.d),_xlpm.d&gt;=0,_xlpm.d&lt;1),
      _xlpm.r/(_xlpm.q*(1-_xlpm.d)),
      ""
   )
)
)</f>
        <v>10.66</v>
      </c>
      <c r="I388" s="5">
        <f>_xlfn.LET(
_xlpm.q,RawData!G388,
_xlpm.u,RawData!H388,
_xlpm.d,RawData!I388,
_xlpm.r,RawData!J388,
IF(AND(ISNUMBER(_xlpm.d),_xlpm.d&gt;=0,_xlpm.d&lt;1),_xlpm.d,
   IF(AND(ISNUMBER(_xlpm.q),_xlpm.q&gt;0,ISNUMBER(_xlpm.u),_xlpm.u&gt;0,ISNUMBER(_xlpm.r),_xlpm.r&gt;=0),
      1-(_xlpm.r/(_xlpm.q*_xlpm.u)),
      ""
   )
)
)</f>
        <v>0.05</v>
      </c>
      <c r="J388" s="4">
        <f>_xlfn.LET(
_xlpm.q,RawData!G388,
_xlpm.u,RawData!H388,
_xlpm.d,RawData!I388,
_xlpm.r,RawData!J388,
IF(AND(ISNUMBER(_xlpm.r),_xlpm.r&gt;=0),_xlpm.r,
   IF(AND(ISNUMBER(_xlpm.q),_xlpm.q&gt;0,ISNUMBER(_xlpm.u),_xlpm.u&gt;0,ISNUMBER(_xlpm.d),_xlpm.d&gt;=0,_xlpm.d&lt;1),
      _xlpm.q*_xlpm.u*(1-_xlpm.d),
      ""
   )
)
)</f>
        <v>81.02</v>
      </c>
      <c r="K388" s="4">
        <f>_xlfn.LET(
_xlpm.c,RawData!K388,
_xlpm.r,RawData!J388,
_xlpm.p,RawData!L388,
IF(AND(ISNUMBER(_xlpm.c),_xlpm.c&gt;=0),_xlpm.c,
   IF(AND(ISNUMBER(_xlpm.r),ISNUMBER(_xlpm.p)),
      _xlpm.r-_xlpm.p,
      ""
   )
)
)</f>
        <v>53.25</v>
      </c>
      <c r="L388" s="4">
        <f>_xlfn.LET(
_xlpm.p,RawData!L388,
_xlpm.r,RawData!J388,
_xlpm.c,RawData!K388,
IF(ISNUMBER(_xlpm.p),_xlpm.p,
IF(AND(ISNUMBER(_xlpm.r),ISNUMBER(_xlpm.c)),
_xlpm.r-_xlpm.c,
""
)
))</f>
        <v>27.77</v>
      </c>
    </row>
    <row r="389" spans="1:12" x14ac:dyDescent="0.35">
      <c r="A389" t="s">
        <v>428</v>
      </c>
      <c r="B389" s="7">
        <v>45954</v>
      </c>
      <c r="C389" t="str">
        <f>IF(RawData!C389="","Unknown",PROPER(TRIM(CLEAN(SUBSTITUTE(RawData!C389,CHAR(160)," ")))))</f>
        <v>South</v>
      </c>
      <c r="D389" t="str">
        <f>IF(RawData!D389="","Unknown",PROPER(TRIM(CLEAN(SUBSTITUTE(RawData!D389,CHAR(160)," ")))))</f>
        <v>Chennai</v>
      </c>
      <c r="E389" t="str">
        <f>IF(RawData!E389="","Unknown",PROPER(TRIM(CLEAN(SUBSTITUTE(RawData!E389,CHAR(160)," ")))))</f>
        <v>Keyboard</v>
      </c>
      <c r="F389" t="str">
        <f>IF(RawData!F389="","Unknown",PROPER(TRIM(CLEAN(SUBSTITUTE(RawData!F389,CHAR(160)," ")))))</f>
        <v>Accessories</v>
      </c>
      <c r="G389">
        <f>_xlfn.LET(
_xlpm.q,RawData!G389,
_xlpm.u,RawData!H389,
_xlpm.d,RawData!I389,
_xlpm.r,RawData!J389,
IF(AND(ISNUMBER(_xlpm.q),_xlpm.q&gt;0),_xlpm.q,
   IF(AND(ISNUMBER(_xlpm.r),ISNUMBER(_xlpm.u),_xlpm.u&gt;0,ISNUMBER(_xlpm.d),_xlpm.d&gt;=0,_xlpm.d&lt;1),
      ROUND(_xlpm.r/(_xlpm.u*(1-_xlpm.d)),0),
      ""
   )
)
)</f>
        <v>1</v>
      </c>
      <c r="H389" s="4">
        <f>_xlfn.LET(
_xlpm.q,RawData!G389,
_xlpm.u,RawData!H389,
_xlpm.d,RawData!I389,
_xlpm.r,RawData!J389,
IF(AND(ISNUMBER(_xlpm.u),_xlpm.u&gt;0),_xlpm.u,
   IF(AND(ISNUMBER(_xlpm.q),_xlpm.q&gt;0,ISNUMBER(_xlpm.r),ISNUMBER(_xlpm.d),_xlpm.d&gt;=0,_xlpm.d&lt;1),
      _xlpm.r/(_xlpm.q*(1-_xlpm.d)),
      ""
   )
)
)</f>
        <v>38.119999999999997</v>
      </c>
      <c r="I389" s="5">
        <f>_xlfn.LET(
_xlpm.q,RawData!G389,
_xlpm.u,RawData!H389,
_xlpm.d,RawData!I389,
_xlpm.r,RawData!J389,
IF(AND(ISNUMBER(_xlpm.d),_xlpm.d&gt;=0,_xlpm.d&lt;1),_xlpm.d,
   IF(AND(ISNUMBER(_xlpm.q),_xlpm.q&gt;0,ISNUMBER(_xlpm.u),_xlpm.u&gt;0,ISNUMBER(_xlpm.r),_xlpm.r&gt;=0),
      1-(_xlpm.r/(_xlpm.q*_xlpm.u)),
      ""
   )
)
)</f>
        <v>0.15</v>
      </c>
      <c r="J389" s="4">
        <f>_xlfn.LET(
_xlpm.q,RawData!G389,
_xlpm.u,RawData!H389,
_xlpm.d,RawData!I389,
_xlpm.r,RawData!J389,
IF(AND(ISNUMBER(_xlpm.r),_xlpm.r&gt;=0),_xlpm.r,
   IF(AND(ISNUMBER(_xlpm.q),_xlpm.q&gt;0,ISNUMBER(_xlpm.u),_xlpm.u&gt;0,ISNUMBER(_xlpm.d),_xlpm.d&gt;=0,_xlpm.d&lt;1),
      _xlpm.q*_xlpm.u*(1-_xlpm.d),
      ""
   )
)
)</f>
        <v>32.4</v>
      </c>
      <c r="K389" s="4">
        <f>_xlfn.LET(
_xlpm.c,RawData!K389,
_xlpm.r,RawData!J389,
_xlpm.p,RawData!L389,
IF(AND(ISNUMBER(_xlpm.c),_xlpm.c&gt;=0),_xlpm.c,
   IF(AND(ISNUMBER(_xlpm.r),ISNUMBER(_xlpm.p)),
      _xlpm.r-_xlpm.p,
      ""
   )
)
)</f>
        <v>19.13</v>
      </c>
      <c r="L389" s="4">
        <f>_xlfn.LET(
_xlpm.p,RawData!L389,
_xlpm.r,RawData!J389,
_xlpm.c,RawData!K389,
IF(ISNUMBER(_xlpm.p),_xlpm.p,
IF(AND(ISNUMBER(_xlpm.r),ISNUMBER(_xlpm.c)),
_xlpm.r-_xlpm.c,
""
)
))</f>
        <v>13.27</v>
      </c>
    </row>
    <row r="390" spans="1:12" x14ac:dyDescent="0.35">
      <c r="A390" t="s">
        <v>429</v>
      </c>
      <c r="B390" s="7">
        <v>45745</v>
      </c>
      <c r="C390" t="str">
        <f>IF(RawData!C390="","Unknown",PROPER(TRIM(CLEAN(SUBSTITUTE(RawData!C390,CHAR(160)," ")))))</f>
        <v>West</v>
      </c>
      <c r="D390" t="str">
        <f>IF(RawData!D390="","Unknown",PROPER(TRIM(CLEAN(SUBSTITUTE(RawData!D390,CHAR(160)," ")))))</f>
        <v>Ahmedabad</v>
      </c>
      <c r="E390" t="str">
        <f>IF(RawData!E390="","Unknown",PROPER(TRIM(CLEAN(SUBSTITUTE(RawData!E390,CHAR(160)," ")))))</f>
        <v>Headphones</v>
      </c>
      <c r="F390" t="str">
        <f>IF(RawData!F390="","Unknown",PROPER(TRIM(CLEAN(SUBSTITUTE(RawData!F390,CHAR(160)," ")))))</f>
        <v>Electronics</v>
      </c>
      <c r="G390">
        <f>_xlfn.LET(
_xlpm.q,RawData!G390,
_xlpm.u,RawData!H390,
_xlpm.d,RawData!I390,
_xlpm.r,RawData!J390,
IF(AND(ISNUMBER(_xlpm.q),_xlpm.q&gt;0),_xlpm.q,
   IF(AND(ISNUMBER(_xlpm.r),ISNUMBER(_xlpm.u),_xlpm.u&gt;0,ISNUMBER(_xlpm.d),_xlpm.d&gt;=0,_xlpm.d&lt;1),
      ROUND(_xlpm.r/(_xlpm.u*(1-_xlpm.d)),0),
      ""
   )
)
)</f>
        <v>4</v>
      </c>
      <c r="H390" s="4">
        <f>_xlfn.LET(
_xlpm.q,RawData!G390,
_xlpm.u,RawData!H390,
_xlpm.d,RawData!I390,
_xlpm.r,RawData!J390,
IF(AND(ISNUMBER(_xlpm.u),_xlpm.u&gt;0),_xlpm.u,
   IF(AND(ISNUMBER(_xlpm.q),_xlpm.q&gt;0,ISNUMBER(_xlpm.r),ISNUMBER(_xlpm.d),_xlpm.d&gt;=0,_xlpm.d&lt;1),
      _xlpm.r/(_xlpm.q*(1-_xlpm.d)),
      ""
   )
)
)</f>
        <v>73.5</v>
      </c>
      <c r="I390" s="5">
        <f>_xlfn.LET(
_xlpm.q,RawData!G390,
_xlpm.u,RawData!H390,
_xlpm.d,RawData!I390,
_xlpm.r,RawData!J390,
IF(AND(ISNUMBER(_xlpm.d),_xlpm.d&gt;=0,_xlpm.d&lt;1),_xlpm.d,
   IF(AND(ISNUMBER(_xlpm.q),_xlpm.q&gt;0,ISNUMBER(_xlpm.u),_xlpm.u&gt;0,ISNUMBER(_xlpm.r),_xlpm.r&gt;=0),
      1-(_xlpm.r/(_xlpm.q*_xlpm.u)),
      ""
   )
)
)</f>
        <v>0</v>
      </c>
      <c r="J390" s="4">
        <f>_xlfn.LET(
_xlpm.q,RawData!G390,
_xlpm.u,RawData!H390,
_xlpm.d,RawData!I390,
_xlpm.r,RawData!J390,
IF(AND(ISNUMBER(_xlpm.r),_xlpm.r&gt;=0),_xlpm.r,
   IF(AND(ISNUMBER(_xlpm.q),_xlpm.q&gt;0,ISNUMBER(_xlpm.u),_xlpm.u&gt;0,ISNUMBER(_xlpm.d),_xlpm.d&gt;=0,_xlpm.d&lt;1),
      _xlpm.q*_xlpm.u*(1-_xlpm.d),
      ""
   )
)
)</f>
        <v>294</v>
      </c>
      <c r="K390" s="4">
        <f>_xlfn.LET(
_xlpm.c,RawData!K390,
_xlpm.r,RawData!J390,
_xlpm.p,RawData!L390,
IF(AND(ISNUMBER(_xlpm.c),_xlpm.c&gt;=0),_xlpm.c,
   IF(AND(ISNUMBER(_xlpm.r),ISNUMBER(_xlpm.p)),
      _xlpm.r-_xlpm.p,
      ""
   )
)
)</f>
        <v>219.03</v>
      </c>
      <c r="L390" s="4">
        <f>_xlfn.LET(
_xlpm.p,RawData!L390,
_xlpm.r,RawData!J390,
_xlpm.c,RawData!K390,
IF(ISNUMBER(_xlpm.p),_xlpm.p,
IF(AND(ISNUMBER(_xlpm.r),ISNUMBER(_xlpm.c)),
_xlpm.r-_xlpm.c,
""
)
))</f>
        <v>74.97</v>
      </c>
    </row>
    <row r="391" spans="1:12" x14ac:dyDescent="0.35">
      <c r="A391" t="s">
        <v>430</v>
      </c>
      <c r="B391" s="7">
        <v>46016</v>
      </c>
      <c r="C391" t="str">
        <f>IF(RawData!C391="","Unknown",PROPER(TRIM(CLEAN(SUBSTITUTE(RawData!C391,CHAR(160)," ")))))</f>
        <v>North</v>
      </c>
      <c r="D391" t="str">
        <f>IF(RawData!D391="","Unknown",PROPER(TRIM(CLEAN(SUBSTITUTE(RawData!D391,CHAR(160)," ")))))</f>
        <v>Jaipur</v>
      </c>
      <c r="E391" t="str">
        <f>IF(RawData!E391="","Unknown",PROPER(TRIM(CLEAN(SUBSTITUTE(RawData!E391,CHAR(160)," ")))))</f>
        <v>Monitor</v>
      </c>
      <c r="F391" t="str">
        <f>IF(RawData!F391="","Unknown",PROPER(TRIM(CLEAN(SUBSTITUTE(RawData!F391,CHAR(160)," ")))))</f>
        <v>Electronics</v>
      </c>
      <c r="G391">
        <f>_xlfn.LET(
_xlpm.q,RawData!G391,
_xlpm.u,RawData!H391,
_xlpm.d,RawData!I391,
_xlpm.r,RawData!J391,
IF(AND(ISNUMBER(_xlpm.q),_xlpm.q&gt;0),_xlpm.q,
   IF(AND(ISNUMBER(_xlpm.r),ISNUMBER(_xlpm.u),_xlpm.u&gt;0,ISNUMBER(_xlpm.d),_xlpm.d&gt;=0,_xlpm.d&lt;1),
      ROUND(_xlpm.r/(_xlpm.u*(1-_xlpm.d)),0),
      ""
   )
)
)</f>
        <v>1</v>
      </c>
      <c r="H391" s="4">
        <f>_xlfn.LET(
_xlpm.q,RawData!G391,
_xlpm.u,RawData!H391,
_xlpm.d,RawData!I391,
_xlpm.r,RawData!J391,
IF(AND(ISNUMBER(_xlpm.u),_xlpm.u&gt;0),_xlpm.u,
   IF(AND(ISNUMBER(_xlpm.q),_xlpm.q&gt;0,ISNUMBER(_xlpm.r),ISNUMBER(_xlpm.d),_xlpm.d&gt;=0,_xlpm.d&lt;1),
      _xlpm.r/(_xlpm.q*(1-_xlpm.d)),
      ""
   )
)
)</f>
        <v>234.52</v>
      </c>
      <c r="I391" s="5">
        <f>_xlfn.LET(
_xlpm.q,RawData!G391,
_xlpm.u,RawData!H391,
_xlpm.d,RawData!I391,
_xlpm.r,RawData!J391,
IF(AND(ISNUMBER(_xlpm.d),_xlpm.d&gt;=0,_xlpm.d&lt;1),_xlpm.d,
   IF(AND(ISNUMBER(_xlpm.q),_xlpm.q&gt;0,ISNUMBER(_xlpm.u),_xlpm.u&gt;0,ISNUMBER(_xlpm.r),_xlpm.r&gt;=0),
      1-(_xlpm.r/(_xlpm.q*_xlpm.u)),
      ""
   )
)
)</f>
        <v>0.1</v>
      </c>
      <c r="J391" s="4">
        <f>_xlfn.LET(
_xlpm.q,RawData!G391,
_xlpm.u,RawData!H391,
_xlpm.d,RawData!I391,
_xlpm.r,RawData!J391,
IF(AND(ISNUMBER(_xlpm.r),_xlpm.r&gt;=0),_xlpm.r,
   IF(AND(ISNUMBER(_xlpm.q),_xlpm.q&gt;0,ISNUMBER(_xlpm.u),_xlpm.u&gt;0,ISNUMBER(_xlpm.d),_xlpm.d&gt;=0,_xlpm.d&lt;1),
      _xlpm.q*_xlpm.u*(1-_xlpm.d),
      ""
   )
)
)</f>
        <v>211.07</v>
      </c>
      <c r="K391" s="4">
        <f>_xlfn.LET(
_xlpm.c,RawData!K391,
_xlpm.r,RawData!J391,
_xlpm.p,RawData!L391,
IF(AND(ISNUMBER(_xlpm.c),_xlpm.c&gt;=0),_xlpm.c,
   IF(AND(ISNUMBER(_xlpm.r),ISNUMBER(_xlpm.p)),
      _xlpm.r-_xlpm.p,
      ""
   )
)
)</f>
        <v>152.63</v>
      </c>
      <c r="L391" s="4">
        <f>_xlfn.LET(
_xlpm.p,RawData!L391,
_xlpm.r,RawData!J391,
_xlpm.c,RawData!K391,
IF(ISNUMBER(_xlpm.p),_xlpm.p,
IF(AND(ISNUMBER(_xlpm.r),ISNUMBER(_xlpm.c)),
_xlpm.r-_xlpm.c,
""
)
))</f>
        <v>58.44</v>
      </c>
    </row>
    <row r="392" spans="1:12" x14ac:dyDescent="0.35">
      <c r="A392" t="s">
        <v>431</v>
      </c>
      <c r="B392" s="7">
        <v>45872</v>
      </c>
      <c r="C392" t="str">
        <f>IF(RawData!C392="","Unknown",PROPER(TRIM(CLEAN(SUBSTITUTE(RawData!C392,CHAR(160)," ")))))</f>
        <v>South</v>
      </c>
      <c r="D392" t="str">
        <f>IF(RawData!D392="","Unknown",PROPER(TRIM(CLEAN(SUBSTITUTE(RawData!D392,CHAR(160)," ")))))</f>
        <v>Bengaluru</v>
      </c>
      <c r="E392" t="str">
        <f>IF(RawData!E392="","Unknown",PROPER(TRIM(CLEAN(SUBSTITUTE(RawData!E392,CHAR(160)," ")))))</f>
        <v>Bookshelf</v>
      </c>
      <c r="F392" t="str">
        <f>IF(RawData!F392="","Unknown",PROPER(TRIM(CLEAN(SUBSTITUTE(RawData!F392,CHAR(160)," ")))))</f>
        <v>Furniture</v>
      </c>
      <c r="G392">
        <f>_xlfn.LET(
_xlpm.q,RawData!G392,
_xlpm.u,RawData!H392,
_xlpm.d,RawData!I392,
_xlpm.r,RawData!J392,
IF(AND(ISNUMBER(_xlpm.q),_xlpm.q&gt;0),_xlpm.q,
   IF(AND(ISNUMBER(_xlpm.r),ISNUMBER(_xlpm.u),_xlpm.u&gt;0,ISNUMBER(_xlpm.d),_xlpm.d&gt;=0,_xlpm.d&lt;1),
      ROUND(_xlpm.r/(_xlpm.u*(1-_xlpm.d)),0),
      ""
   )
)
)</f>
        <v>4</v>
      </c>
      <c r="H392" s="4">
        <f>_xlfn.LET(
_xlpm.q,RawData!G392,
_xlpm.u,RawData!H392,
_xlpm.d,RawData!I392,
_xlpm.r,RawData!J392,
IF(AND(ISNUMBER(_xlpm.u),_xlpm.u&gt;0),_xlpm.u,
   IF(AND(ISNUMBER(_xlpm.q),_xlpm.q&gt;0,ISNUMBER(_xlpm.r),ISNUMBER(_xlpm.d),_xlpm.d&gt;=0,_xlpm.d&lt;1),
      _xlpm.r/(_xlpm.q*(1-_xlpm.d)),
      ""
   )
)
)</f>
        <v>148.15</v>
      </c>
      <c r="I392" s="5">
        <f>_xlfn.LET(
_xlpm.q,RawData!G392,
_xlpm.u,RawData!H392,
_xlpm.d,RawData!I392,
_xlpm.r,RawData!J392,
IF(AND(ISNUMBER(_xlpm.d),_xlpm.d&gt;=0,_xlpm.d&lt;1),_xlpm.d,
   IF(AND(ISNUMBER(_xlpm.q),_xlpm.q&gt;0,ISNUMBER(_xlpm.u),_xlpm.u&gt;0,ISNUMBER(_xlpm.r),_xlpm.r&gt;=0),
      1-(_xlpm.r/(_xlpm.q*_xlpm.u)),
      ""
   )
)
)</f>
        <v>0.1</v>
      </c>
      <c r="J392" s="4">
        <f>_xlfn.LET(
_xlpm.q,RawData!G392,
_xlpm.u,RawData!H392,
_xlpm.d,RawData!I392,
_xlpm.r,RawData!J392,
IF(AND(ISNUMBER(_xlpm.r),_xlpm.r&gt;=0),_xlpm.r,
   IF(AND(ISNUMBER(_xlpm.q),_xlpm.q&gt;0,ISNUMBER(_xlpm.u),_xlpm.u&gt;0,ISNUMBER(_xlpm.d),_xlpm.d&gt;=0,_xlpm.d&lt;1),
      _xlpm.q*_xlpm.u*(1-_xlpm.d),
      ""
   )
)
)</f>
        <v>533.34</v>
      </c>
      <c r="K392" s="4">
        <f>_xlfn.LET(
_xlpm.c,RawData!K392,
_xlpm.r,RawData!J392,
_xlpm.p,RawData!L392,
IF(AND(ISNUMBER(_xlpm.c),_xlpm.c&gt;=0),_xlpm.c,
   IF(AND(ISNUMBER(_xlpm.r),ISNUMBER(_xlpm.p)),
      _xlpm.r-_xlpm.p,
      ""
   )
)
)</f>
        <v>371.49</v>
      </c>
      <c r="L392" s="4">
        <f>_xlfn.LET(
_xlpm.p,RawData!L392,
_xlpm.r,RawData!J392,
_xlpm.c,RawData!K392,
IF(ISNUMBER(_xlpm.p),_xlpm.p,
IF(AND(ISNUMBER(_xlpm.r),ISNUMBER(_xlpm.c)),
_xlpm.r-_xlpm.c,
""
)
))</f>
        <v>161.85</v>
      </c>
    </row>
    <row r="393" spans="1:12" x14ac:dyDescent="0.35">
      <c r="A393" t="s">
        <v>432</v>
      </c>
      <c r="B393" s="7">
        <v>45971</v>
      </c>
      <c r="C393" t="str">
        <f>IF(RawData!C393="","Unknown",PROPER(TRIM(CLEAN(SUBSTITUTE(RawData!C393,CHAR(160)," ")))))</f>
        <v>West</v>
      </c>
      <c r="D393" t="str">
        <f>IF(RawData!D393="","Unknown",PROPER(TRIM(CLEAN(SUBSTITUTE(RawData!D393,CHAR(160)," ")))))</f>
        <v>Mumbai</v>
      </c>
      <c r="E393" t="str">
        <f>IF(RawData!E393="","Unknown",PROPER(TRIM(CLEAN(SUBSTITUTE(RawData!E393,CHAR(160)," ")))))</f>
        <v>Keyboard</v>
      </c>
      <c r="F393" t="str">
        <f>IF(RawData!F393="","Unknown",PROPER(TRIM(CLEAN(SUBSTITUTE(RawData!F393,CHAR(160)," ")))))</f>
        <v>Accessories</v>
      </c>
      <c r="G393">
        <f>_xlfn.LET(
_xlpm.q,RawData!G393,
_xlpm.u,RawData!H393,
_xlpm.d,RawData!I393,
_xlpm.r,RawData!J393,
IF(AND(ISNUMBER(_xlpm.q),_xlpm.q&gt;0),_xlpm.q,
   IF(AND(ISNUMBER(_xlpm.r),ISNUMBER(_xlpm.u),_xlpm.u&gt;0,ISNUMBER(_xlpm.d),_xlpm.d&gt;=0,_xlpm.d&lt;1),
      ROUND(_xlpm.r/(_xlpm.u*(1-_xlpm.d)),0),
      ""
   )
)
)</f>
        <v>1</v>
      </c>
      <c r="H393" s="4">
        <f>_xlfn.LET(
_xlpm.q,RawData!G393,
_xlpm.u,RawData!H393,
_xlpm.d,RawData!I393,
_xlpm.r,RawData!J393,
IF(AND(ISNUMBER(_xlpm.u),_xlpm.u&gt;0),_xlpm.u,
   IF(AND(ISNUMBER(_xlpm.q),_xlpm.q&gt;0,ISNUMBER(_xlpm.r),ISNUMBER(_xlpm.d),_xlpm.d&gt;=0,_xlpm.d&lt;1),
      _xlpm.r/(_xlpm.q*(1-_xlpm.d)),
      ""
   )
)
)</f>
        <v>32.39</v>
      </c>
      <c r="I393" s="5">
        <f>_xlfn.LET(
_xlpm.q,RawData!G393,
_xlpm.u,RawData!H393,
_xlpm.d,RawData!I393,
_xlpm.r,RawData!J393,
IF(AND(ISNUMBER(_xlpm.d),_xlpm.d&gt;=0,_xlpm.d&lt;1),_xlpm.d,
   IF(AND(ISNUMBER(_xlpm.q),_xlpm.q&gt;0,ISNUMBER(_xlpm.u),_xlpm.u&gt;0,ISNUMBER(_xlpm.r),_xlpm.r&gt;=0),
      1-(_xlpm.r/(_xlpm.q*_xlpm.u)),
      ""
   )
)
)</f>
        <v>0.2</v>
      </c>
      <c r="J393" s="4">
        <f>_xlfn.LET(
_xlpm.q,RawData!G393,
_xlpm.u,RawData!H393,
_xlpm.d,RawData!I393,
_xlpm.r,RawData!J393,
IF(AND(ISNUMBER(_xlpm.r),_xlpm.r&gt;=0),_xlpm.r,
   IF(AND(ISNUMBER(_xlpm.q),_xlpm.q&gt;0,ISNUMBER(_xlpm.u),_xlpm.u&gt;0,ISNUMBER(_xlpm.d),_xlpm.d&gt;=0,_xlpm.d&lt;1),
      _xlpm.q*_xlpm.u*(1-_xlpm.d),
      ""
   )
)
)</f>
        <v>25.91</v>
      </c>
      <c r="K393" s="4">
        <f>_xlfn.LET(
_xlpm.c,RawData!K393,
_xlpm.r,RawData!J393,
_xlpm.p,RawData!L393,
IF(AND(ISNUMBER(_xlpm.c),_xlpm.c&gt;=0),_xlpm.c,
   IF(AND(ISNUMBER(_xlpm.r),ISNUMBER(_xlpm.p)),
      _xlpm.r-_xlpm.p,
      ""
   )
)
)</f>
        <v>16.670000000000002</v>
      </c>
      <c r="L393" s="4">
        <f>_xlfn.LET(
_xlpm.p,RawData!L393,
_xlpm.r,RawData!J393,
_xlpm.c,RawData!K393,
IF(ISNUMBER(_xlpm.p),_xlpm.p,
IF(AND(ISNUMBER(_xlpm.r),ISNUMBER(_xlpm.c)),
_xlpm.r-_xlpm.c,
""
)
))</f>
        <v>9.24</v>
      </c>
    </row>
    <row r="394" spans="1:12" x14ac:dyDescent="0.35">
      <c r="A394" t="s">
        <v>433</v>
      </c>
      <c r="B394" s="7">
        <v>45923</v>
      </c>
      <c r="C394" t="str">
        <f>IF(RawData!C394="","Unknown",PROPER(TRIM(CLEAN(SUBSTITUTE(RawData!C394,CHAR(160)," ")))))</f>
        <v>South</v>
      </c>
      <c r="D394" t="str">
        <f>IF(RawData!D394="","Unknown",PROPER(TRIM(CLEAN(SUBSTITUTE(RawData!D394,CHAR(160)," ")))))</f>
        <v>Chennai</v>
      </c>
      <c r="E394" t="str">
        <f>IF(RawData!E394="","Unknown",PROPER(TRIM(CLEAN(SUBSTITUTE(RawData!E394,CHAR(160)," ")))))</f>
        <v>Notebook</v>
      </c>
      <c r="F394" t="str">
        <f>IF(RawData!F394="","Unknown",PROPER(TRIM(CLEAN(SUBSTITUTE(RawData!F394,CHAR(160)," ")))))</f>
        <v>Office Supplies</v>
      </c>
      <c r="G394">
        <f>_xlfn.LET(
_xlpm.q,RawData!G394,
_xlpm.u,RawData!H394,
_xlpm.d,RawData!I394,
_xlpm.r,RawData!J394,
IF(AND(ISNUMBER(_xlpm.q),_xlpm.q&gt;0),_xlpm.q,
   IF(AND(ISNUMBER(_xlpm.r),ISNUMBER(_xlpm.u),_xlpm.u&gt;0,ISNUMBER(_xlpm.d),_xlpm.d&gt;=0,_xlpm.d&lt;1),
      ROUND(_xlpm.r/(_xlpm.u*(1-_xlpm.d)),0),
      ""
   )
)
)</f>
        <v>6</v>
      </c>
      <c r="H394" s="4">
        <f>_xlfn.LET(
_xlpm.q,RawData!G394,
_xlpm.u,RawData!H394,
_xlpm.d,RawData!I394,
_xlpm.r,RawData!J394,
IF(AND(ISNUMBER(_xlpm.u),_xlpm.u&gt;0),_xlpm.u,
   IF(AND(ISNUMBER(_xlpm.q),_xlpm.q&gt;0,ISNUMBER(_xlpm.r),ISNUMBER(_xlpm.d),_xlpm.d&gt;=0,_xlpm.d&lt;1),
      _xlpm.r/(_xlpm.q*(1-_xlpm.d)),
      ""
   )
)
)</f>
        <v>7.24</v>
      </c>
      <c r="I394" s="5">
        <f>_xlfn.LET(
_xlpm.q,RawData!G394,
_xlpm.u,RawData!H394,
_xlpm.d,RawData!I394,
_xlpm.r,RawData!J394,
IF(AND(ISNUMBER(_xlpm.d),_xlpm.d&gt;=0,_xlpm.d&lt;1),_xlpm.d,
   IF(AND(ISNUMBER(_xlpm.q),_xlpm.q&gt;0,ISNUMBER(_xlpm.u),_xlpm.u&gt;0,ISNUMBER(_xlpm.r),_xlpm.r&gt;=0),
      1-(_xlpm.r/(_xlpm.q*_xlpm.u)),
      ""
   )
)
)</f>
        <v>0.2</v>
      </c>
      <c r="J394" s="4">
        <f>_xlfn.LET(
_xlpm.q,RawData!G394,
_xlpm.u,RawData!H394,
_xlpm.d,RawData!I394,
_xlpm.r,RawData!J394,
IF(AND(ISNUMBER(_xlpm.r),_xlpm.r&gt;=0),_xlpm.r,
   IF(AND(ISNUMBER(_xlpm.q),_xlpm.q&gt;0,ISNUMBER(_xlpm.u),_xlpm.u&gt;0,ISNUMBER(_xlpm.d),_xlpm.d&gt;=0,_xlpm.d&lt;1),
      _xlpm.q*_xlpm.u*(1-_xlpm.d),
      ""
   )
)
)</f>
        <v>34.75</v>
      </c>
      <c r="K394" s="4">
        <f>_xlfn.LET(
_xlpm.c,RawData!K394,
_xlpm.r,RawData!J394,
_xlpm.p,RawData!L394,
IF(AND(ISNUMBER(_xlpm.c),_xlpm.c&gt;=0),_xlpm.c,
   IF(AND(ISNUMBER(_xlpm.r),ISNUMBER(_xlpm.p)),
      _xlpm.r-_xlpm.p,
      ""
   )
)
)</f>
        <v>27.64</v>
      </c>
      <c r="L394" s="4">
        <f>_xlfn.LET(
_xlpm.p,RawData!L394,
_xlpm.r,RawData!J394,
_xlpm.c,RawData!K394,
IF(ISNUMBER(_xlpm.p),_xlpm.p,
IF(AND(ISNUMBER(_xlpm.r),ISNUMBER(_xlpm.c)),
_xlpm.r-_xlpm.c,
""
)
))</f>
        <v>7.11</v>
      </c>
    </row>
    <row r="395" spans="1:12" x14ac:dyDescent="0.35">
      <c r="A395" t="s">
        <v>434</v>
      </c>
      <c r="B395" s="7">
        <v>45927</v>
      </c>
      <c r="C395" t="str">
        <f>IF(RawData!C395="","Unknown",PROPER(TRIM(CLEAN(SUBSTITUTE(RawData!C395,CHAR(160)," ")))))</f>
        <v>West</v>
      </c>
      <c r="D395" t="str">
        <f>IF(RawData!D395="","Unknown",PROPER(TRIM(CLEAN(SUBSTITUTE(RawData!D395,CHAR(160)," ")))))</f>
        <v>Ahmedabad</v>
      </c>
      <c r="E395" t="str">
        <f>IF(RawData!E395="","Unknown",PROPER(TRIM(CLEAN(SUBSTITUTE(RawData!E395,CHAR(160)," ")))))</f>
        <v>Desk</v>
      </c>
      <c r="F395" t="str">
        <f>IF(RawData!F395="","Unknown",PROPER(TRIM(CLEAN(SUBSTITUTE(RawData!F395,CHAR(160)," ")))))</f>
        <v>Furniture</v>
      </c>
      <c r="G395">
        <f>_xlfn.LET(
_xlpm.q,RawData!G395,
_xlpm.u,RawData!H395,
_xlpm.d,RawData!I395,
_xlpm.r,RawData!J395,
IF(AND(ISNUMBER(_xlpm.q),_xlpm.q&gt;0),_xlpm.q,
   IF(AND(ISNUMBER(_xlpm.r),ISNUMBER(_xlpm.u),_xlpm.u&gt;0,ISNUMBER(_xlpm.d),_xlpm.d&gt;=0,_xlpm.d&lt;1),
      ROUND(_xlpm.r/(_xlpm.u*(1-_xlpm.d)),0),
      ""
   )
)
)</f>
        <v>3</v>
      </c>
      <c r="H395" s="4">
        <f>_xlfn.LET(
_xlpm.q,RawData!G395,
_xlpm.u,RawData!H395,
_xlpm.d,RawData!I395,
_xlpm.r,RawData!J395,
IF(AND(ISNUMBER(_xlpm.u),_xlpm.u&gt;0),_xlpm.u,
   IF(AND(ISNUMBER(_xlpm.q),_xlpm.q&gt;0,ISNUMBER(_xlpm.r),ISNUMBER(_xlpm.d),_xlpm.d&gt;=0,_xlpm.d&lt;1),
      _xlpm.r/(_xlpm.q*(1-_xlpm.d)),
      ""
   )
)
)</f>
        <v>256.25</v>
      </c>
      <c r="I395" s="5">
        <f>_xlfn.LET(
_xlpm.q,RawData!G395,
_xlpm.u,RawData!H395,
_xlpm.d,RawData!I395,
_xlpm.r,RawData!J395,
IF(AND(ISNUMBER(_xlpm.d),_xlpm.d&gt;=0,_xlpm.d&lt;1),_xlpm.d,
   IF(AND(ISNUMBER(_xlpm.q),_xlpm.q&gt;0,ISNUMBER(_xlpm.u),_xlpm.u&gt;0,ISNUMBER(_xlpm.r),_xlpm.r&gt;=0),
      1-(_xlpm.r/(_xlpm.q*_xlpm.u)),
      ""
   )
)
)</f>
        <v>0.1</v>
      </c>
      <c r="J395" s="4">
        <f>_xlfn.LET(
_xlpm.q,RawData!G395,
_xlpm.u,RawData!H395,
_xlpm.d,RawData!I395,
_xlpm.r,RawData!J395,
IF(AND(ISNUMBER(_xlpm.r),_xlpm.r&gt;=0),_xlpm.r,
   IF(AND(ISNUMBER(_xlpm.q),_xlpm.q&gt;0,ISNUMBER(_xlpm.u),_xlpm.u&gt;0,ISNUMBER(_xlpm.d),_xlpm.d&gt;=0,_xlpm.d&lt;1),
      _xlpm.q*_xlpm.u*(1-_xlpm.d),
      ""
   )
)
)</f>
        <v>691.88</v>
      </c>
      <c r="K395" s="4">
        <f>_xlfn.LET(
_xlpm.c,RawData!K395,
_xlpm.r,RawData!J395,
_xlpm.p,RawData!L395,
IF(AND(ISNUMBER(_xlpm.c),_xlpm.c&gt;=0),_xlpm.c,
   IF(AND(ISNUMBER(_xlpm.r),ISNUMBER(_xlpm.p)),
      _xlpm.r-_xlpm.p,
      ""
   )
)
)</f>
        <v>455.42</v>
      </c>
      <c r="L395" s="4">
        <f>_xlfn.LET(
_xlpm.p,RawData!L395,
_xlpm.r,RawData!J395,
_xlpm.c,RawData!K395,
IF(ISNUMBER(_xlpm.p),_xlpm.p,
IF(AND(ISNUMBER(_xlpm.r),ISNUMBER(_xlpm.c)),
_xlpm.r-_xlpm.c,
""
)
))</f>
        <v>236.46</v>
      </c>
    </row>
    <row r="396" spans="1:12" x14ac:dyDescent="0.35">
      <c r="A396" t="s">
        <v>435</v>
      </c>
      <c r="B396" s="7">
        <v>45833</v>
      </c>
      <c r="C396" t="str">
        <f>IF(RawData!C396="","Unknown",PROPER(TRIM(CLEAN(SUBSTITUTE(RawData!C396,CHAR(160)," ")))))</f>
        <v>East</v>
      </c>
      <c r="D396" t="str">
        <f>IF(RawData!D396="","Unknown",PROPER(TRIM(CLEAN(SUBSTITUTE(RawData!D396,CHAR(160)," ")))))</f>
        <v>Bhubaneswar</v>
      </c>
      <c r="E396" t="str">
        <f>IF(RawData!E396="","Unknown",PROPER(TRIM(CLEAN(SUBSTITUTE(RawData!E396,CHAR(160)," ")))))</f>
        <v>Backpack</v>
      </c>
      <c r="F396" t="str">
        <f>IF(RawData!F396="","Unknown",PROPER(TRIM(CLEAN(SUBSTITUTE(RawData!F396,CHAR(160)," ")))))</f>
        <v>Accessories</v>
      </c>
      <c r="G396">
        <f>_xlfn.LET(
_xlpm.q,RawData!G396,
_xlpm.u,RawData!H396,
_xlpm.d,RawData!I396,
_xlpm.r,RawData!J396,
IF(AND(ISNUMBER(_xlpm.q),_xlpm.q&gt;0),_xlpm.q,
   IF(AND(ISNUMBER(_xlpm.r),ISNUMBER(_xlpm.u),_xlpm.u&gt;0,ISNUMBER(_xlpm.d),_xlpm.d&gt;=0,_xlpm.d&lt;1),
      ROUND(_xlpm.r/(_xlpm.u*(1-_xlpm.d)),0),
      ""
   )
)
)</f>
        <v>5</v>
      </c>
      <c r="H396" s="4">
        <f>_xlfn.LET(
_xlpm.q,RawData!G396,
_xlpm.u,RawData!H396,
_xlpm.d,RawData!I396,
_xlpm.r,RawData!J396,
IF(AND(ISNUMBER(_xlpm.u),_xlpm.u&gt;0),_xlpm.u,
   IF(AND(ISNUMBER(_xlpm.q),_xlpm.q&gt;0,ISNUMBER(_xlpm.r),ISNUMBER(_xlpm.d),_xlpm.d&gt;=0,_xlpm.d&lt;1),
      _xlpm.r/(_xlpm.q*(1-_xlpm.d)),
      ""
   )
)
)</f>
        <v>44.49</v>
      </c>
      <c r="I396" s="5">
        <f>_xlfn.LET(
_xlpm.q,RawData!G396,
_xlpm.u,RawData!H396,
_xlpm.d,RawData!I396,
_xlpm.r,RawData!J396,
IF(AND(ISNUMBER(_xlpm.d),_xlpm.d&gt;=0,_xlpm.d&lt;1),_xlpm.d,
   IF(AND(ISNUMBER(_xlpm.q),_xlpm.q&gt;0,ISNUMBER(_xlpm.u),_xlpm.u&gt;0,ISNUMBER(_xlpm.r),_xlpm.r&gt;=0),
      1-(_xlpm.r/(_xlpm.q*_xlpm.u)),
      ""
   )
)
)</f>
        <v>0.15</v>
      </c>
      <c r="J396" s="4">
        <f>_xlfn.LET(
_xlpm.q,RawData!G396,
_xlpm.u,RawData!H396,
_xlpm.d,RawData!I396,
_xlpm.r,RawData!J396,
IF(AND(ISNUMBER(_xlpm.r),_xlpm.r&gt;=0),_xlpm.r,
   IF(AND(ISNUMBER(_xlpm.q),_xlpm.q&gt;0,ISNUMBER(_xlpm.u),_xlpm.u&gt;0,ISNUMBER(_xlpm.d),_xlpm.d&gt;=0,_xlpm.d&lt;1),
      _xlpm.q*_xlpm.u*(1-_xlpm.d),
      ""
   )
)
)</f>
        <v>189.08</v>
      </c>
      <c r="K396" s="4">
        <f>_xlfn.LET(
_xlpm.c,RawData!K396,
_xlpm.r,RawData!J396,
_xlpm.p,RawData!L396,
IF(AND(ISNUMBER(_xlpm.c),_xlpm.c&gt;=0),_xlpm.c,
   IF(AND(ISNUMBER(_xlpm.r),ISNUMBER(_xlpm.p)),
      _xlpm.r-_xlpm.p,
      ""
   )
)
)</f>
        <v>152.35</v>
      </c>
      <c r="L396" s="4">
        <f>_xlfn.LET(
_xlpm.p,RawData!L396,
_xlpm.r,RawData!J396,
_xlpm.c,RawData!K396,
IF(ISNUMBER(_xlpm.p),_xlpm.p,
IF(AND(ISNUMBER(_xlpm.r),ISNUMBER(_xlpm.c)),
_xlpm.r-_xlpm.c,
""
)
))</f>
        <v>36.729999999999997</v>
      </c>
    </row>
    <row r="397" spans="1:12" x14ac:dyDescent="0.35">
      <c r="A397" t="s">
        <v>436</v>
      </c>
      <c r="B397" s="7">
        <v>45756</v>
      </c>
      <c r="C397" t="str">
        <f>IF(RawData!C397="","Unknown",PROPER(TRIM(CLEAN(SUBSTITUTE(RawData!C397,CHAR(160)," ")))))</f>
        <v>South</v>
      </c>
      <c r="D397" t="str">
        <f>IF(RawData!D397="","Unknown",PROPER(TRIM(CLEAN(SUBSTITUTE(RawData!D397,CHAR(160)," ")))))</f>
        <v>Hyderabad</v>
      </c>
      <c r="E397" t="str">
        <f>IF(RawData!E397="","Unknown",PROPER(TRIM(CLEAN(SUBSTITUTE(RawData!E397,CHAR(160)," ")))))</f>
        <v>Office Chair</v>
      </c>
      <c r="F397" t="str">
        <f>IF(RawData!F397="","Unknown",PROPER(TRIM(CLEAN(SUBSTITUTE(RawData!F397,CHAR(160)," ")))))</f>
        <v>Furniture</v>
      </c>
      <c r="G397">
        <f>_xlfn.LET(
_xlpm.q,RawData!G397,
_xlpm.u,RawData!H397,
_xlpm.d,RawData!I397,
_xlpm.r,RawData!J397,
IF(AND(ISNUMBER(_xlpm.q),_xlpm.q&gt;0),_xlpm.q,
   IF(AND(ISNUMBER(_xlpm.r),ISNUMBER(_xlpm.u),_xlpm.u&gt;0,ISNUMBER(_xlpm.d),_xlpm.d&gt;=0,_xlpm.d&lt;1),
      ROUND(_xlpm.r/(_xlpm.u*(1-_xlpm.d)),0),
      ""
   )
)
)</f>
        <v>9</v>
      </c>
      <c r="H397" s="4">
        <f>_xlfn.LET(
_xlpm.q,RawData!G397,
_xlpm.u,RawData!H397,
_xlpm.d,RawData!I397,
_xlpm.r,RawData!J397,
IF(AND(ISNUMBER(_xlpm.u),_xlpm.u&gt;0),_xlpm.u,
   IF(AND(ISNUMBER(_xlpm.q),_xlpm.q&gt;0,ISNUMBER(_xlpm.r),ISNUMBER(_xlpm.d),_xlpm.d&gt;=0,_xlpm.d&lt;1),
      _xlpm.r/(_xlpm.q*(1-_xlpm.d)),
      ""
   )
)
)</f>
        <v>161.28</v>
      </c>
      <c r="I397" s="5">
        <f>_xlfn.LET(
_xlpm.q,RawData!G397,
_xlpm.u,RawData!H397,
_xlpm.d,RawData!I397,
_xlpm.r,RawData!J397,
IF(AND(ISNUMBER(_xlpm.d),_xlpm.d&gt;=0,_xlpm.d&lt;1),_xlpm.d,
   IF(AND(ISNUMBER(_xlpm.q),_xlpm.q&gt;0,ISNUMBER(_xlpm.u),_xlpm.u&gt;0,ISNUMBER(_xlpm.r),_xlpm.r&gt;=0),
      1-(_xlpm.r/(_xlpm.q*_xlpm.u)),
      ""
   )
)
)</f>
        <v>0.05</v>
      </c>
      <c r="J397" s="4">
        <f>_xlfn.LET(
_xlpm.q,RawData!G397,
_xlpm.u,RawData!H397,
_xlpm.d,RawData!I397,
_xlpm.r,RawData!J397,
IF(AND(ISNUMBER(_xlpm.r),_xlpm.r&gt;=0),_xlpm.r,
   IF(AND(ISNUMBER(_xlpm.q),_xlpm.q&gt;0,ISNUMBER(_xlpm.u),_xlpm.u&gt;0,ISNUMBER(_xlpm.d),_xlpm.d&gt;=0,_xlpm.d&lt;1),
      _xlpm.q*_xlpm.u*(1-_xlpm.d),
      ""
   )
)
)</f>
        <v>1378.94</v>
      </c>
      <c r="K397" s="4">
        <f>_xlfn.LET(
_xlpm.c,RawData!K397,
_xlpm.r,RawData!J397,
_xlpm.p,RawData!L397,
IF(AND(ISNUMBER(_xlpm.c),_xlpm.c&gt;=0),_xlpm.c,
   IF(AND(ISNUMBER(_xlpm.r),ISNUMBER(_xlpm.p)),
      _xlpm.r-_xlpm.p,
      ""
   )
)
)</f>
        <v>976.68</v>
      </c>
      <c r="L397" s="4">
        <f>_xlfn.LET(
_xlpm.p,RawData!L397,
_xlpm.r,RawData!J397,
_xlpm.c,RawData!K397,
IF(ISNUMBER(_xlpm.p),_xlpm.p,
IF(AND(ISNUMBER(_xlpm.r),ISNUMBER(_xlpm.c)),
_xlpm.r-_xlpm.c,
""
)
))</f>
        <v>402.26</v>
      </c>
    </row>
    <row r="398" spans="1:12" x14ac:dyDescent="0.35">
      <c r="A398" t="s">
        <v>437</v>
      </c>
      <c r="B398" s="7">
        <v>45810</v>
      </c>
      <c r="C398" t="str">
        <f>IF(RawData!C398="","Unknown",PROPER(TRIM(CLEAN(SUBSTITUTE(RawData!C398,CHAR(160)," ")))))</f>
        <v>East</v>
      </c>
      <c r="D398" t="str">
        <f>IF(RawData!D398="","Unknown",PROPER(TRIM(CLEAN(SUBSTITUTE(RawData!D398,CHAR(160)," ")))))</f>
        <v>Patna</v>
      </c>
      <c r="E398" t="str">
        <f>IF(RawData!E398="","Unknown",PROPER(TRIM(CLEAN(SUBSTITUTE(RawData!E398,CHAR(160)," ")))))</f>
        <v>Keyboard</v>
      </c>
      <c r="F398" t="str">
        <f>IF(RawData!F398="","Unknown",PROPER(TRIM(CLEAN(SUBSTITUTE(RawData!F398,CHAR(160)," ")))))</f>
        <v>Accessories</v>
      </c>
      <c r="G398">
        <f>_xlfn.LET(
_xlpm.q,RawData!G398,
_xlpm.u,RawData!H398,
_xlpm.d,RawData!I398,
_xlpm.r,RawData!J398,
IF(AND(ISNUMBER(_xlpm.q),_xlpm.q&gt;0),_xlpm.q,
   IF(AND(ISNUMBER(_xlpm.r),ISNUMBER(_xlpm.u),_xlpm.u&gt;0,ISNUMBER(_xlpm.d),_xlpm.d&gt;=0,_xlpm.d&lt;1),
      ROUND(_xlpm.r/(_xlpm.u*(1-_xlpm.d)),0),
      ""
   )
)
)</f>
        <v>4</v>
      </c>
      <c r="H398" s="4">
        <f>_xlfn.LET(
_xlpm.q,RawData!G398,
_xlpm.u,RawData!H398,
_xlpm.d,RawData!I398,
_xlpm.r,RawData!J398,
IF(AND(ISNUMBER(_xlpm.u),_xlpm.u&gt;0),_xlpm.u,
   IF(AND(ISNUMBER(_xlpm.q),_xlpm.q&gt;0,ISNUMBER(_xlpm.r),ISNUMBER(_xlpm.d),_xlpm.d&gt;=0,_xlpm.d&lt;1),
      _xlpm.r/(_xlpm.q*(1-_xlpm.d)),
      ""
   )
)
)</f>
        <v>35.06</v>
      </c>
      <c r="I398" s="5">
        <f>_xlfn.LET(
_xlpm.q,RawData!G398,
_xlpm.u,RawData!H398,
_xlpm.d,RawData!I398,
_xlpm.r,RawData!J398,
IF(AND(ISNUMBER(_xlpm.d),_xlpm.d&gt;=0,_xlpm.d&lt;1),_xlpm.d,
   IF(AND(ISNUMBER(_xlpm.q),_xlpm.q&gt;0,ISNUMBER(_xlpm.u),_xlpm.u&gt;0,ISNUMBER(_xlpm.r),_xlpm.r&gt;=0),
      1-(_xlpm.r/(_xlpm.q*_xlpm.u)),
      ""
   )
)
)</f>
        <v>0.2</v>
      </c>
      <c r="J398" s="4">
        <f>_xlfn.LET(
_xlpm.q,RawData!G398,
_xlpm.u,RawData!H398,
_xlpm.d,RawData!I398,
_xlpm.r,RawData!J398,
IF(AND(ISNUMBER(_xlpm.r),_xlpm.r&gt;=0),_xlpm.r,
   IF(AND(ISNUMBER(_xlpm.q),_xlpm.q&gt;0,ISNUMBER(_xlpm.u),_xlpm.u&gt;0,ISNUMBER(_xlpm.d),_xlpm.d&gt;=0,_xlpm.d&lt;1),
      _xlpm.q*_xlpm.u*(1-_xlpm.d),
      ""
   )
)
)</f>
        <v>112.19</v>
      </c>
      <c r="K398" s="4">
        <f>_xlfn.LET(
_xlpm.c,RawData!K398,
_xlpm.r,RawData!J398,
_xlpm.p,RawData!L398,
IF(AND(ISNUMBER(_xlpm.c),_xlpm.c&gt;=0),_xlpm.c,
   IF(AND(ISNUMBER(_xlpm.r),ISNUMBER(_xlpm.p)),
      _xlpm.r-_xlpm.p,
      ""
   )
)
)</f>
        <v>80.23</v>
      </c>
      <c r="L398" s="4">
        <f>_xlfn.LET(
_xlpm.p,RawData!L398,
_xlpm.r,RawData!J398,
_xlpm.c,RawData!K398,
IF(ISNUMBER(_xlpm.p),_xlpm.p,
IF(AND(ISNUMBER(_xlpm.r),ISNUMBER(_xlpm.c)),
_xlpm.r-_xlpm.c,
""
)
))</f>
        <v>31.96</v>
      </c>
    </row>
    <row r="399" spans="1:12" x14ac:dyDescent="0.35">
      <c r="A399" t="s">
        <v>438</v>
      </c>
      <c r="B399" s="7">
        <v>45908</v>
      </c>
      <c r="C399" t="str">
        <f>IF(RawData!C399="","Unknown",PROPER(TRIM(CLEAN(SUBSTITUTE(RawData!C399,CHAR(160)," ")))))</f>
        <v>East</v>
      </c>
      <c r="D399" t="str">
        <f>IF(RawData!D399="","Unknown",PROPER(TRIM(CLEAN(SUBSTITUTE(RawData!D399,CHAR(160)," ")))))</f>
        <v>Patna</v>
      </c>
      <c r="E399" t="str">
        <f>IF(RawData!E399="","Unknown",PROPER(TRIM(CLEAN(SUBSTITUTE(RawData!E399,CHAR(160)," ")))))</f>
        <v>Printer</v>
      </c>
      <c r="F399" t="str">
        <f>IF(RawData!F399="","Unknown",PROPER(TRIM(CLEAN(SUBSTITUTE(RawData!F399,CHAR(160)," ")))))</f>
        <v>Office Supplies</v>
      </c>
      <c r="G399">
        <f>_xlfn.LET(
_xlpm.q,RawData!G399,
_xlpm.u,RawData!H399,
_xlpm.d,RawData!I399,
_xlpm.r,RawData!J399,
IF(AND(ISNUMBER(_xlpm.q),_xlpm.q&gt;0),_xlpm.q,
   IF(AND(ISNUMBER(_xlpm.r),ISNUMBER(_xlpm.u),_xlpm.u&gt;0,ISNUMBER(_xlpm.d),_xlpm.d&gt;=0,_xlpm.d&lt;1),
      ROUND(_xlpm.r/(_xlpm.u*(1-_xlpm.d)),0),
      ""
   )
)
)</f>
        <v>6</v>
      </c>
      <c r="H399" s="4">
        <f>_xlfn.LET(
_xlpm.q,RawData!G399,
_xlpm.u,RawData!H399,
_xlpm.d,RawData!I399,
_xlpm.r,RawData!J399,
IF(AND(ISNUMBER(_xlpm.u),_xlpm.u&gt;0),_xlpm.u,
   IF(AND(ISNUMBER(_xlpm.q),_xlpm.q&gt;0,ISNUMBER(_xlpm.r),ISNUMBER(_xlpm.d),_xlpm.d&gt;=0,_xlpm.d&lt;1),
      _xlpm.r/(_xlpm.q*(1-_xlpm.d)),
      ""
   )
)
)</f>
        <v>136.87</v>
      </c>
      <c r="I399" s="5">
        <f>_xlfn.LET(
_xlpm.q,RawData!G399,
_xlpm.u,RawData!H399,
_xlpm.d,RawData!I399,
_xlpm.r,RawData!J399,
IF(AND(ISNUMBER(_xlpm.d),_xlpm.d&gt;=0,_xlpm.d&lt;1),_xlpm.d,
   IF(AND(ISNUMBER(_xlpm.q),_xlpm.q&gt;0,ISNUMBER(_xlpm.u),_xlpm.u&gt;0,ISNUMBER(_xlpm.r),_xlpm.r&gt;=0),
      1-(_xlpm.r/(_xlpm.q*_xlpm.u)),
      ""
   )
)
)</f>
        <v>0.15</v>
      </c>
      <c r="J399" s="4">
        <f>_xlfn.LET(
_xlpm.q,RawData!G399,
_xlpm.u,RawData!H399,
_xlpm.d,RawData!I399,
_xlpm.r,RawData!J399,
IF(AND(ISNUMBER(_xlpm.r),_xlpm.r&gt;=0),_xlpm.r,
   IF(AND(ISNUMBER(_xlpm.q),_xlpm.q&gt;0,ISNUMBER(_xlpm.u),_xlpm.u&gt;0,ISNUMBER(_xlpm.d),_xlpm.d&gt;=0,_xlpm.d&lt;1),
      _xlpm.q*_xlpm.u*(1-_xlpm.d),
      ""
   )
)
)</f>
        <v>698.04</v>
      </c>
      <c r="K399" s="4">
        <f>_xlfn.LET(
_xlpm.c,RawData!K399,
_xlpm.r,RawData!J399,
_xlpm.p,RawData!L399,
IF(AND(ISNUMBER(_xlpm.c),_xlpm.c&gt;=0),_xlpm.c,
   IF(AND(ISNUMBER(_xlpm.r),ISNUMBER(_xlpm.p)),
      _xlpm.r-_xlpm.p,
      ""
   )
)
)</f>
        <v>548.29</v>
      </c>
      <c r="L399" s="4">
        <f>_xlfn.LET(
_xlpm.p,RawData!L399,
_xlpm.r,RawData!J399,
_xlpm.c,RawData!K399,
IF(ISNUMBER(_xlpm.p),_xlpm.p,
IF(AND(ISNUMBER(_xlpm.r),ISNUMBER(_xlpm.c)),
_xlpm.r-_xlpm.c,
""
)
))</f>
        <v>149.75</v>
      </c>
    </row>
    <row r="400" spans="1:12" x14ac:dyDescent="0.35">
      <c r="A400" t="s">
        <v>439</v>
      </c>
      <c r="B400" s="7">
        <v>45798</v>
      </c>
      <c r="C400" t="str">
        <f>IF(RawData!C400="","Unknown",PROPER(TRIM(CLEAN(SUBSTITUTE(RawData!C400,CHAR(160)," ")))))</f>
        <v>East</v>
      </c>
      <c r="D400" t="str">
        <f>IF(RawData!D400="","Unknown",PROPER(TRIM(CLEAN(SUBSTITUTE(RawData!D400,CHAR(160)," ")))))</f>
        <v>Patna</v>
      </c>
      <c r="E400" t="str">
        <f>IF(RawData!E400="","Unknown",PROPER(TRIM(CLEAN(SUBSTITUTE(RawData!E400,CHAR(160)," ")))))</f>
        <v>Smartphone</v>
      </c>
      <c r="F400" t="str">
        <f>IF(RawData!F400="","Unknown",PROPER(TRIM(CLEAN(SUBSTITUTE(RawData!F400,CHAR(160)," ")))))</f>
        <v>Electronics</v>
      </c>
      <c r="G400">
        <f>_xlfn.LET(
_xlpm.q,RawData!G400,
_xlpm.u,RawData!H400,
_xlpm.d,RawData!I400,
_xlpm.r,RawData!J400,
IF(AND(ISNUMBER(_xlpm.q),_xlpm.q&gt;0),_xlpm.q,
   IF(AND(ISNUMBER(_xlpm.r),ISNUMBER(_xlpm.u),_xlpm.u&gt;0,ISNUMBER(_xlpm.d),_xlpm.d&gt;=0,_xlpm.d&lt;1),
      ROUND(_xlpm.r/(_xlpm.u*(1-_xlpm.d)),0),
      ""
   )
)
)</f>
        <v>10</v>
      </c>
      <c r="H400" s="4">
        <f>_xlfn.LET(
_xlpm.q,RawData!G400,
_xlpm.u,RawData!H400,
_xlpm.d,RawData!I400,
_xlpm.r,RawData!J400,
IF(AND(ISNUMBER(_xlpm.u),_xlpm.u&gt;0),_xlpm.u,
   IF(AND(ISNUMBER(_xlpm.q),_xlpm.q&gt;0,ISNUMBER(_xlpm.r),ISNUMBER(_xlpm.d),_xlpm.d&gt;=0,_xlpm.d&lt;1),
      _xlpm.r/(_xlpm.q*(1-_xlpm.d)),
      ""
   )
)
)</f>
        <v>621.29999999999995</v>
      </c>
      <c r="I400" s="5">
        <f>_xlfn.LET(
_xlpm.q,RawData!G400,
_xlpm.u,RawData!H400,
_xlpm.d,RawData!I400,
_xlpm.r,RawData!J400,
IF(AND(ISNUMBER(_xlpm.d),_xlpm.d&gt;=0,_xlpm.d&lt;1),_xlpm.d,
   IF(AND(ISNUMBER(_xlpm.q),_xlpm.q&gt;0,ISNUMBER(_xlpm.u),_xlpm.u&gt;0,ISNUMBER(_xlpm.r),_xlpm.r&gt;=0),
      1-(_xlpm.r/(_xlpm.q*_xlpm.u)),
      ""
   )
)
)</f>
        <v>0.2</v>
      </c>
      <c r="J400" s="4">
        <f>_xlfn.LET(
_xlpm.q,RawData!G400,
_xlpm.u,RawData!H400,
_xlpm.d,RawData!I400,
_xlpm.r,RawData!J400,
IF(AND(ISNUMBER(_xlpm.r),_xlpm.r&gt;=0),_xlpm.r,
   IF(AND(ISNUMBER(_xlpm.q),_xlpm.q&gt;0,ISNUMBER(_xlpm.u),_xlpm.u&gt;0,ISNUMBER(_xlpm.d),_xlpm.d&gt;=0,_xlpm.d&lt;1),
      _xlpm.q*_xlpm.u*(1-_xlpm.d),
      ""
   )
)
)</f>
        <v>4970.3999999999996</v>
      </c>
      <c r="K400" s="4">
        <f>_xlfn.LET(
_xlpm.c,RawData!K400,
_xlpm.r,RawData!J400,
_xlpm.p,RawData!L400,
IF(AND(ISNUMBER(_xlpm.c),_xlpm.c&gt;=0),_xlpm.c,
   IF(AND(ISNUMBER(_xlpm.r),ISNUMBER(_xlpm.p)),
      _xlpm.r-_xlpm.p,
      ""
   )
)
)</f>
        <v>3492.13</v>
      </c>
      <c r="L400" s="4">
        <f>_xlfn.LET(
_xlpm.p,RawData!L400,
_xlpm.r,RawData!J400,
_xlpm.c,RawData!K400,
IF(ISNUMBER(_xlpm.p),_xlpm.p,
IF(AND(ISNUMBER(_xlpm.r),ISNUMBER(_xlpm.c)),
_xlpm.r-_xlpm.c,
""
)
))</f>
        <v>1478.27</v>
      </c>
    </row>
    <row r="401" spans="1:12" x14ac:dyDescent="0.35">
      <c r="A401" t="s">
        <v>440</v>
      </c>
      <c r="B401" s="7">
        <v>45852</v>
      </c>
      <c r="C401" t="str">
        <f>IF(RawData!C401="","Unknown",PROPER(TRIM(CLEAN(SUBSTITUTE(RawData!C401,CHAR(160)," ")))))</f>
        <v>West</v>
      </c>
      <c r="D401" t="str">
        <f>IF(RawData!D401="","Unknown",PROPER(TRIM(CLEAN(SUBSTITUTE(RawData!D401,CHAR(160)," ")))))</f>
        <v>Mumbai</v>
      </c>
      <c r="E401" t="str">
        <f>IF(RawData!E401="","Unknown",PROPER(TRIM(CLEAN(SUBSTITUTE(RawData!E401,CHAR(160)," ")))))</f>
        <v>Desk</v>
      </c>
      <c r="F401" t="str">
        <f>IF(RawData!F401="","Unknown",PROPER(TRIM(CLEAN(SUBSTITUTE(RawData!F401,CHAR(160)," ")))))</f>
        <v>Furniture</v>
      </c>
      <c r="G401">
        <f>_xlfn.LET(
_xlpm.q,RawData!G401,
_xlpm.u,RawData!H401,
_xlpm.d,RawData!I401,
_xlpm.r,RawData!J401,
IF(AND(ISNUMBER(_xlpm.q),_xlpm.q&gt;0),_xlpm.q,
   IF(AND(ISNUMBER(_xlpm.r),ISNUMBER(_xlpm.u),_xlpm.u&gt;0,ISNUMBER(_xlpm.d),_xlpm.d&gt;=0,_xlpm.d&lt;1),
      ROUND(_xlpm.r/(_xlpm.u*(1-_xlpm.d)),0),
      ""
   )
)
)</f>
        <v>3</v>
      </c>
      <c r="H401" s="4">
        <f>_xlfn.LET(
_xlpm.q,RawData!G401,
_xlpm.u,RawData!H401,
_xlpm.d,RawData!I401,
_xlpm.r,RawData!J401,
IF(AND(ISNUMBER(_xlpm.u),_xlpm.u&gt;0),_xlpm.u,
   IF(AND(ISNUMBER(_xlpm.q),_xlpm.q&gt;0,ISNUMBER(_xlpm.r),ISNUMBER(_xlpm.d),_xlpm.d&gt;=0,_xlpm.d&lt;1),
      _xlpm.r/(_xlpm.q*(1-_xlpm.d)),
      ""
   )
)
)</f>
        <v>264.75</v>
      </c>
      <c r="I401" s="5">
        <f>_xlfn.LET(
_xlpm.q,RawData!G401,
_xlpm.u,RawData!H401,
_xlpm.d,RawData!I401,
_xlpm.r,RawData!J401,
IF(AND(ISNUMBER(_xlpm.d),_xlpm.d&gt;=0,_xlpm.d&lt;1),_xlpm.d,
   IF(AND(ISNUMBER(_xlpm.q),_xlpm.q&gt;0,ISNUMBER(_xlpm.u),_xlpm.u&gt;0,ISNUMBER(_xlpm.r),_xlpm.r&gt;=0),
      1-(_xlpm.r/(_xlpm.q*_xlpm.u)),
      ""
   )
)
)</f>
        <v>0.05</v>
      </c>
      <c r="J401" s="4">
        <f>_xlfn.LET(
_xlpm.q,RawData!G401,
_xlpm.u,RawData!H401,
_xlpm.d,RawData!I401,
_xlpm.r,RawData!J401,
IF(AND(ISNUMBER(_xlpm.r),_xlpm.r&gt;=0),_xlpm.r,
   IF(AND(ISNUMBER(_xlpm.q),_xlpm.q&gt;0,ISNUMBER(_xlpm.u),_xlpm.u&gt;0,ISNUMBER(_xlpm.d),_xlpm.d&gt;=0,_xlpm.d&lt;1),
      _xlpm.q*_xlpm.u*(1-_xlpm.d),
      ""
   )
)
)</f>
        <v>754.54</v>
      </c>
      <c r="K401" s="4">
        <f>_xlfn.LET(
_xlpm.c,RawData!K401,
_xlpm.r,RawData!J401,
_xlpm.p,RawData!L401,
IF(AND(ISNUMBER(_xlpm.c),_xlpm.c&gt;=0),_xlpm.c,
   IF(AND(ISNUMBER(_xlpm.r),ISNUMBER(_xlpm.p)),
      _xlpm.r-_xlpm.p,
      ""
   )
)
)</f>
        <v>602.92999999999995</v>
      </c>
      <c r="L401" s="4">
        <f>_xlfn.LET(
_xlpm.p,RawData!L401,
_xlpm.r,RawData!J401,
_xlpm.c,RawData!K401,
IF(ISNUMBER(_xlpm.p),_xlpm.p,
IF(AND(ISNUMBER(_xlpm.r),ISNUMBER(_xlpm.c)),
_xlpm.r-_xlpm.c,
""
)
))</f>
        <v>151.61000000000001</v>
      </c>
    </row>
    <row r="402" spans="1:12" x14ac:dyDescent="0.35">
      <c r="A402" t="s">
        <v>441</v>
      </c>
      <c r="B402" s="7">
        <v>45805</v>
      </c>
      <c r="C402" t="str">
        <f>IF(RawData!C402="","Unknown",PROPER(TRIM(CLEAN(SUBSTITUTE(RawData!C402,CHAR(160)," ")))))</f>
        <v>North</v>
      </c>
      <c r="D402" t="str">
        <f>IF(RawData!D402="","Unknown",PROPER(TRIM(CLEAN(SUBSTITUTE(RawData!D402,CHAR(160)," ")))))</f>
        <v>Jaipur</v>
      </c>
      <c r="E402" t="str">
        <f>IF(RawData!E402="","Unknown",PROPER(TRIM(CLEAN(SUBSTITUTE(RawData!E402,CHAR(160)," ")))))</f>
        <v>Desk</v>
      </c>
      <c r="F402" t="str">
        <f>IF(RawData!F402="","Unknown",PROPER(TRIM(CLEAN(SUBSTITUTE(RawData!F402,CHAR(160)," ")))))</f>
        <v>Furniture</v>
      </c>
      <c r="G402">
        <f>_xlfn.LET(
_xlpm.q,RawData!G402,
_xlpm.u,RawData!H402,
_xlpm.d,RawData!I402,
_xlpm.r,RawData!J402,
IF(AND(ISNUMBER(_xlpm.q),_xlpm.q&gt;0),_xlpm.q,
   IF(AND(ISNUMBER(_xlpm.r),ISNUMBER(_xlpm.u),_xlpm.u&gt;0,ISNUMBER(_xlpm.d),_xlpm.d&gt;=0,_xlpm.d&lt;1),
      ROUND(_xlpm.r/(_xlpm.u*(1-_xlpm.d)),0),
      ""
   )
)
)</f>
        <v>8</v>
      </c>
      <c r="H402" s="4">
        <f>_xlfn.LET(
_xlpm.q,RawData!G402,
_xlpm.u,RawData!H402,
_xlpm.d,RawData!I402,
_xlpm.r,RawData!J402,
IF(AND(ISNUMBER(_xlpm.u),_xlpm.u&gt;0),_xlpm.u,
   IF(AND(ISNUMBER(_xlpm.q),_xlpm.q&gt;0,ISNUMBER(_xlpm.r),ISNUMBER(_xlpm.d),_xlpm.d&gt;=0,_xlpm.d&lt;1),
      _xlpm.r/(_xlpm.q*(1-_xlpm.d)),
      ""
   )
)
)</f>
        <v>265.54000000000002</v>
      </c>
      <c r="I402" s="5">
        <f>_xlfn.LET(
_xlpm.q,RawData!G402,
_xlpm.u,RawData!H402,
_xlpm.d,RawData!I402,
_xlpm.r,RawData!J402,
IF(AND(ISNUMBER(_xlpm.d),_xlpm.d&gt;=0,_xlpm.d&lt;1),_xlpm.d,
   IF(AND(ISNUMBER(_xlpm.q),_xlpm.q&gt;0,ISNUMBER(_xlpm.u),_xlpm.u&gt;0,ISNUMBER(_xlpm.r),_xlpm.r&gt;=0),
      1-(_xlpm.r/(_xlpm.q*_xlpm.u)),
      ""
   )
)
)</f>
        <v>0.2</v>
      </c>
      <c r="J402" s="4">
        <f>_xlfn.LET(
_xlpm.q,RawData!G402,
_xlpm.u,RawData!H402,
_xlpm.d,RawData!I402,
_xlpm.r,RawData!J402,
IF(AND(ISNUMBER(_xlpm.r),_xlpm.r&gt;=0),_xlpm.r,
   IF(AND(ISNUMBER(_xlpm.q),_xlpm.q&gt;0,ISNUMBER(_xlpm.u),_xlpm.u&gt;0,ISNUMBER(_xlpm.d),_xlpm.d&gt;=0,_xlpm.d&lt;1),
      _xlpm.q*_xlpm.u*(1-_xlpm.d),
      ""
   )
)
)</f>
        <v>1699.46</v>
      </c>
      <c r="K402" s="4">
        <f>_xlfn.LET(
_xlpm.c,RawData!K402,
_xlpm.r,RawData!J402,
_xlpm.p,RawData!L402,
IF(AND(ISNUMBER(_xlpm.c),_xlpm.c&gt;=0),_xlpm.c,
   IF(AND(ISNUMBER(_xlpm.r),ISNUMBER(_xlpm.p)),
      _xlpm.r-_xlpm.p,
      ""
   )
)
)</f>
        <v>1004.7</v>
      </c>
      <c r="L402" s="4">
        <f>_xlfn.LET(
_xlpm.p,RawData!L402,
_xlpm.r,RawData!J402,
_xlpm.c,RawData!K402,
IF(ISNUMBER(_xlpm.p),_xlpm.p,
IF(AND(ISNUMBER(_xlpm.r),ISNUMBER(_xlpm.c)),
_xlpm.r-_xlpm.c,
""
)
))</f>
        <v>694.76</v>
      </c>
    </row>
    <row r="403" spans="1:12" x14ac:dyDescent="0.35">
      <c r="A403" t="s">
        <v>442</v>
      </c>
      <c r="B403" s="7">
        <v>45903</v>
      </c>
      <c r="C403" t="str">
        <f>IF(RawData!C403="","Unknown",PROPER(TRIM(CLEAN(SUBSTITUTE(RawData!C403,CHAR(160)," ")))))</f>
        <v>South</v>
      </c>
      <c r="D403" t="str">
        <f>IF(RawData!D403="","Unknown",PROPER(TRIM(CLEAN(SUBSTITUTE(RawData!D403,CHAR(160)," ")))))</f>
        <v>Bengaluru</v>
      </c>
      <c r="E403" t="str">
        <f>IF(RawData!E403="","Unknown",PROPER(TRIM(CLEAN(SUBSTITUTE(RawData!E403,CHAR(160)," ")))))</f>
        <v>Monitor</v>
      </c>
      <c r="F403" t="str">
        <f>IF(RawData!F403="","Unknown",PROPER(TRIM(CLEAN(SUBSTITUTE(RawData!F403,CHAR(160)," ")))))</f>
        <v>Electronics</v>
      </c>
      <c r="G403">
        <f>_xlfn.LET(
_xlpm.q,RawData!G403,
_xlpm.u,RawData!H403,
_xlpm.d,RawData!I403,
_xlpm.r,RawData!J403,
IF(AND(ISNUMBER(_xlpm.q),_xlpm.q&gt;0),_xlpm.q,
   IF(AND(ISNUMBER(_xlpm.r),ISNUMBER(_xlpm.u),_xlpm.u&gt;0,ISNUMBER(_xlpm.d),_xlpm.d&gt;=0,_xlpm.d&lt;1),
      ROUND(_xlpm.r/(_xlpm.u*(1-_xlpm.d)),0),
      ""
   )
)
)</f>
        <v>9</v>
      </c>
      <c r="H403" s="4">
        <f>_xlfn.LET(
_xlpm.q,RawData!G403,
_xlpm.u,RawData!H403,
_xlpm.d,RawData!I403,
_xlpm.r,RawData!J403,
IF(AND(ISNUMBER(_xlpm.u),_xlpm.u&gt;0),_xlpm.u,
   IF(AND(ISNUMBER(_xlpm.q),_xlpm.q&gt;0,ISNUMBER(_xlpm.r),ISNUMBER(_xlpm.d),_xlpm.d&gt;=0,_xlpm.d&lt;1),
      _xlpm.r/(_xlpm.q*(1-_xlpm.d)),
      ""
   )
)
)</f>
        <v>225.04</v>
      </c>
      <c r="I403" s="5">
        <f>_xlfn.LET(
_xlpm.q,RawData!G403,
_xlpm.u,RawData!H403,
_xlpm.d,RawData!I403,
_xlpm.r,RawData!J403,
IF(AND(ISNUMBER(_xlpm.d),_xlpm.d&gt;=0,_xlpm.d&lt;1),_xlpm.d,
   IF(AND(ISNUMBER(_xlpm.q),_xlpm.q&gt;0,ISNUMBER(_xlpm.u),_xlpm.u&gt;0,ISNUMBER(_xlpm.r),_xlpm.r&gt;=0),
      1-(_xlpm.r/(_xlpm.q*_xlpm.u)),
      ""
   )
)
)</f>
        <v>0.05</v>
      </c>
      <c r="J403" s="4">
        <f>_xlfn.LET(
_xlpm.q,RawData!G403,
_xlpm.u,RawData!H403,
_xlpm.d,RawData!I403,
_xlpm.r,RawData!J403,
IF(AND(ISNUMBER(_xlpm.r),_xlpm.r&gt;=0),_xlpm.r,
   IF(AND(ISNUMBER(_xlpm.q),_xlpm.q&gt;0,ISNUMBER(_xlpm.u),_xlpm.u&gt;0,ISNUMBER(_xlpm.d),_xlpm.d&gt;=0,_xlpm.d&lt;1),
      _xlpm.q*_xlpm.u*(1-_xlpm.d),
      ""
   )
)
)</f>
        <v>1924.09</v>
      </c>
      <c r="K403" s="4">
        <f>_xlfn.LET(
_xlpm.c,RawData!K403,
_xlpm.r,RawData!J403,
_xlpm.p,RawData!L403,
IF(AND(ISNUMBER(_xlpm.c),_xlpm.c&gt;=0),_xlpm.c,
   IF(AND(ISNUMBER(_xlpm.r),ISNUMBER(_xlpm.p)),
      _xlpm.r-_xlpm.p,
      ""
   )
)
)</f>
        <v>1373.44</v>
      </c>
      <c r="L403" s="4">
        <f>_xlfn.LET(
_xlpm.p,RawData!L403,
_xlpm.r,RawData!J403,
_xlpm.c,RawData!K403,
IF(ISNUMBER(_xlpm.p),_xlpm.p,
IF(AND(ISNUMBER(_xlpm.r),ISNUMBER(_xlpm.c)),
_xlpm.r-_xlpm.c,
""
)
))</f>
        <v>550.65</v>
      </c>
    </row>
    <row r="404" spans="1:12" x14ac:dyDescent="0.35">
      <c r="A404" t="s">
        <v>443</v>
      </c>
      <c r="B404" s="7">
        <v>46014</v>
      </c>
      <c r="C404" t="str">
        <f>IF(RawData!C404="","Unknown",PROPER(TRIM(CLEAN(SUBSTITUTE(RawData!C404,CHAR(160)," ")))))</f>
        <v>East</v>
      </c>
      <c r="D404" t="str">
        <f>IF(RawData!D404="","Unknown",PROPER(TRIM(CLEAN(SUBSTITUTE(RawData!D404,CHAR(160)," ")))))</f>
        <v>Pune</v>
      </c>
      <c r="E404" t="str">
        <f>IF(RawData!E404="","Unknown",PROPER(TRIM(CLEAN(SUBSTITUTE(RawData!E404,CHAR(160)," ")))))</f>
        <v>Headphones</v>
      </c>
      <c r="F404" t="str">
        <f>IF(RawData!F404="","Unknown",PROPER(TRIM(CLEAN(SUBSTITUTE(RawData!F404,CHAR(160)," ")))))</f>
        <v>Electronics</v>
      </c>
      <c r="G404">
        <f>_xlfn.LET(
_xlpm.q,RawData!G404,
_xlpm.u,RawData!H404,
_xlpm.d,RawData!I404,
_xlpm.r,RawData!J404,
IF(AND(ISNUMBER(_xlpm.q),_xlpm.q&gt;0),_xlpm.q,
   IF(AND(ISNUMBER(_xlpm.r),ISNUMBER(_xlpm.u),_xlpm.u&gt;0,ISNUMBER(_xlpm.d),_xlpm.d&gt;=0,_xlpm.d&lt;1),
      ROUND(_xlpm.r/(_xlpm.u*(1-_xlpm.d)),0),
      ""
   )
)
)</f>
        <v>2</v>
      </c>
      <c r="H404" s="4">
        <f>_xlfn.LET(
_xlpm.q,RawData!G404,
_xlpm.u,RawData!H404,
_xlpm.d,RawData!I404,
_xlpm.r,RawData!J404,
IF(AND(ISNUMBER(_xlpm.u),_xlpm.u&gt;0),_xlpm.u,
   IF(AND(ISNUMBER(_xlpm.q),_xlpm.q&gt;0,ISNUMBER(_xlpm.r),ISNUMBER(_xlpm.d),_xlpm.d&gt;=0,_xlpm.d&lt;1),
      _xlpm.r/(_xlpm.q*(1-_xlpm.d)),
      ""
   )
)
)</f>
        <v>78.180000000000007</v>
      </c>
      <c r="I404" s="5">
        <f>_xlfn.LET(
_xlpm.q,RawData!G404,
_xlpm.u,RawData!H404,
_xlpm.d,RawData!I404,
_xlpm.r,RawData!J404,
IF(AND(ISNUMBER(_xlpm.d),_xlpm.d&gt;=0,_xlpm.d&lt;1),_xlpm.d,
   IF(AND(ISNUMBER(_xlpm.q),_xlpm.q&gt;0,ISNUMBER(_xlpm.u),_xlpm.u&gt;0,ISNUMBER(_xlpm.r),_xlpm.r&gt;=0),
      1-(_xlpm.r/(_xlpm.q*_xlpm.u)),
      ""
   )
)
)</f>
        <v>0.15</v>
      </c>
      <c r="J404" s="4">
        <f>_xlfn.LET(
_xlpm.q,RawData!G404,
_xlpm.u,RawData!H404,
_xlpm.d,RawData!I404,
_xlpm.r,RawData!J404,
IF(AND(ISNUMBER(_xlpm.r),_xlpm.r&gt;=0),_xlpm.r,
   IF(AND(ISNUMBER(_xlpm.q),_xlpm.q&gt;0,ISNUMBER(_xlpm.u),_xlpm.u&gt;0,ISNUMBER(_xlpm.d),_xlpm.d&gt;=0,_xlpm.d&lt;1),
      _xlpm.q*_xlpm.u*(1-_xlpm.d),
      ""
   )
)
)</f>
        <v>132.91</v>
      </c>
      <c r="K404" s="4">
        <f>_xlfn.LET(
_xlpm.c,RawData!K404,
_xlpm.r,RawData!J404,
_xlpm.p,RawData!L404,
IF(AND(ISNUMBER(_xlpm.c),_xlpm.c&gt;=0),_xlpm.c,
   IF(AND(ISNUMBER(_xlpm.r),ISNUMBER(_xlpm.p)),
      _xlpm.r-_xlpm.p,
      ""
   )
)
)</f>
        <v>99.53</v>
      </c>
      <c r="L404" s="4">
        <f>_xlfn.LET(
_xlpm.p,RawData!L404,
_xlpm.r,RawData!J404,
_xlpm.c,RawData!K404,
IF(ISNUMBER(_xlpm.p),_xlpm.p,
IF(AND(ISNUMBER(_xlpm.r),ISNUMBER(_xlpm.c)),
_xlpm.r-_xlpm.c,
""
)
))</f>
        <v>33.380000000000003</v>
      </c>
    </row>
    <row r="405" spans="1:12" x14ac:dyDescent="0.35">
      <c r="A405" t="s">
        <v>445</v>
      </c>
      <c r="B405" s="7">
        <v>45958</v>
      </c>
      <c r="C405" t="str">
        <f>IF(RawData!C405="","Unknown",PROPER(TRIM(CLEAN(SUBSTITUTE(RawData!C405,CHAR(160)," ")))))</f>
        <v>South</v>
      </c>
      <c r="D405" t="str">
        <f>IF(RawData!D405="","Unknown",PROPER(TRIM(CLEAN(SUBSTITUTE(RawData!D405,CHAR(160)," ")))))</f>
        <v>Bengaluru</v>
      </c>
      <c r="E405" t="str">
        <f>IF(RawData!E405="","Unknown",PROPER(TRIM(CLEAN(SUBSTITUTE(RawData!E405,CHAR(160)," ")))))</f>
        <v>Monitor</v>
      </c>
      <c r="F405" t="str">
        <f>IF(RawData!F405="","Unknown",PROPER(TRIM(CLEAN(SUBSTITUTE(RawData!F405,CHAR(160)," ")))))</f>
        <v>Electronics</v>
      </c>
      <c r="G405">
        <f>_xlfn.LET(
_xlpm.q,RawData!G405,
_xlpm.u,RawData!H405,
_xlpm.d,RawData!I405,
_xlpm.r,RawData!J405,
IF(AND(ISNUMBER(_xlpm.q),_xlpm.q&gt;0),_xlpm.q,
   IF(AND(ISNUMBER(_xlpm.r),ISNUMBER(_xlpm.u),_xlpm.u&gt;0,ISNUMBER(_xlpm.d),_xlpm.d&gt;=0,_xlpm.d&lt;1),
      ROUND(_xlpm.r/(_xlpm.u*(1-_xlpm.d)),0),
      ""
   )
)
)</f>
        <v>1</v>
      </c>
      <c r="H405" s="4">
        <f>_xlfn.LET(
_xlpm.q,RawData!G405,
_xlpm.u,RawData!H405,
_xlpm.d,RawData!I405,
_xlpm.r,RawData!J405,
IF(AND(ISNUMBER(_xlpm.u),_xlpm.u&gt;0),_xlpm.u,
   IF(AND(ISNUMBER(_xlpm.q),_xlpm.q&gt;0,ISNUMBER(_xlpm.r),ISNUMBER(_xlpm.d),_xlpm.d&gt;=0,_xlpm.d&lt;1),
      _xlpm.r/(_xlpm.q*(1-_xlpm.d)),
      ""
   )
)
)</f>
        <v>248.67</v>
      </c>
      <c r="I405" s="5">
        <f>_xlfn.LET(
_xlpm.q,RawData!G405,
_xlpm.u,RawData!H405,
_xlpm.d,RawData!I405,
_xlpm.r,RawData!J405,
IF(AND(ISNUMBER(_xlpm.d),_xlpm.d&gt;=0,_xlpm.d&lt;1),_xlpm.d,
   IF(AND(ISNUMBER(_xlpm.q),_xlpm.q&gt;0,ISNUMBER(_xlpm.u),_xlpm.u&gt;0,ISNUMBER(_xlpm.r),_xlpm.r&gt;=0),
      1-(_xlpm.r/(_xlpm.q*_xlpm.u)),
      ""
   )
)
)</f>
        <v>0.2</v>
      </c>
      <c r="J405" s="4">
        <f>_xlfn.LET(
_xlpm.q,RawData!G405,
_xlpm.u,RawData!H405,
_xlpm.d,RawData!I405,
_xlpm.r,RawData!J405,
IF(AND(ISNUMBER(_xlpm.r),_xlpm.r&gt;=0),_xlpm.r,
   IF(AND(ISNUMBER(_xlpm.q),_xlpm.q&gt;0,ISNUMBER(_xlpm.u),_xlpm.u&gt;0,ISNUMBER(_xlpm.d),_xlpm.d&gt;=0,_xlpm.d&lt;1),
      _xlpm.q*_xlpm.u*(1-_xlpm.d),
      ""
   )
)
)</f>
        <v>198.94</v>
      </c>
      <c r="K405" s="4">
        <f>_xlfn.LET(
_xlpm.c,RawData!K405,
_xlpm.r,RawData!J405,
_xlpm.p,RawData!L405,
IF(AND(ISNUMBER(_xlpm.c),_xlpm.c&gt;=0),_xlpm.c,
   IF(AND(ISNUMBER(_xlpm.r),ISNUMBER(_xlpm.p)),
      _xlpm.r-_xlpm.p,
      ""
   )
)
)</f>
        <v>159.13</v>
      </c>
      <c r="L405" s="4">
        <f>_xlfn.LET(
_xlpm.p,RawData!L405,
_xlpm.r,RawData!J405,
_xlpm.c,RawData!K405,
IF(ISNUMBER(_xlpm.p),_xlpm.p,
IF(AND(ISNUMBER(_xlpm.r),ISNUMBER(_xlpm.c)),
_xlpm.r-_xlpm.c,
""
)
))</f>
        <v>39.81</v>
      </c>
    </row>
    <row r="406" spans="1:12" x14ac:dyDescent="0.35">
      <c r="A406" t="s">
        <v>446</v>
      </c>
      <c r="B406" s="7">
        <v>45773</v>
      </c>
      <c r="C406" t="str">
        <f>IF(RawData!C406="","Unknown",PROPER(TRIM(CLEAN(SUBSTITUTE(RawData!C406,CHAR(160)," ")))))</f>
        <v>South</v>
      </c>
      <c r="D406" t="str">
        <f>IF(RawData!D406="","Unknown",PROPER(TRIM(CLEAN(SUBSTITUTE(RawData!D406,CHAR(160)," ")))))</f>
        <v>Chennai</v>
      </c>
      <c r="E406" t="str">
        <f>IF(RawData!E406="","Unknown",PROPER(TRIM(CLEAN(SUBSTITUTE(RawData!E406,CHAR(160)," ")))))</f>
        <v>Laptop</v>
      </c>
      <c r="F406" t="str">
        <f>IF(RawData!F406="","Unknown",PROPER(TRIM(CLEAN(SUBSTITUTE(RawData!F406,CHAR(160)," ")))))</f>
        <v>Electronics</v>
      </c>
      <c r="G406">
        <f>_xlfn.LET(
_xlpm.q,RawData!G406,
_xlpm.u,RawData!H406,
_xlpm.d,RawData!I406,
_xlpm.r,RawData!J406,
IF(AND(ISNUMBER(_xlpm.q),_xlpm.q&gt;0),_xlpm.q,
   IF(AND(ISNUMBER(_xlpm.r),ISNUMBER(_xlpm.u),_xlpm.u&gt;0,ISNUMBER(_xlpm.d),_xlpm.d&gt;=0,_xlpm.d&lt;1),
      ROUND(_xlpm.r/(_xlpm.u*(1-_xlpm.d)),0),
      ""
   )
)
)</f>
        <v>2</v>
      </c>
      <c r="H406" s="4">
        <f>_xlfn.LET(
_xlpm.q,RawData!G406,
_xlpm.u,RawData!H406,
_xlpm.d,RawData!I406,
_xlpm.r,RawData!J406,
IF(AND(ISNUMBER(_xlpm.u),_xlpm.u&gt;0),_xlpm.u,
   IF(AND(ISNUMBER(_xlpm.q),_xlpm.q&gt;0,ISNUMBER(_xlpm.r),ISNUMBER(_xlpm.d),_xlpm.d&gt;=0,_xlpm.d&lt;1),
      _xlpm.r/(_xlpm.q*(1-_xlpm.d)),
      ""
   )
)
)</f>
        <v>837.46</v>
      </c>
      <c r="I406" s="5">
        <f>_xlfn.LET(
_xlpm.q,RawData!G406,
_xlpm.u,RawData!H406,
_xlpm.d,RawData!I406,
_xlpm.r,RawData!J406,
IF(AND(ISNUMBER(_xlpm.d),_xlpm.d&gt;=0,_xlpm.d&lt;1),_xlpm.d,
   IF(AND(ISNUMBER(_xlpm.q),_xlpm.q&gt;0,ISNUMBER(_xlpm.u),_xlpm.u&gt;0,ISNUMBER(_xlpm.r),_xlpm.r&gt;=0),
      1-(_xlpm.r/(_xlpm.q*_xlpm.u)),
      ""
   )
)
)</f>
        <v>0.1</v>
      </c>
      <c r="J406" s="4">
        <f>_xlfn.LET(
_xlpm.q,RawData!G406,
_xlpm.u,RawData!H406,
_xlpm.d,RawData!I406,
_xlpm.r,RawData!J406,
IF(AND(ISNUMBER(_xlpm.r),_xlpm.r&gt;=0),_xlpm.r,
   IF(AND(ISNUMBER(_xlpm.q),_xlpm.q&gt;0,ISNUMBER(_xlpm.u),_xlpm.u&gt;0,ISNUMBER(_xlpm.d),_xlpm.d&gt;=0,_xlpm.d&lt;1),
      _xlpm.q*_xlpm.u*(1-_xlpm.d),
      ""
   )
)
)</f>
        <v>1507.43</v>
      </c>
      <c r="K406" s="4">
        <f>_xlfn.LET(
_xlpm.c,RawData!K406,
_xlpm.r,RawData!J406,
_xlpm.p,RawData!L406,
IF(AND(ISNUMBER(_xlpm.c),_xlpm.c&gt;=0),_xlpm.c,
   IF(AND(ISNUMBER(_xlpm.r),ISNUMBER(_xlpm.p)),
      _xlpm.r-_xlpm.p,
      ""
   )
)
)</f>
        <v>875.18</v>
      </c>
      <c r="L406" s="4">
        <f>_xlfn.LET(
_xlpm.p,RawData!L406,
_xlpm.r,RawData!J406,
_xlpm.c,RawData!K406,
IF(ISNUMBER(_xlpm.p),_xlpm.p,
IF(AND(ISNUMBER(_xlpm.r),ISNUMBER(_xlpm.c)),
_xlpm.r-_xlpm.c,
""
)
))</f>
        <v>632.25</v>
      </c>
    </row>
    <row r="407" spans="1:12" x14ac:dyDescent="0.35">
      <c r="A407" t="s">
        <v>447</v>
      </c>
      <c r="B407" s="7">
        <v>45899</v>
      </c>
      <c r="C407" t="str">
        <f>IF(RawData!C407="","Unknown",PROPER(TRIM(CLEAN(SUBSTITUTE(RawData!C407,CHAR(160)," ")))))</f>
        <v>North</v>
      </c>
      <c r="D407" t="str">
        <f>IF(RawData!D407="","Unknown",PROPER(TRIM(CLEAN(SUBSTITUTE(RawData!D407,CHAR(160)," ")))))</f>
        <v>Lucknow</v>
      </c>
      <c r="E407" t="str">
        <f>IF(RawData!E407="","Unknown",PROPER(TRIM(CLEAN(SUBSTITUTE(RawData!E407,CHAR(160)," ")))))</f>
        <v>Backpack</v>
      </c>
      <c r="F407" t="str">
        <f>IF(RawData!F407="","Unknown",PROPER(TRIM(CLEAN(SUBSTITUTE(RawData!F407,CHAR(160)," ")))))</f>
        <v>Accessories</v>
      </c>
      <c r="G407">
        <f>_xlfn.LET(
_xlpm.q,RawData!G407,
_xlpm.u,RawData!H407,
_xlpm.d,RawData!I407,
_xlpm.r,RawData!J407,
IF(AND(ISNUMBER(_xlpm.q),_xlpm.q&gt;0),_xlpm.q,
   IF(AND(ISNUMBER(_xlpm.r),ISNUMBER(_xlpm.u),_xlpm.u&gt;0,ISNUMBER(_xlpm.d),_xlpm.d&gt;=0,_xlpm.d&lt;1),
      ROUND(_xlpm.r/(_xlpm.u*(1-_xlpm.d)),0),
      ""
   )
)
)</f>
        <v>3</v>
      </c>
      <c r="H407" s="4">
        <f>_xlfn.LET(
_xlpm.q,RawData!G407,
_xlpm.u,RawData!H407,
_xlpm.d,RawData!I407,
_xlpm.r,RawData!J407,
IF(AND(ISNUMBER(_xlpm.u),_xlpm.u&gt;0),_xlpm.u,
   IF(AND(ISNUMBER(_xlpm.q),_xlpm.q&gt;0,ISNUMBER(_xlpm.r),ISNUMBER(_xlpm.d),_xlpm.d&gt;=0,_xlpm.d&lt;1),
      _xlpm.r/(_xlpm.q*(1-_xlpm.d)),
      ""
   )
)
)</f>
        <v>51.55</v>
      </c>
      <c r="I407" s="5">
        <f>_xlfn.LET(
_xlpm.q,RawData!G407,
_xlpm.u,RawData!H407,
_xlpm.d,RawData!I407,
_xlpm.r,RawData!J407,
IF(AND(ISNUMBER(_xlpm.d),_xlpm.d&gt;=0,_xlpm.d&lt;1),_xlpm.d,
   IF(AND(ISNUMBER(_xlpm.q),_xlpm.q&gt;0,ISNUMBER(_xlpm.u),_xlpm.u&gt;0,ISNUMBER(_xlpm.r),_xlpm.r&gt;=0),
      1-(_xlpm.r/(_xlpm.q*_xlpm.u)),
      ""
   )
)
)</f>
        <v>0</v>
      </c>
      <c r="J407" s="4">
        <f>_xlfn.LET(
_xlpm.q,RawData!G407,
_xlpm.u,RawData!H407,
_xlpm.d,RawData!I407,
_xlpm.r,RawData!J407,
IF(AND(ISNUMBER(_xlpm.r),_xlpm.r&gt;=0),_xlpm.r,
   IF(AND(ISNUMBER(_xlpm.q),_xlpm.q&gt;0,ISNUMBER(_xlpm.u),_xlpm.u&gt;0,ISNUMBER(_xlpm.d),_xlpm.d&gt;=0,_xlpm.d&lt;1),
      _xlpm.q*_xlpm.u*(1-_xlpm.d),
      ""
   )
)
)</f>
        <v>154.65</v>
      </c>
      <c r="K407" s="4">
        <f>_xlfn.LET(
_xlpm.c,RawData!K407,
_xlpm.r,RawData!J407,
_xlpm.p,RawData!L407,
IF(AND(ISNUMBER(_xlpm.c),_xlpm.c&gt;=0),_xlpm.c,
   IF(AND(ISNUMBER(_xlpm.r),ISNUMBER(_xlpm.p)),
      _xlpm.r-_xlpm.p,
      ""
   )
)
)</f>
        <v>120.09</v>
      </c>
      <c r="L407" s="4">
        <f>_xlfn.LET(
_xlpm.p,RawData!L407,
_xlpm.r,RawData!J407,
_xlpm.c,RawData!K407,
IF(ISNUMBER(_xlpm.p),_xlpm.p,
IF(AND(ISNUMBER(_xlpm.r),ISNUMBER(_xlpm.c)),
_xlpm.r-_xlpm.c,
""
)
))</f>
        <v>34.56</v>
      </c>
    </row>
    <row r="408" spans="1:12" x14ac:dyDescent="0.35">
      <c r="A408" t="s">
        <v>448</v>
      </c>
      <c r="B408" s="7">
        <v>45738</v>
      </c>
      <c r="C408" t="str">
        <f>IF(RawData!C408="","Unknown",PROPER(TRIM(CLEAN(SUBSTITUTE(RawData!C408,CHAR(160)," ")))))</f>
        <v>West</v>
      </c>
      <c r="D408" t="str">
        <f>IF(RawData!D408="","Unknown",PROPER(TRIM(CLEAN(SUBSTITUTE(RawData!D408,CHAR(160)," ")))))</f>
        <v>Ahmedabad</v>
      </c>
      <c r="E408" t="str">
        <f>IF(RawData!E408="","Unknown",PROPER(TRIM(CLEAN(SUBSTITUTE(RawData!E408,CHAR(160)," ")))))</f>
        <v>Backpack</v>
      </c>
      <c r="F408" t="str">
        <f>IF(RawData!F408="","Unknown",PROPER(TRIM(CLEAN(SUBSTITUTE(RawData!F408,CHAR(160)," ")))))</f>
        <v>Accessories</v>
      </c>
      <c r="G408">
        <f>_xlfn.LET(
_xlpm.q,RawData!G408,
_xlpm.u,RawData!H408,
_xlpm.d,RawData!I408,
_xlpm.r,RawData!J408,
IF(AND(ISNUMBER(_xlpm.q),_xlpm.q&gt;0),_xlpm.q,
   IF(AND(ISNUMBER(_xlpm.r),ISNUMBER(_xlpm.u),_xlpm.u&gt;0,ISNUMBER(_xlpm.d),_xlpm.d&gt;=0,_xlpm.d&lt;1),
      ROUND(_xlpm.r/(_xlpm.u*(1-_xlpm.d)),0),
      ""
   )
)
)</f>
        <v>8</v>
      </c>
      <c r="H408" s="4">
        <f>_xlfn.LET(
_xlpm.q,RawData!G408,
_xlpm.u,RawData!H408,
_xlpm.d,RawData!I408,
_xlpm.r,RawData!J408,
IF(AND(ISNUMBER(_xlpm.u),_xlpm.u&gt;0),_xlpm.u,
   IF(AND(ISNUMBER(_xlpm.q),_xlpm.q&gt;0,ISNUMBER(_xlpm.r),ISNUMBER(_xlpm.d),_xlpm.d&gt;=0,_xlpm.d&lt;1),
      _xlpm.r/(_xlpm.q*(1-_xlpm.d)),
      ""
   )
)
)</f>
        <v>39.93</v>
      </c>
      <c r="I408" s="5">
        <f>_xlfn.LET(
_xlpm.q,RawData!G408,
_xlpm.u,RawData!H408,
_xlpm.d,RawData!I408,
_xlpm.r,RawData!J408,
IF(AND(ISNUMBER(_xlpm.d),_xlpm.d&gt;=0,_xlpm.d&lt;1),_xlpm.d,
   IF(AND(ISNUMBER(_xlpm.q),_xlpm.q&gt;0,ISNUMBER(_xlpm.u),_xlpm.u&gt;0,ISNUMBER(_xlpm.r),_xlpm.r&gt;=0),
      1-(_xlpm.r/(_xlpm.q*_xlpm.u)),
      ""
   )
)
)</f>
        <v>0.1</v>
      </c>
      <c r="J408" s="4">
        <f>_xlfn.LET(
_xlpm.q,RawData!G408,
_xlpm.u,RawData!H408,
_xlpm.d,RawData!I408,
_xlpm.r,RawData!J408,
IF(AND(ISNUMBER(_xlpm.r),_xlpm.r&gt;=0),_xlpm.r,
   IF(AND(ISNUMBER(_xlpm.q),_xlpm.q&gt;0,ISNUMBER(_xlpm.u),_xlpm.u&gt;0,ISNUMBER(_xlpm.d),_xlpm.d&gt;=0,_xlpm.d&lt;1),
      _xlpm.q*_xlpm.u*(1-_xlpm.d),
      ""
   )
)
)</f>
        <v>287.5</v>
      </c>
      <c r="K408" s="4">
        <f>_xlfn.LET(
_xlpm.c,RawData!K408,
_xlpm.r,RawData!J408,
_xlpm.p,RawData!L408,
IF(AND(ISNUMBER(_xlpm.c),_xlpm.c&gt;=0),_xlpm.c,
   IF(AND(ISNUMBER(_xlpm.r),ISNUMBER(_xlpm.p)),
      _xlpm.r-_xlpm.p,
      ""
   )
)
)</f>
        <v>229.61</v>
      </c>
      <c r="L408" s="4">
        <f>_xlfn.LET(
_xlpm.p,RawData!L408,
_xlpm.r,RawData!J408,
_xlpm.c,RawData!K408,
IF(ISNUMBER(_xlpm.p),_xlpm.p,
IF(AND(ISNUMBER(_xlpm.r),ISNUMBER(_xlpm.c)),
_xlpm.r-_xlpm.c,
""
)
))</f>
        <v>57.89</v>
      </c>
    </row>
    <row r="409" spans="1:12" x14ac:dyDescent="0.35">
      <c r="A409" t="s">
        <v>449</v>
      </c>
      <c r="B409" s="7">
        <v>45760</v>
      </c>
      <c r="C409" t="str">
        <f>IF(RawData!C409="","Unknown",PROPER(TRIM(CLEAN(SUBSTITUTE(RawData!C409,CHAR(160)," ")))))</f>
        <v>East</v>
      </c>
      <c r="D409" t="str">
        <f>IF(RawData!D409="","Unknown",PROPER(TRIM(CLEAN(SUBSTITUTE(RawData!D409,CHAR(160)," ")))))</f>
        <v>Kolkata</v>
      </c>
      <c r="E409" t="str">
        <f>IF(RawData!E409="","Unknown",PROPER(TRIM(CLEAN(SUBSTITUTE(RawData!E409,CHAR(160)," ")))))</f>
        <v>Desk</v>
      </c>
      <c r="F409" t="str">
        <f>IF(RawData!F409="","Unknown",PROPER(TRIM(CLEAN(SUBSTITUTE(RawData!F409,CHAR(160)," ")))))</f>
        <v>Furniture</v>
      </c>
      <c r="G409">
        <f>_xlfn.LET(
_xlpm.q,RawData!G409,
_xlpm.u,RawData!H409,
_xlpm.d,RawData!I409,
_xlpm.r,RawData!J409,
IF(AND(ISNUMBER(_xlpm.q),_xlpm.q&gt;0),_xlpm.q,
   IF(AND(ISNUMBER(_xlpm.r),ISNUMBER(_xlpm.u),_xlpm.u&gt;0,ISNUMBER(_xlpm.d),_xlpm.d&gt;=0,_xlpm.d&lt;1),
      ROUND(_xlpm.r/(_xlpm.u*(1-_xlpm.d)),0),
      ""
   )
)
)</f>
        <v>5</v>
      </c>
      <c r="H409" s="4">
        <f>_xlfn.LET(
_xlpm.q,RawData!G409,
_xlpm.u,RawData!H409,
_xlpm.d,RawData!I409,
_xlpm.r,RawData!J409,
IF(AND(ISNUMBER(_xlpm.u),_xlpm.u&gt;0),_xlpm.u,
   IF(AND(ISNUMBER(_xlpm.q),_xlpm.q&gt;0,ISNUMBER(_xlpm.r),ISNUMBER(_xlpm.d),_xlpm.d&gt;=0,_xlpm.d&lt;1),
      _xlpm.r/(_xlpm.q*(1-_xlpm.d)),
      ""
   )
)
)</f>
        <v>277.74</v>
      </c>
      <c r="I409" s="5">
        <f>_xlfn.LET(
_xlpm.q,RawData!G409,
_xlpm.u,RawData!H409,
_xlpm.d,RawData!I409,
_xlpm.r,RawData!J409,
IF(AND(ISNUMBER(_xlpm.d),_xlpm.d&gt;=0,_xlpm.d&lt;1),_xlpm.d,
   IF(AND(ISNUMBER(_xlpm.q),_xlpm.q&gt;0,ISNUMBER(_xlpm.u),_xlpm.u&gt;0,ISNUMBER(_xlpm.r),_xlpm.r&gt;=0),
      1-(_xlpm.r/(_xlpm.q*_xlpm.u)),
      ""
   )
)
)</f>
        <v>0.2</v>
      </c>
      <c r="J409" s="4">
        <f>_xlfn.LET(
_xlpm.q,RawData!G409,
_xlpm.u,RawData!H409,
_xlpm.d,RawData!I409,
_xlpm.r,RawData!J409,
IF(AND(ISNUMBER(_xlpm.r),_xlpm.r&gt;=0),_xlpm.r,
   IF(AND(ISNUMBER(_xlpm.q),_xlpm.q&gt;0,ISNUMBER(_xlpm.u),_xlpm.u&gt;0,ISNUMBER(_xlpm.d),_xlpm.d&gt;=0,_xlpm.d&lt;1),
      _xlpm.q*_xlpm.u*(1-_xlpm.d),
      ""
   )
)
)</f>
        <v>1110.96</v>
      </c>
      <c r="K409" s="4">
        <f>_xlfn.LET(
_xlpm.c,RawData!K409,
_xlpm.r,RawData!J409,
_xlpm.p,RawData!L409,
IF(AND(ISNUMBER(_xlpm.c),_xlpm.c&gt;=0),_xlpm.c,
   IF(AND(ISNUMBER(_xlpm.r),ISNUMBER(_xlpm.p)),
      _xlpm.r-_xlpm.p,
      ""
   )
)
)</f>
        <v>766.66</v>
      </c>
      <c r="L409" s="4">
        <f>_xlfn.LET(
_xlpm.p,RawData!L409,
_xlpm.r,RawData!J409,
_xlpm.c,RawData!K409,
IF(ISNUMBER(_xlpm.p),_xlpm.p,
IF(AND(ISNUMBER(_xlpm.r),ISNUMBER(_xlpm.c)),
_xlpm.r-_xlpm.c,
""
)
))</f>
        <v>344.3</v>
      </c>
    </row>
    <row r="410" spans="1:12" x14ac:dyDescent="0.35">
      <c r="A410" t="s">
        <v>450</v>
      </c>
      <c r="B410" s="7">
        <v>45703</v>
      </c>
      <c r="C410" t="str">
        <f>IF(RawData!C410="","Unknown",PROPER(TRIM(CLEAN(SUBSTITUTE(RawData!C410,CHAR(160)," ")))))</f>
        <v>South</v>
      </c>
      <c r="D410" t="str">
        <f>IF(RawData!D410="","Unknown",PROPER(TRIM(CLEAN(SUBSTITUTE(RawData!D410,CHAR(160)," ")))))</f>
        <v>Chennai</v>
      </c>
      <c r="E410" t="str">
        <f>IF(RawData!E410="","Unknown",PROPER(TRIM(CLEAN(SUBSTITUTE(RawData!E410,CHAR(160)," ")))))</f>
        <v>Notebook</v>
      </c>
      <c r="F410" t="str">
        <f>IF(RawData!F410="","Unknown",PROPER(TRIM(CLEAN(SUBSTITUTE(RawData!F410,CHAR(160)," ")))))</f>
        <v>Office Supplies</v>
      </c>
      <c r="G410">
        <f>_xlfn.LET(
_xlpm.q,RawData!G410,
_xlpm.u,RawData!H410,
_xlpm.d,RawData!I410,
_xlpm.r,RawData!J410,
IF(AND(ISNUMBER(_xlpm.q),_xlpm.q&gt;0),_xlpm.q,
   IF(AND(ISNUMBER(_xlpm.r),ISNUMBER(_xlpm.u),_xlpm.u&gt;0,ISNUMBER(_xlpm.d),_xlpm.d&gt;=0,_xlpm.d&lt;1),
      ROUND(_xlpm.r/(_xlpm.u*(1-_xlpm.d)),0),
      ""
   )
)
)</f>
        <v>1</v>
      </c>
      <c r="H410" s="4">
        <f>_xlfn.LET(
_xlpm.q,RawData!G410,
_xlpm.u,RawData!H410,
_xlpm.d,RawData!I410,
_xlpm.r,RawData!J410,
IF(AND(ISNUMBER(_xlpm.u),_xlpm.u&gt;0),_xlpm.u,
   IF(AND(ISNUMBER(_xlpm.q),_xlpm.q&gt;0,ISNUMBER(_xlpm.r),ISNUMBER(_xlpm.d),_xlpm.d&gt;=0,_xlpm.d&lt;1),
      _xlpm.r/(_xlpm.q*(1-_xlpm.d)),
      ""
   )
)
)</f>
        <v>8.2200000000000006</v>
      </c>
      <c r="I410" s="5">
        <f>_xlfn.LET(
_xlpm.q,RawData!G410,
_xlpm.u,RawData!H410,
_xlpm.d,RawData!I410,
_xlpm.r,RawData!J410,
IF(AND(ISNUMBER(_xlpm.d),_xlpm.d&gt;=0,_xlpm.d&lt;1),_xlpm.d,
   IF(AND(ISNUMBER(_xlpm.q),_xlpm.q&gt;0,ISNUMBER(_xlpm.u),_xlpm.u&gt;0,ISNUMBER(_xlpm.r),_xlpm.r&gt;=0),
      1-(_xlpm.r/(_xlpm.q*_xlpm.u)),
      ""
   )
)
)</f>
        <v>0.02</v>
      </c>
      <c r="J410" s="4">
        <f>_xlfn.LET(
_xlpm.q,RawData!G410,
_xlpm.u,RawData!H410,
_xlpm.d,RawData!I410,
_xlpm.r,RawData!J410,
IF(AND(ISNUMBER(_xlpm.r),_xlpm.r&gt;=0),_xlpm.r,
   IF(AND(ISNUMBER(_xlpm.q),_xlpm.q&gt;0,ISNUMBER(_xlpm.u),_xlpm.u&gt;0,ISNUMBER(_xlpm.d),_xlpm.d&gt;=0,_xlpm.d&lt;1),
      _xlpm.q*_xlpm.u*(1-_xlpm.d),
      ""
   )
)
)</f>
        <v>8.06</v>
      </c>
      <c r="K410" s="4">
        <f>_xlfn.LET(
_xlpm.c,RawData!K410,
_xlpm.r,RawData!J410,
_xlpm.p,RawData!L410,
IF(AND(ISNUMBER(_xlpm.c),_xlpm.c&gt;=0),_xlpm.c,
   IF(AND(ISNUMBER(_xlpm.r),ISNUMBER(_xlpm.p)),
      _xlpm.r-_xlpm.p,
      ""
   )
)
)</f>
        <v>5.3</v>
      </c>
      <c r="L410" s="4">
        <f>_xlfn.LET(
_xlpm.p,RawData!L410,
_xlpm.r,RawData!J410,
_xlpm.c,RawData!K410,
IF(ISNUMBER(_xlpm.p),_xlpm.p,
IF(AND(ISNUMBER(_xlpm.r),ISNUMBER(_xlpm.c)),
_xlpm.r-_xlpm.c,
""
)
))</f>
        <v>2.76</v>
      </c>
    </row>
    <row r="411" spans="1:12" x14ac:dyDescent="0.35">
      <c r="A411" t="s">
        <v>451</v>
      </c>
      <c r="B411" s="7">
        <v>45748</v>
      </c>
      <c r="C411" t="str">
        <f>IF(RawData!C411="","Unknown",PROPER(TRIM(CLEAN(SUBSTITUTE(RawData!C411,CHAR(160)," ")))))</f>
        <v>North</v>
      </c>
      <c r="D411" t="str">
        <f>IF(RawData!D411="","Unknown",PROPER(TRIM(CLEAN(SUBSTITUTE(RawData!D411,CHAR(160)," ")))))</f>
        <v>Lucknow</v>
      </c>
      <c r="E411" t="str">
        <f>IF(RawData!E411="","Unknown",PROPER(TRIM(CLEAN(SUBSTITUTE(RawData!E411,CHAR(160)," ")))))</f>
        <v>Bookshelf</v>
      </c>
      <c r="F411" t="str">
        <f>IF(RawData!F411="","Unknown",PROPER(TRIM(CLEAN(SUBSTITUTE(RawData!F411,CHAR(160)," ")))))</f>
        <v>Furniture</v>
      </c>
      <c r="G411">
        <f>_xlfn.LET(
_xlpm.q,RawData!G411,
_xlpm.u,RawData!H411,
_xlpm.d,RawData!I411,
_xlpm.r,RawData!J411,
IF(AND(ISNUMBER(_xlpm.q),_xlpm.q&gt;0),_xlpm.q,
   IF(AND(ISNUMBER(_xlpm.r),ISNUMBER(_xlpm.u),_xlpm.u&gt;0,ISNUMBER(_xlpm.d),_xlpm.d&gt;=0,_xlpm.d&lt;1),
      ROUND(_xlpm.r/(_xlpm.u*(1-_xlpm.d)),0),
      ""
   )
)
)</f>
        <v>8</v>
      </c>
      <c r="H411" s="4">
        <f>_xlfn.LET(
_xlpm.q,RawData!G411,
_xlpm.u,RawData!H411,
_xlpm.d,RawData!I411,
_xlpm.r,RawData!J411,
IF(AND(ISNUMBER(_xlpm.u),_xlpm.u&gt;0),_xlpm.u,
   IF(AND(ISNUMBER(_xlpm.q),_xlpm.q&gt;0,ISNUMBER(_xlpm.r),ISNUMBER(_xlpm.d),_xlpm.d&gt;=0,_xlpm.d&lt;1),
      _xlpm.r/(_xlpm.q*(1-_xlpm.d)),
      ""
   )
)
)</f>
        <v>121.3</v>
      </c>
      <c r="I411" s="5">
        <f>_xlfn.LET(
_xlpm.q,RawData!G411,
_xlpm.u,RawData!H411,
_xlpm.d,RawData!I411,
_xlpm.r,RawData!J411,
IF(AND(ISNUMBER(_xlpm.d),_xlpm.d&gt;=0,_xlpm.d&lt;1),_xlpm.d,
   IF(AND(ISNUMBER(_xlpm.q),_xlpm.q&gt;0,ISNUMBER(_xlpm.u),_xlpm.u&gt;0,ISNUMBER(_xlpm.r),_xlpm.r&gt;=0),
      1-(_xlpm.r/(_xlpm.q*_xlpm.u)),
      ""
   )
)
)</f>
        <v>0.02</v>
      </c>
      <c r="J411" s="4">
        <f>_xlfn.LET(
_xlpm.q,RawData!G411,
_xlpm.u,RawData!H411,
_xlpm.d,RawData!I411,
_xlpm.r,RawData!J411,
IF(AND(ISNUMBER(_xlpm.r),_xlpm.r&gt;=0),_xlpm.r,
   IF(AND(ISNUMBER(_xlpm.q),_xlpm.q&gt;0,ISNUMBER(_xlpm.u),_xlpm.u&gt;0,ISNUMBER(_xlpm.d),_xlpm.d&gt;=0,_xlpm.d&lt;1),
      _xlpm.q*_xlpm.u*(1-_xlpm.d),
      ""
   )
)
)</f>
        <v>950.99</v>
      </c>
      <c r="K411" s="4">
        <f>_xlfn.LET(
_xlpm.c,RawData!K411,
_xlpm.r,RawData!J411,
_xlpm.p,RawData!L411,
IF(AND(ISNUMBER(_xlpm.c),_xlpm.c&gt;=0),_xlpm.c,
   IF(AND(ISNUMBER(_xlpm.r),ISNUMBER(_xlpm.p)),
      _xlpm.r-_xlpm.p,
      ""
   )
)
)</f>
        <v>609.11</v>
      </c>
      <c r="L411" s="4">
        <f>_xlfn.LET(
_xlpm.p,RawData!L411,
_xlpm.r,RawData!J411,
_xlpm.c,RawData!K411,
IF(ISNUMBER(_xlpm.p),_xlpm.p,
IF(AND(ISNUMBER(_xlpm.r),ISNUMBER(_xlpm.c)),
_xlpm.r-_xlpm.c,
""
)
))</f>
        <v>341.88</v>
      </c>
    </row>
    <row r="412" spans="1:12" x14ac:dyDescent="0.35">
      <c r="A412" t="s">
        <v>452</v>
      </c>
      <c r="B412" s="7">
        <v>45806</v>
      </c>
      <c r="C412" t="str">
        <f>IF(RawData!C412="","Unknown",PROPER(TRIM(CLEAN(SUBSTITUTE(RawData!C412,CHAR(160)," ")))))</f>
        <v>North</v>
      </c>
      <c r="D412" t="str">
        <f>IF(RawData!D412="","Unknown",PROPER(TRIM(CLEAN(SUBSTITUTE(RawData!D412,CHAR(160)," ")))))</f>
        <v>Lucknow</v>
      </c>
      <c r="E412" t="str">
        <f>IF(RawData!E412="","Unknown",PROPER(TRIM(CLEAN(SUBSTITUTE(RawData!E412,CHAR(160)," ")))))</f>
        <v>Laptop</v>
      </c>
      <c r="F412" t="str">
        <f>IF(RawData!F412="","Unknown",PROPER(TRIM(CLEAN(SUBSTITUTE(RawData!F412,CHAR(160)," ")))))</f>
        <v>Electronics</v>
      </c>
      <c r="G412">
        <f>_xlfn.LET(
_xlpm.q,RawData!G412,
_xlpm.u,RawData!H412,
_xlpm.d,RawData!I412,
_xlpm.r,RawData!J412,
IF(AND(ISNUMBER(_xlpm.q),_xlpm.q&gt;0),_xlpm.q,
   IF(AND(ISNUMBER(_xlpm.r),ISNUMBER(_xlpm.u),_xlpm.u&gt;0,ISNUMBER(_xlpm.d),_xlpm.d&gt;=0,_xlpm.d&lt;1),
      ROUND(_xlpm.r/(_xlpm.u*(1-_xlpm.d)),0),
      ""
   )
)
)</f>
        <v>5</v>
      </c>
      <c r="H412" s="4">
        <f>_xlfn.LET(
_xlpm.q,RawData!G412,
_xlpm.u,RawData!H412,
_xlpm.d,RawData!I412,
_xlpm.r,RawData!J412,
IF(AND(ISNUMBER(_xlpm.u),_xlpm.u&gt;0),_xlpm.u,
   IF(AND(ISNUMBER(_xlpm.q),_xlpm.q&gt;0,ISNUMBER(_xlpm.r),ISNUMBER(_xlpm.d),_xlpm.d&gt;=0,_xlpm.d&lt;1),
      _xlpm.r/(_xlpm.q*(1-_xlpm.d)),
      ""
   )
)
)</f>
        <v>927.23</v>
      </c>
      <c r="I412" s="5">
        <f>_xlfn.LET(
_xlpm.q,RawData!G412,
_xlpm.u,RawData!H412,
_xlpm.d,RawData!I412,
_xlpm.r,RawData!J412,
IF(AND(ISNUMBER(_xlpm.d),_xlpm.d&gt;=0,_xlpm.d&lt;1),_xlpm.d,
   IF(AND(ISNUMBER(_xlpm.q),_xlpm.q&gt;0,ISNUMBER(_xlpm.u),_xlpm.u&gt;0,ISNUMBER(_xlpm.r),_xlpm.r&gt;=0),
      1-(_xlpm.r/(_xlpm.q*_xlpm.u)),
      ""
   )
)
)</f>
        <v>0.15</v>
      </c>
      <c r="J412" s="4">
        <f>_xlfn.LET(
_xlpm.q,RawData!G412,
_xlpm.u,RawData!H412,
_xlpm.d,RawData!I412,
_xlpm.r,RawData!J412,
IF(AND(ISNUMBER(_xlpm.r),_xlpm.r&gt;=0),_xlpm.r,
   IF(AND(ISNUMBER(_xlpm.q),_xlpm.q&gt;0,ISNUMBER(_xlpm.u),_xlpm.u&gt;0,ISNUMBER(_xlpm.d),_xlpm.d&gt;=0,_xlpm.d&lt;1),
      _xlpm.q*_xlpm.u*(1-_xlpm.d),
      ""
   )
)
)</f>
        <v>3940.73</v>
      </c>
      <c r="K412" s="4">
        <f>_xlfn.LET(
_xlpm.c,RawData!K412,
_xlpm.r,RawData!J412,
_xlpm.p,RawData!L412,
IF(AND(ISNUMBER(_xlpm.c),_xlpm.c&gt;=0),_xlpm.c,
   IF(AND(ISNUMBER(_xlpm.r),ISNUMBER(_xlpm.p)),
      _xlpm.r-_xlpm.p,
      ""
   )
)
)</f>
        <v>2172.33</v>
      </c>
      <c r="L412" s="4">
        <f>_xlfn.LET(
_xlpm.p,RawData!L412,
_xlpm.r,RawData!J412,
_xlpm.c,RawData!K412,
IF(ISNUMBER(_xlpm.p),_xlpm.p,
IF(AND(ISNUMBER(_xlpm.r),ISNUMBER(_xlpm.c)),
_xlpm.r-_xlpm.c,
""
)
))</f>
        <v>1768.4</v>
      </c>
    </row>
    <row r="413" spans="1:12" x14ac:dyDescent="0.35">
      <c r="A413" t="s">
        <v>453</v>
      </c>
      <c r="B413" s="7">
        <v>45712</v>
      </c>
      <c r="C413" t="str">
        <f>IF(RawData!C413="","Unknown",PROPER(TRIM(CLEAN(SUBSTITUTE(RawData!C413,CHAR(160)," ")))))</f>
        <v>East</v>
      </c>
      <c r="D413" t="str">
        <f>IF(RawData!D413="","Unknown",PROPER(TRIM(CLEAN(SUBSTITUTE(RawData!D413,CHAR(160)," ")))))</f>
        <v>Patna</v>
      </c>
      <c r="E413" t="str">
        <f>IF(RawData!E413="","Unknown",PROPER(TRIM(CLEAN(SUBSTITUTE(RawData!E413,CHAR(160)," ")))))</f>
        <v>Office Chair</v>
      </c>
      <c r="F413" t="str">
        <f>IF(RawData!F413="","Unknown",PROPER(TRIM(CLEAN(SUBSTITUTE(RawData!F413,CHAR(160)," ")))))</f>
        <v>Furniture</v>
      </c>
      <c r="G413">
        <f>_xlfn.LET(
_xlpm.q,RawData!G413,
_xlpm.u,RawData!H413,
_xlpm.d,RawData!I413,
_xlpm.r,RawData!J413,
IF(AND(ISNUMBER(_xlpm.q),_xlpm.q&gt;0),_xlpm.q,
   IF(AND(ISNUMBER(_xlpm.r),ISNUMBER(_xlpm.u),_xlpm.u&gt;0,ISNUMBER(_xlpm.d),_xlpm.d&gt;=0,_xlpm.d&lt;1),
      ROUND(_xlpm.r/(_xlpm.u*(1-_xlpm.d)),0),
      ""
   )
)
)</f>
        <v>8</v>
      </c>
      <c r="H413" s="4">
        <f>_xlfn.LET(
_xlpm.q,RawData!G413,
_xlpm.u,RawData!H413,
_xlpm.d,RawData!I413,
_xlpm.r,RawData!J413,
IF(AND(ISNUMBER(_xlpm.u),_xlpm.u&gt;0),_xlpm.u,
   IF(AND(ISNUMBER(_xlpm.q),_xlpm.q&gt;0,ISNUMBER(_xlpm.r),ISNUMBER(_xlpm.d),_xlpm.d&gt;=0,_xlpm.d&lt;1),
      _xlpm.r/(_xlpm.q*(1-_xlpm.d)),
      ""
   )
)
)</f>
        <v>171.01</v>
      </c>
      <c r="I413" s="5">
        <f>_xlfn.LET(
_xlpm.q,RawData!G413,
_xlpm.u,RawData!H413,
_xlpm.d,RawData!I413,
_xlpm.r,RawData!J413,
IF(AND(ISNUMBER(_xlpm.d),_xlpm.d&gt;=0,_xlpm.d&lt;1),_xlpm.d,
   IF(AND(ISNUMBER(_xlpm.q),_xlpm.q&gt;0,ISNUMBER(_xlpm.u),_xlpm.u&gt;0,ISNUMBER(_xlpm.r),_xlpm.r&gt;=0),
      1-(_xlpm.r/(_xlpm.q*_xlpm.u)),
      ""
   )
)
)</f>
        <v>0.2</v>
      </c>
      <c r="J413" s="4">
        <f>_xlfn.LET(
_xlpm.q,RawData!G413,
_xlpm.u,RawData!H413,
_xlpm.d,RawData!I413,
_xlpm.r,RawData!J413,
IF(AND(ISNUMBER(_xlpm.r),_xlpm.r&gt;=0),_xlpm.r,
   IF(AND(ISNUMBER(_xlpm.q),_xlpm.q&gt;0,ISNUMBER(_xlpm.u),_xlpm.u&gt;0,ISNUMBER(_xlpm.d),_xlpm.d&gt;=0,_xlpm.d&lt;1),
      _xlpm.q*_xlpm.u*(1-_xlpm.d),
      ""
   )
)
)</f>
        <v>1094.46</v>
      </c>
      <c r="K413" s="4">
        <f>_xlfn.LET(
_xlpm.c,RawData!K413,
_xlpm.r,RawData!J413,
_xlpm.p,RawData!L413,
IF(AND(ISNUMBER(_xlpm.c),_xlpm.c&gt;=0),_xlpm.c,
   IF(AND(ISNUMBER(_xlpm.r),ISNUMBER(_xlpm.p)),
      _xlpm.r-_xlpm.p,
      ""
   )
)
)</f>
        <v>719.61</v>
      </c>
      <c r="L413" s="4">
        <f>_xlfn.LET(
_xlpm.p,RawData!L413,
_xlpm.r,RawData!J413,
_xlpm.c,RawData!K413,
IF(ISNUMBER(_xlpm.p),_xlpm.p,
IF(AND(ISNUMBER(_xlpm.r),ISNUMBER(_xlpm.c)),
_xlpm.r-_xlpm.c,
""
)
))</f>
        <v>374.85</v>
      </c>
    </row>
    <row r="414" spans="1:12" x14ac:dyDescent="0.35">
      <c r="A414" t="s">
        <v>454</v>
      </c>
      <c r="B414" s="7">
        <v>45926</v>
      </c>
      <c r="C414" t="str">
        <f>IF(RawData!C414="","Unknown",PROPER(TRIM(CLEAN(SUBSTITUTE(RawData!C414,CHAR(160)," ")))))</f>
        <v>West</v>
      </c>
      <c r="D414" t="str">
        <f>IF(RawData!D414="","Unknown",PROPER(TRIM(CLEAN(SUBSTITUTE(RawData!D414,CHAR(160)," ")))))</f>
        <v>Pune</v>
      </c>
      <c r="E414" t="str">
        <f>IF(RawData!E414="","Unknown",PROPER(TRIM(CLEAN(SUBSTITUTE(RawData!E414,CHAR(160)," ")))))</f>
        <v>Headphones</v>
      </c>
      <c r="F414" t="str">
        <f>IF(RawData!F414="","Unknown",PROPER(TRIM(CLEAN(SUBSTITUTE(RawData!F414,CHAR(160)," ")))))</f>
        <v>Electronics</v>
      </c>
      <c r="G414">
        <f>_xlfn.LET(
_xlpm.q,RawData!G414,
_xlpm.u,RawData!H414,
_xlpm.d,RawData!I414,
_xlpm.r,RawData!J414,
IF(AND(ISNUMBER(_xlpm.q),_xlpm.q&gt;0),_xlpm.q,
   IF(AND(ISNUMBER(_xlpm.r),ISNUMBER(_xlpm.u),_xlpm.u&gt;0,ISNUMBER(_xlpm.d),_xlpm.d&gt;=0,_xlpm.d&lt;1),
      ROUND(_xlpm.r/(_xlpm.u*(1-_xlpm.d)),0),
      ""
   )
)
)</f>
        <v>9</v>
      </c>
      <c r="H414" s="4">
        <f>_xlfn.LET(
_xlpm.q,RawData!G414,
_xlpm.u,RawData!H414,
_xlpm.d,RawData!I414,
_xlpm.r,RawData!J414,
IF(AND(ISNUMBER(_xlpm.u),_xlpm.u&gt;0),_xlpm.u,
   IF(AND(ISNUMBER(_xlpm.q),_xlpm.q&gt;0,ISNUMBER(_xlpm.r),ISNUMBER(_xlpm.d),_xlpm.d&gt;=0,_xlpm.d&lt;1),
      _xlpm.r/(_xlpm.q*(1-_xlpm.d)),
      ""
   )
)
)</f>
        <v>80.900000000000006</v>
      </c>
      <c r="I414" s="5">
        <f>_xlfn.LET(
_xlpm.q,RawData!G414,
_xlpm.u,RawData!H414,
_xlpm.d,RawData!I414,
_xlpm.r,RawData!J414,
IF(AND(ISNUMBER(_xlpm.d),_xlpm.d&gt;=0,_xlpm.d&lt;1),_xlpm.d,
   IF(AND(ISNUMBER(_xlpm.q),_xlpm.q&gt;0,ISNUMBER(_xlpm.u),_xlpm.u&gt;0,ISNUMBER(_xlpm.r),_xlpm.r&gt;=0),
      1-(_xlpm.r/(_xlpm.q*_xlpm.u)),
      ""
   )
)
)</f>
        <v>0.1</v>
      </c>
      <c r="J414" s="4">
        <f>_xlfn.LET(
_xlpm.q,RawData!G414,
_xlpm.u,RawData!H414,
_xlpm.d,RawData!I414,
_xlpm.r,RawData!J414,
IF(AND(ISNUMBER(_xlpm.r),_xlpm.r&gt;=0),_xlpm.r,
   IF(AND(ISNUMBER(_xlpm.q),_xlpm.q&gt;0,ISNUMBER(_xlpm.u),_xlpm.u&gt;0,ISNUMBER(_xlpm.d),_xlpm.d&gt;=0,_xlpm.d&lt;1),
      _xlpm.q*_xlpm.u*(1-_xlpm.d),
      ""
   )
)
)</f>
        <v>655.29</v>
      </c>
      <c r="K414" s="4">
        <f>_xlfn.LET(
_xlpm.c,RawData!K414,
_xlpm.r,RawData!J414,
_xlpm.p,RawData!L414,
IF(AND(ISNUMBER(_xlpm.c),_xlpm.c&gt;=0),_xlpm.c,
   IF(AND(ISNUMBER(_xlpm.r),ISNUMBER(_xlpm.p)),
      _xlpm.r-_xlpm.p,
      ""
   )
)
)</f>
        <v>523.16</v>
      </c>
      <c r="L414" s="4">
        <f>_xlfn.LET(
_xlpm.p,RawData!L414,
_xlpm.r,RawData!J414,
_xlpm.c,RawData!K414,
IF(ISNUMBER(_xlpm.p),_xlpm.p,
IF(AND(ISNUMBER(_xlpm.r),ISNUMBER(_xlpm.c)),
_xlpm.r-_xlpm.c,
""
)
))</f>
        <v>132.13</v>
      </c>
    </row>
    <row r="415" spans="1:12" x14ac:dyDescent="0.35">
      <c r="A415" t="s">
        <v>455</v>
      </c>
      <c r="B415" s="7">
        <v>45756</v>
      </c>
      <c r="C415" t="str">
        <f>IF(RawData!C415="","Unknown",PROPER(TRIM(CLEAN(SUBSTITUTE(RawData!C415,CHAR(160)," ")))))</f>
        <v>North</v>
      </c>
      <c r="D415" t="str">
        <f>IF(RawData!D415="","Unknown",PROPER(TRIM(CLEAN(SUBSTITUTE(RawData!D415,CHAR(160)," ")))))</f>
        <v>Jaipur</v>
      </c>
      <c r="E415" t="str">
        <f>IF(RawData!E415="","Unknown",PROPER(TRIM(CLEAN(SUBSTITUTE(RawData!E415,CHAR(160)," ")))))</f>
        <v>Desk</v>
      </c>
      <c r="F415" t="str">
        <f>IF(RawData!F415="","Unknown",PROPER(TRIM(CLEAN(SUBSTITUTE(RawData!F415,CHAR(160)," ")))))</f>
        <v>Furniture</v>
      </c>
      <c r="G415">
        <f>_xlfn.LET(
_xlpm.q,RawData!G415,
_xlpm.u,RawData!H415,
_xlpm.d,RawData!I415,
_xlpm.r,RawData!J415,
IF(AND(ISNUMBER(_xlpm.q),_xlpm.q&gt;0),_xlpm.q,
   IF(AND(ISNUMBER(_xlpm.r),ISNUMBER(_xlpm.u),_xlpm.u&gt;0,ISNUMBER(_xlpm.d),_xlpm.d&gt;=0,_xlpm.d&lt;1),
      ROUND(_xlpm.r/(_xlpm.u*(1-_xlpm.d)),0),
      ""
   )
)
)</f>
        <v>3</v>
      </c>
      <c r="H415" s="4">
        <f>_xlfn.LET(
_xlpm.q,RawData!G415,
_xlpm.u,RawData!H415,
_xlpm.d,RawData!I415,
_xlpm.r,RawData!J415,
IF(AND(ISNUMBER(_xlpm.u),_xlpm.u&gt;0),_xlpm.u,
   IF(AND(ISNUMBER(_xlpm.q),_xlpm.q&gt;0,ISNUMBER(_xlpm.r),ISNUMBER(_xlpm.d),_xlpm.d&gt;=0,_xlpm.d&lt;1),
      _xlpm.r/(_xlpm.q*(1-_xlpm.d)),
      ""
   )
)
)</f>
        <v>238.48</v>
      </c>
      <c r="I415" s="5">
        <f>_xlfn.LET(
_xlpm.q,RawData!G415,
_xlpm.u,RawData!H415,
_xlpm.d,RawData!I415,
_xlpm.r,RawData!J415,
IF(AND(ISNUMBER(_xlpm.d),_xlpm.d&gt;=0,_xlpm.d&lt;1),_xlpm.d,
   IF(AND(ISNUMBER(_xlpm.q),_xlpm.q&gt;0,ISNUMBER(_xlpm.u),_xlpm.u&gt;0,ISNUMBER(_xlpm.r),_xlpm.r&gt;=0),
      1-(_xlpm.r/(_xlpm.q*_xlpm.u)),
      ""
   )
)
)</f>
        <v>0.2</v>
      </c>
      <c r="J415" s="4">
        <f>_xlfn.LET(
_xlpm.q,RawData!G415,
_xlpm.u,RawData!H415,
_xlpm.d,RawData!I415,
_xlpm.r,RawData!J415,
IF(AND(ISNUMBER(_xlpm.r),_xlpm.r&gt;=0),_xlpm.r,
   IF(AND(ISNUMBER(_xlpm.q),_xlpm.q&gt;0,ISNUMBER(_xlpm.u),_xlpm.u&gt;0,ISNUMBER(_xlpm.d),_xlpm.d&gt;=0,_xlpm.d&lt;1),
      _xlpm.q*_xlpm.u*(1-_xlpm.d),
      ""
   )
)
)</f>
        <v>572.35</v>
      </c>
      <c r="K415" s="4">
        <f>_xlfn.LET(
_xlpm.c,RawData!K415,
_xlpm.r,RawData!J415,
_xlpm.p,RawData!L415,
IF(AND(ISNUMBER(_xlpm.c),_xlpm.c&gt;=0),_xlpm.c,
   IF(AND(ISNUMBER(_xlpm.r),ISNUMBER(_xlpm.p)),
      _xlpm.r-_xlpm.p,
      ""
   )
)
)</f>
        <v>368.41</v>
      </c>
      <c r="L415" s="4">
        <f>_xlfn.LET(
_xlpm.p,RawData!L415,
_xlpm.r,RawData!J415,
_xlpm.c,RawData!K415,
IF(ISNUMBER(_xlpm.p),_xlpm.p,
IF(AND(ISNUMBER(_xlpm.r),ISNUMBER(_xlpm.c)),
_xlpm.r-_xlpm.c,
""
)
))</f>
        <v>203.94</v>
      </c>
    </row>
    <row r="416" spans="1:12" x14ac:dyDescent="0.35">
      <c r="A416" t="s">
        <v>456</v>
      </c>
      <c r="B416" s="7">
        <v>45989</v>
      </c>
      <c r="C416" t="str">
        <f>IF(RawData!C416="","Unknown",PROPER(TRIM(CLEAN(SUBSTITUTE(RawData!C416,CHAR(160)," ")))))</f>
        <v>East</v>
      </c>
      <c r="D416" t="str">
        <f>IF(RawData!D416="","Unknown",PROPER(TRIM(CLEAN(SUBSTITUTE(RawData!D416,CHAR(160)," ")))))</f>
        <v>Patna</v>
      </c>
      <c r="E416" t="str">
        <f>IF(RawData!E416="","Unknown",PROPER(TRIM(CLEAN(SUBSTITUTE(RawData!E416,CHAR(160)," ")))))</f>
        <v>Keyboard</v>
      </c>
      <c r="F416" t="str">
        <f>IF(RawData!F416="","Unknown",PROPER(TRIM(CLEAN(SUBSTITUTE(RawData!F416,CHAR(160)," ")))))</f>
        <v>Accessories</v>
      </c>
      <c r="G416">
        <f>_xlfn.LET(
_xlpm.q,RawData!G416,
_xlpm.u,RawData!H416,
_xlpm.d,RawData!I416,
_xlpm.r,RawData!J416,
IF(AND(ISNUMBER(_xlpm.q),_xlpm.q&gt;0),_xlpm.q,
   IF(AND(ISNUMBER(_xlpm.r),ISNUMBER(_xlpm.u),_xlpm.u&gt;0,ISNUMBER(_xlpm.d),_xlpm.d&gt;=0,_xlpm.d&lt;1),
      ROUND(_xlpm.r/(_xlpm.u*(1-_xlpm.d)),0),
      ""
   )
)
)</f>
        <v>3</v>
      </c>
      <c r="H416" s="4">
        <f>_xlfn.LET(
_xlpm.q,RawData!G416,
_xlpm.u,RawData!H416,
_xlpm.d,RawData!I416,
_xlpm.r,RawData!J416,
IF(AND(ISNUMBER(_xlpm.u),_xlpm.u&gt;0),_xlpm.u,
   IF(AND(ISNUMBER(_xlpm.q),_xlpm.q&gt;0,ISNUMBER(_xlpm.r),ISNUMBER(_xlpm.d),_xlpm.d&gt;=0,_xlpm.d&lt;1),
      _xlpm.r/(_xlpm.q*(1-_xlpm.d)),
      ""
   )
)
)</f>
        <v>37.49</v>
      </c>
      <c r="I416" s="5">
        <f>_xlfn.LET(
_xlpm.q,RawData!G416,
_xlpm.u,RawData!H416,
_xlpm.d,RawData!I416,
_xlpm.r,RawData!J416,
IF(AND(ISNUMBER(_xlpm.d),_xlpm.d&gt;=0,_xlpm.d&lt;1),_xlpm.d,
   IF(AND(ISNUMBER(_xlpm.q),_xlpm.q&gt;0,ISNUMBER(_xlpm.u),_xlpm.u&gt;0,ISNUMBER(_xlpm.r),_xlpm.r&gt;=0),
      1-(_xlpm.r/(_xlpm.q*_xlpm.u)),
      ""
   )
)
)</f>
        <v>0</v>
      </c>
      <c r="J416" s="4">
        <f>_xlfn.LET(
_xlpm.q,RawData!G416,
_xlpm.u,RawData!H416,
_xlpm.d,RawData!I416,
_xlpm.r,RawData!J416,
IF(AND(ISNUMBER(_xlpm.r),_xlpm.r&gt;=0),_xlpm.r,
   IF(AND(ISNUMBER(_xlpm.q),_xlpm.q&gt;0,ISNUMBER(_xlpm.u),_xlpm.u&gt;0,ISNUMBER(_xlpm.d),_xlpm.d&gt;=0,_xlpm.d&lt;1),
      _xlpm.q*_xlpm.u*(1-_xlpm.d),
      ""
   )
)
)</f>
        <v>112.47</v>
      </c>
      <c r="K416" s="4">
        <f>_xlfn.LET(
_xlpm.c,RawData!K416,
_xlpm.r,RawData!J416,
_xlpm.p,RawData!L416,
IF(AND(ISNUMBER(_xlpm.c),_xlpm.c&gt;=0),_xlpm.c,
   IF(AND(ISNUMBER(_xlpm.r),ISNUMBER(_xlpm.p)),
      _xlpm.r-_xlpm.p,
      ""
   )
)
)</f>
        <v>75.59</v>
      </c>
      <c r="L416" s="4">
        <f>_xlfn.LET(
_xlpm.p,RawData!L416,
_xlpm.r,RawData!J416,
_xlpm.c,RawData!K416,
IF(ISNUMBER(_xlpm.p),_xlpm.p,
IF(AND(ISNUMBER(_xlpm.r),ISNUMBER(_xlpm.c)),
_xlpm.r-_xlpm.c,
""
)
))</f>
        <v>36.880000000000003</v>
      </c>
    </row>
    <row r="417" spans="1:12" x14ac:dyDescent="0.35">
      <c r="A417" t="s">
        <v>457</v>
      </c>
      <c r="B417" s="7">
        <v>45830</v>
      </c>
      <c r="C417" t="str">
        <f>IF(RawData!C417="","Unknown",PROPER(TRIM(CLEAN(SUBSTITUTE(RawData!C417,CHAR(160)," ")))))</f>
        <v>East</v>
      </c>
      <c r="D417" t="str">
        <f>IF(RawData!D417="","Unknown",PROPER(TRIM(CLEAN(SUBSTITUTE(RawData!D417,CHAR(160)," ")))))</f>
        <v>Patna</v>
      </c>
      <c r="E417" t="str">
        <f>IF(RawData!E417="","Unknown",PROPER(TRIM(CLEAN(SUBSTITUTE(RawData!E417,CHAR(160)," ")))))</f>
        <v>Pen Set</v>
      </c>
      <c r="F417" t="str">
        <f>IF(RawData!F417="","Unknown",PROPER(TRIM(CLEAN(SUBSTITUTE(RawData!F417,CHAR(160)," ")))))</f>
        <v>Office Supplies</v>
      </c>
      <c r="G417">
        <f>_xlfn.LET(
_xlpm.q,RawData!G417,
_xlpm.u,RawData!H417,
_xlpm.d,RawData!I417,
_xlpm.r,RawData!J417,
IF(AND(ISNUMBER(_xlpm.q),_xlpm.q&gt;0),_xlpm.q,
   IF(AND(ISNUMBER(_xlpm.r),ISNUMBER(_xlpm.u),_xlpm.u&gt;0,ISNUMBER(_xlpm.d),_xlpm.d&gt;=0,_xlpm.d&lt;1),
      ROUND(_xlpm.r/(_xlpm.u*(1-_xlpm.d)),0),
      ""
   )
)
)</f>
        <v>4</v>
      </c>
      <c r="H417" s="4">
        <f>_xlfn.LET(
_xlpm.q,RawData!G417,
_xlpm.u,RawData!H417,
_xlpm.d,RawData!I417,
_xlpm.r,RawData!J417,
IF(AND(ISNUMBER(_xlpm.u),_xlpm.u&gt;0),_xlpm.u,
   IF(AND(ISNUMBER(_xlpm.q),_xlpm.q&gt;0,ISNUMBER(_xlpm.r),ISNUMBER(_xlpm.d),_xlpm.d&gt;=0,_xlpm.d&lt;1),
      _xlpm.r/(_xlpm.q*(1-_xlpm.d)),
      ""
   )
)
)</f>
        <v>11.01</v>
      </c>
      <c r="I417" s="5">
        <f>_xlfn.LET(
_xlpm.q,RawData!G417,
_xlpm.u,RawData!H417,
_xlpm.d,RawData!I417,
_xlpm.r,RawData!J417,
IF(AND(ISNUMBER(_xlpm.d),_xlpm.d&gt;=0,_xlpm.d&lt;1),_xlpm.d,
   IF(AND(ISNUMBER(_xlpm.q),_xlpm.q&gt;0,ISNUMBER(_xlpm.u),_xlpm.u&gt;0,ISNUMBER(_xlpm.r),_xlpm.r&gt;=0),
      1-(_xlpm.r/(_xlpm.q*_xlpm.u)),
      ""
   )
)
)</f>
        <v>0.02</v>
      </c>
      <c r="J417" s="4">
        <f>_xlfn.LET(
_xlpm.q,RawData!G417,
_xlpm.u,RawData!H417,
_xlpm.d,RawData!I417,
_xlpm.r,RawData!J417,
IF(AND(ISNUMBER(_xlpm.r),_xlpm.r&gt;=0),_xlpm.r,
   IF(AND(ISNUMBER(_xlpm.q),_xlpm.q&gt;0,ISNUMBER(_xlpm.u),_xlpm.u&gt;0,ISNUMBER(_xlpm.d),_xlpm.d&gt;=0,_xlpm.d&lt;1),
      _xlpm.q*_xlpm.u*(1-_xlpm.d),
      ""
   )
)
)</f>
        <v>43.16</v>
      </c>
      <c r="K417" s="4">
        <f>_xlfn.LET(
_xlpm.c,RawData!K417,
_xlpm.r,RawData!J417,
_xlpm.p,RawData!L417,
IF(AND(ISNUMBER(_xlpm.c),_xlpm.c&gt;=0),_xlpm.c,
   IF(AND(ISNUMBER(_xlpm.r),ISNUMBER(_xlpm.p)),
      _xlpm.r-_xlpm.p,
      ""
   )
)
)</f>
        <v>29.01</v>
      </c>
      <c r="L417" s="4">
        <f>_xlfn.LET(
_xlpm.p,RawData!L417,
_xlpm.r,RawData!J417,
_xlpm.c,RawData!K417,
IF(ISNUMBER(_xlpm.p),_xlpm.p,
IF(AND(ISNUMBER(_xlpm.r),ISNUMBER(_xlpm.c)),
_xlpm.r-_xlpm.c,
""
)
))</f>
        <v>14.15</v>
      </c>
    </row>
    <row r="418" spans="1:12" x14ac:dyDescent="0.35">
      <c r="A418" t="s">
        <v>458</v>
      </c>
      <c r="B418" s="7">
        <v>45985</v>
      </c>
      <c r="C418" t="str">
        <f>IF(RawData!C418="","Unknown",PROPER(TRIM(CLEAN(SUBSTITUTE(RawData!C418,CHAR(160)," ")))))</f>
        <v>West</v>
      </c>
      <c r="D418" t="str">
        <f>IF(RawData!D418="","Unknown",PROPER(TRIM(CLEAN(SUBSTITUTE(RawData!D418,CHAR(160)," ")))))</f>
        <v>Mumbai</v>
      </c>
      <c r="E418" t="str">
        <f>IF(RawData!E418="","Unknown",PROPER(TRIM(CLEAN(SUBSTITUTE(RawData!E418,CHAR(160)," ")))))</f>
        <v>Bookshelf</v>
      </c>
      <c r="F418" t="str">
        <f>IF(RawData!F418="","Unknown",PROPER(TRIM(CLEAN(SUBSTITUTE(RawData!F418,CHAR(160)," ")))))</f>
        <v>Furniture</v>
      </c>
      <c r="G418">
        <f>_xlfn.LET(
_xlpm.q,RawData!G418,
_xlpm.u,RawData!H418,
_xlpm.d,RawData!I418,
_xlpm.r,RawData!J418,
IF(AND(ISNUMBER(_xlpm.q),_xlpm.q&gt;0),_xlpm.q,
   IF(AND(ISNUMBER(_xlpm.r),ISNUMBER(_xlpm.u),_xlpm.u&gt;0,ISNUMBER(_xlpm.d),_xlpm.d&gt;=0,_xlpm.d&lt;1),
      ROUND(_xlpm.r/(_xlpm.u*(1-_xlpm.d)),0),
      ""
   )
)
)</f>
        <v>9</v>
      </c>
      <c r="H418" s="4">
        <f>_xlfn.LET(
_xlpm.q,RawData!G418,
_xlpm.u,RawData!H418,
_xlpm.d,RawData!I418,
_xlpm.r,RawData!J418,
IF(AND(ISNUMBER(_xlpm.u),_xlpm.u&gt;0),_xlpm.u,
   IF(AND(ISNUMBER(_xlpm.q),_xlpm.q&gt;0,ISNUMBER(_xlpm.r),ISNUMBER(_xlpm.d),_xlpm.d&gt;=0,_xlpm.d&lt;1),
      _xlpm.r/(_xlpm.q*(1-_xlpm.d)),
      ""
   )
)
)</f>
        <v>124.92</v>
      </c>
      <c r="I418" s="5">
        <f>_xlfn.LET(
_xlpm.q,RawData!G418,
_xlpm.u,RawData!H418,
_xlpm.d,RawData!I418,
_xlpm.r,RawData!J418,
IF(AND(ISNUMBER(_xlpm.d),_xlpm.d&gt;=0,_xlpm.d&lt;1),_xlpm.d,
   IF(AND(ISNUMBER(_xlpm.q),_xlpm.q&gt;0,ISNUMBER(_xlpm.u),_xlpm.u&gt;0,ISNUMBER(_xlpm.r),_xlpm.r&gt;=0),
      1-(_xlpm.r/(_xlpm.q*_xlpm.u)),
      ""
   )
)
)</f>
        <v>0.05</v>
      </c>
      <c r="J418" s="4">
        <f>_xlfn.LET(
_xlpm.q,RawData!G418,
_xlpm.u,RawData!H418,
_xlpm.d,RawData!I418,
_xlpm.r,RawData!J418,
IF(AND(ISNUMBER(_xlpm.r),_xlpm.r&gt;=0),_xlpm.r,
   IF(AND(ISNUMBER(_xlpm.q),_xlpm.q&gt;0,ISNUMBER(_xlpm.u),_xlpm.u&gt;0,ISNUMBER(_xlpm.d),_xlpm.d&gt;=0,_xlpm.d&lt;1),
      _xlpm.q*_xlpm.u*(1-_xlpm.d),
      ""
   )
)
)</f>
        <v>1068.07</v>
      </c>
      <c r="K418" s="4">
        <f>_xlfn.LET(
_xlpm.c,RawData!K418,
_xlpm.r,RawData!J418,
_xlpm.p,RawData!L418,
IF(AND(ISNUMBER(_xlpm.c),_xlpm.c&gt;=0),_xlpm.c,
   IF(AND(ISNUMBER(_xlpm.r),ISNUMBER(_xlpm.p)),
      _xlpm.r-_xlpm.p,
      ""
   )
)
)</f>
        <v>638.29999999999995</v>
      </c>
      <c r="L418" s="4">
        <f>_xlfn.LET(
_xlpm.p,RawData!L418,
_xlpm.r,RawData!J418,
_xlpm.c,RawData!K418,
IF(ISNUMBER(_xlpm.p),_xlpm.p,
IF(AND(ISNUMBER(_xlpm.r),ISNUMBER(_xlpm.c)),
_xlpm.r-_xlpm.c,
""
)
))</f>
        <v>429.77</v>
      </c>
    </row>
    <row r="419" spans="1:12" x14ac:dyDescent="0.35">
      <c r="A419" t="s">
        <v>459</v>
      </c>
      <c r="B419" s="7">
        <v>45863</v>
      </c>
      <c r="C419" t="str">
        <f>IF(RawData!C419="","Unknown",PROPER(TRIM(CLEAN(SUBSTITUTE(RawData!C419,CHAR(160)," ")))))</f>
        <v>North</v>
      </c>
      <c r="D419" t="str">
        <f>IF(RawData!D419="","Unknown",PROPER(TRIM(CLEAN(SUBSTITUTE(RawData!D419,CHAR(160)," ")))))</f>
        <v>Jaipur</v>
      </c>
      <c r="E419" t="str">
        <f>IF(RawData!E419="","Unknown",PROPER(TRIM(CLEAN(SUBSTITUTE(RawData!E419,CHAR(160)," ")))))</f>
        <v>Headphones</v>
      </c>
      <c r="F419" t="str">
        <f>IF(RawData!F419="","Unknown",PROPER(TRIM(CLEAN(SUBSTITUTE(RawData!F419,CHAR(160)," ")))))</f>
        <v>Electronics</v>
      </c>
      <c r="G419">
        <f>_xlfn.LET(
_xlpm.q,RawData!G419,
_xlpm.u,RawData!H419,
_xlpm.d,RawData!I419,
_xlpm.r,RawData!J419,
IF(AND(ISNUMBER(_xlpm.q),_xlpm.q&gt;0),_xlpm.q,
   IF(AND(ISNUMBER(_xlpm.r),ISNUMBER(_xlpm.u),_xlpm.u&gt;0,ISNUMBER(_xlpm.d),_xlpm.d&gt;=0,_xlpm.d&lt;1),
      ROUND(_xlpm.r/(_xlpm.u*(1-_xlpm.d)),0),
      ""
   )
)
)</f>
        <v>3</v>
      </c>
      <c r="H419" s="4">
        <f>_xlfn.LET(
_xlpm.q,RawData!G419,
_xlpm.u,RawData!H419,
_xlpm.d,RawData!I419,
_xlpm.r,RawData!J419,
IF(AND(ISNUMBER(_xlpm.u),_xlpm.u&gt;0),_xlpm.u,
   IF(AND(ISNUMBER(_xlpm.q),_xlpm.q&gt;0,ISNUMBER(_xlpm.r),ISNUMBER(_xlpm.d),_xlpm.d&gt;=0,_xlpm.d&lt;1),
      _xlpm.r/(_xlpm.q*(1-_xlpm.d)),
      ""
   )
)
)</f>
        <v>79.959999999999994</v>
      </c>
      <c r="I419" s="5">
        <f>_xlfn.LET(
_xlpm.q,RawData!G419,
_xlpm.u,RawData!H419,
_xlpm.d,RawData!I419,
_xlpm.r,RawData!J419,
IF(AND(ISNUMBER(_xlpm.d),_xlpm.d&gt;=0,_xlpm.d&lt;1),_xlpm.d,
   IF(AND(ISNUMBER(_xlpm.q),_xlpm.q&gt;0,ISNUMBER(_xlpm.u),_xlpm.u&gt;0,ISNUMBER(_xlpm.r),_xlpm.r&gt;=0),
      1-(_xlpm.r/(_xlpm.q*_xlpm.u)),
      ""
   )
)
)</f>
        <v>0.1</v>
      </c>
      <c r="J419" s="4">
        <f>_xlfn.LET(
_xlpm.q,RawData!G419,
_xlpm.u,RawData!H419,
_xlpm.d,RawData!I419,
_xlpm.r,RawData!J419,
IF(AND(ISNUMBER(_xlpm.r),_xlpm.r&gt;=0),_xlpm.r,
   IF(AND(ISNUMBER(_xlpm.q),_xlpm.q&gt;0,ISNUMBER(_xlpm.u),_xlpm.u&gt;0,ISNUMBER(_xlpm.d),_xlpm.d&gt;=0,_xlpm.d&lt;1),
      _xlpm.q*_xlpm.u*(1-_xlpm.d),
      ""
   )
)
)</f>
        <v>215.89</v>
      </c>
      <c r="K419" s="4">
        <f>_xlfn.LET(
_xlpm.c,RawData!K419,
_xlpm.r,RawData!J419,
_xlpm.p,RawData!L419,
IF(AND(ISNUMBER(_xlpm.c),_xlpm.c&gt;=0),_xlpm.c,
   IF(AND(ISNUMBER(_xlpm.r),ISNUMBER(_xlpm.p)),
      _xlpm.r-_xlpm.p,
      ""
   )
)
)</f>
        <v>143.16</v>
      </c>
      <c r="L419" s="4">
        <f>_xlfn.LET(
_xlpm.p,RawData!L419,
_xlpm.r,RawData!J419,
_xlpm.c,RawData!K419,
IF(ISNUMBER(_xlpm.p),_xlpm.p,
IF(AND(ISNUMBER(_xlpm.r),ISNUMBER(_xlpm.c)),
_xlpm.r-_xlpm.c,
""
)
))</f>
        <v>72.73</v>
      </c>
    </row>
    <row r="420" spans="1:12" x14ac:dyDescent="0.35">
      <c r="A420" t="s">
        <v>460</v>
      </c>
      <c r="B420" s="7">
        <v>45785</v>
      </c>
      <c r="C420" t="str">
        <f>IF(RawData!C420="","Unknown",PROPER(TRIM(CLEAN(SUBSTITUTE(RawData!C420,CHAR(160)," ")))))</f>
        <v>North</v>
      </c>
      <c r="D420" t="str">
        <f>IF(RawData!D420="","Unknown",PROPER(TRIM(CLEAN(SUBSTITUTE(RawData!D420,CHAR(160)," ")))))</f>
        <v>Jaipur</v>
      </c>
      <c r="E420" t="str">
        <f>IF(RawData!E420="","Unknown",PROPER(TRIM(CLEAN(SUBSTITUTE(RawData!E420,CHAR(160)," ")))))</f>
        <v>Office Chair</v>
      </c>
      <c r="F420" t="str">
        <f>IF(RawData!F420="","Unknown",PROPER(TRIM(CLEAN(SUBSTITUTE(RawData!F420,CHAR(160)," ")))))</f>
        <v>Furniture</v>
      </c>
      <c r="G420">
        <f>_xlfn.LET(
_xlpm.q,RawData!G420,
_xlpm.u,RawData!H420,
_xlpm.d,RawData!I420,
_xlpm.r,RawData!J420,
IF(AND(ISNUMBER(_xlpm.q),_xlpm.q&gt;0),_xlpm.q,
   IF(AND(ISNUMBER(_xlpm.r),ISNUMBER(_xlpm.u),_xlpm.u&gt;0,ISNUMBER(_xlpm.d),_xlpm.d&gt;=0,_xlpm.d&lt;1),
      ROUND(_xlpm.r/(_xlpm.u*(1-_xlpm.d)),0),
      ""
   )
)
)</f>
        <v>7</v>
      </c>
      <c r="H420" s="4">
        <f>_xlfn.LET(
_xlpm.q,RawData!G420,
_xlpm.u,RawData!H420,
_xlpm.d,RawData!I420,
_xlpm.r,RawData!J420,
IF(AND(ISNUMBER(_xlpm.u),_xlpm.u&gt;0),_xlpm.u,
   IF(AND(ISNUMBER(_xlpm.q),_xlpm.q&gt;0,ISNUMBER(_xlpm.r),ISNUMBER(_xlpm.d),_xlpm.d&gt;=0,_xlpm.d&lt;1),
      _xlpm.r/(_xlpm.q*(1-_xlpm.d)),
      ""
   )
)
)</f>
        <v>202.4</v>
      </c>
      <c r="I420" s="5">
        <f>_xlfn.LET(
_xlpm.q,RawData!G420,
_xlpm.u,RawData!H420,
_xlpm.d,RawData!I420,
_xlpm.r,RawData!J420,
IF(AND(ISNUMBER(_xlpm.d),_xlpm.d&gt;=0,_xlpm.d&lt;1),_xlpm.d,
   IF(AND(ISNUMBER(_xlpm.q),_xlpm.q&gt;0,ISNUMBER(_xlpm.u),_xlpm.u&gt;0,ISNUMBER(_xlpm.r),_xlpm.r&gt;=0),
      1-(_xlpm.r/(_xlpm.q*_xlpm.u)),
      ""
   )
)
)</f>
        <v>0.02</v>
      </c>
      <c r="J420" s="4">
        <f>_xlfn.LET(
_xlpm.q,RawData!G420,
_xlpm.u,RawData!H420,
_xlpm.d,RawData!I420,
_xlpm.r,RawData!J420,
IF(AND(ISNUMBER(_xlpm.r),_xlpm.r&gt;=0),_xlpm.r,
   IF(AND(ISNUMBER(_xlpm.q),_xlpm.q&gt;0,ISNUMBER(_xlpm.u),_xlpm.u&gt;0,ISNUMBER(_xlpm.d),_xlpm.d&gt;=0,_xlpm.d&lt;1),
      _xlpm.q*_xlpm.u*(1-_xlpm.d),
      ""
   )
)
)</f>
        <v>1388.46</v>
      </c>
      <c r="K420" s="4">
        <f>_xlfn.LET(
_xlpm.c,RawData!K420,
_xlpm.r,RawData!J420,
_xlpm.p,RawData!L420,
IF(AND(ISNUMBER(_xlpm.c),_xlpm.c&gt;=0),_xlpm.c,
   IF(AND(ISNUMBER(_xlpm.r),ISNUMBER(_xlpm.p)),
      _xlpm.r-_xlpm.p,
      ""
   )
)
)</f>
        <v>899.51</v>
      </c>
      <c r="L420" s="4">
        <f>_xlfn.LET(
_xlpm.p,RawData!L420,
_xlpm.r,RawData!J420,
_xlpm.c,RawData!K420,
IF(ISNUMBER(_xlpm.p),_xlpm.p,
IF(AND(ISNUMBER(_xlpm.r),ISNUMBER(_xlpm.c)),
_xlpm.r-_xlpm.c,
""
)
))</f>
        <v>488.95</v>
      </c>
    </row>
    <row r="421" spans="1:12" x14ac:dyDescent="0.35">
      <c r="A421" t="s">
        <v>461</v>
      </c>
      <c r="B421" s="7">
        <v>45794</v>
      </c>
      <c r="C421" t="str">
        <f>IF(RawData!C421="","Unknown",PROPER(TRIM(CLEAN(SUBSTITUTE(RawData!C421,CHAR(160)," ")))))</f>
        <v>East</v>
      </c>
      <c r="D421" t="str">
        <f>IF(RawData!D421="","Unknown",PROPER(TRIM(CLEAN(SUBSTITUTE(RawData!D421,CHAR(160)," ")))))</f>
        <v>Patna</v>
      </c>
      <c r="E421" t="str">
        <f>IF(RawData!E421="","Unknown",PROPER(TRIM(CLEAN(SUBSTITUTE(RawData!E421,CHAR(160)," ")))))</f>
        <v>Office Chair</v>
      </c>
      <c r="F421" t="str">
        <f>IF(RawData!F421="","Unknown",PROPER(TRIM(CLEAN(SUBSTITUTE(RawData!F421,CHAR(160)," ")))))</f>
        <v>Furniture</v>
      </c>
      <c r="G421">
        <f>_xlfn.LET(
_xlpm.q,RawData!G421,
_xlpm.u,RawData!H421,
_xlpm.d,RawData!I421,
_xlpm.r,RawData!J421,
IF(AND(ISNUMBER(_xlpm.q),_xlpm.q&gt;0),_xlpm.q,
   IF(AND(ISNUMBER(_xlpm.r),ISNUMBER(_xlpm.u),_xlpm.u&gt;0,ISNUMBER(_xlpm.d),_xlpm.d&gt;=0,_xlpm.d&lt;1),
      ROUND(_xlpm.r/(_xlpm.u*(1-_xlpm.d)),0),
      ""
   )
)
)</f>
        <v>10</v>
      </c>
      <c r="H421" s="4">
        <f>_xlfn.LET(
_xlpm.q,RawData!G421,
_xlpm.u,RawData!H421,
_xlpm.d,RawData!I421,
_xlpm.r,RawData!J421,
IF(AND(ISNUMBER(_xlpm.u),_xlpm.u&gt;0),_xlpm.u,
   IF(AND(ISNUMBER(_xlpm.q),_xlpm.q&gt;0,ISNUMBER(_xlpm.r),ISNUMBER(_xlpm.d),_xlpm.d&gt;=0,_xlpm.d&lt;1),
      _xlpm.r/(_xlpm.q*(1-_xlpm.d)),
      ""
   )
)
)</f>
        <v>184.35</v>
      </c>
      <c r="I421" s="5">
        <f>_xlfn.LET(
_xlpm.q,RawData!G421,
_xlpm.u,RawData!H421,
_xlpm.d,RawData!I421,
_xlpm.r,RawData!J421,
IF(AND(ISNUMBER(_xlpm.d),_xlpm.d&gt;=0,_xlpm.d&lt;1),_xlpm.d,
   IF(AND(ISNUMBER(_xlpm.q),_xlpm.q&gt;0,ISNUMBER(_xlpm.u),_xlpm.u&gt;0,ISNUMBER(_xlpm.r),_xlpm.r&gt;=0),
      1-(_xlpm.r/(_xlpm.q*_xlpm.u)),
      ""
   )
)
)</f>
        <v>0.2</v>
      </c>
      <c r="J421" s="4">
        <f>_xlfn.LET(
_xlpm.q,RawData!G421,
_xlpm.u,RawData!H421,
_xlpm.d,RawData!I421,
_xlpm.r,RawData!J421,
IF(AND(ISNUMBER(_xlpm.r),_xlpm.r&gt;=0),_xlpm.r,
   IF(AND(ISNUMBER(_xlpm.q),_xlpm.q&gt;0,ISNUMBER(_xlpm.u),_xlpm.u&gt;0,ISNUMBER(_xlpm.d),_xlpm.d&gt;=0,_xlpm.d&lt;1),
      _xlpm.q*_xlpm.u*(1-_xlpm.d),
      ""
   )
)
)</f>
        <v>1474.8</v>
      </c>
      <c r="K421" s="4">
        <f>_xlfn.LET(
_xlpm.c,RawData!K421,
_xlpm.r,RawData!J421,
_xlpm.p,RawData!L421,
IF(AND(ISNUMBER(_xlpm.c),_xlpm.c&gt;=0),_xlpm.c,
   IF(AND(ISNUMBER(_xlpm.r),ISNUMBER(_xlpm.p)),
      _xlpm.r-_xlpm.p,
      ""
   )
)
)</f>
        <v>1062.9100000000001</v>
      </c>
      <c r="L421" s="4">
        <f>_xlfn.LET(
_xlpm.p,RawData!L421,
_xlpm.r,RawData!J421,
_xlpm.c,RawData!K421,
IF(ISNUMBER(_xlpm.p),_xlpm.p,
IF(AND(ISNUMBER(_xlpm.r),ISNUMBER(_xlpm.c)),
_xlpm.r-_xlpm.c,
""
)
))</f>
        <v>411.89</v>
      </c>
    </row>
    <row r="422" spans="1:12" x14ac:dyDescent="0.35">
      <c r="A422" t="s">
        <v>462</v>
      </c>
      <c r="B422" s="7">
        <v>45663</v>
      </c>
      <c r="C422" t="str">
        <f>IF(RawData!C422="","Unknown",PROPER(TRIM(CLEAN(SUBSTITUTE(RawData!C422,CHAR(160)," ")))))</f>
        <v>East</v>
      </c>
      <c r="D422" t="str">
        <f>IF(RawData!D422="","Unknown",PROPER(TRIM(CLEAN(SUBSTITUTE(RawData!D422,CHAR(160)," ")))))</f>
        <v>Kolkata</v>
      </c>
      <c r="E422" t="str">
        <f>IF(RawData!E422="","Unknown",PROPER(TRIM(CLEAN(SUBSTITUTE(RawData!E422,CHAR(160)," ")))))</f>
        <v>Backpack</v>
      </c>
      <c r="F422" t="str">
        <f>IF(RawData!F422="","Unknown",PROPER(TRIM(CLEAN(SUBSTITUTE(RawData!F422,CHAR(160)," ")))))</f>
        <v>Accessories</v>
      </c>
      <c r="G422">
        <f>_xlfn.LET(
_xlpm.q,RawData!G422,
_xlpm.u,RawData!H422,
_xlpm.d,RawData!I422,
_xlpm.r,RawData!J422,
IF(AND(ISNUMBER(_xlpm.q),_xlpm.q&gt;0),_xlpm.q,
   IF(AND(ISNUMBER(_xlpm.r),ISNUMBER(_xlpm.u),_xlpm.u&gt;0,ISNUMBER(_xlpm.d),_xlpm.d&gt;=0,_xlpm.d&lt;1),
      ROUND(_xlpm.r/(_xlpm.u*(1-_xlpm.d)),0),
      ""
   )
)
)</f>
        <v>6</v>
      </c>
      <c r="H422" s="4">
        <f>_xlfn.LET(
_xlpm.q,RawData!G422,
_xlpm.u,RawData!H422,
_xlpm.d,RawData!I422,
_xlpm.r,RawData!J422,
IF(AND(ISNUMBER(_xlpm.u),_xlpm.u&gt;0),_xlpm.u,
   IF(AND(ISNUMBER(_xlpm.q),_xlpm.q&gt;0,ISNUMBER(_xlpm.r),ISNUMBER(_xlpm.d),_xlpm.d&gt;=0,_xlpm.d&lt;1),
      _xlpm.r/(_xlpm.q*(1-_xlpm.d)),
      ""
   )
)
)</f>
        <v>38.43</v>
      </c>
      <c r="I422" s="5">
        <f>_xlfn.LET(
_xlpm.q,RawData!G422,
_xlpm.u,RawData!H422,
_xlpm.d,RawData!I422,
_xlpm.r,RawData!J422,
IF(AND(ISNUMBER(_xlpm.d),_xlpm.d&gt;=0,_xlpm.d&lt;1),_xlpm.d,
   IF(AND(ISNUMBER(_xlpm.q),_xlpm.q&gt;0,ISNUMBER(_xlpm.u),_xlpm.u&gt;0,ISNUMBER(_xlpm.r),_xlpm.r&gt;=0),
      1-(_xlpm.r/(_xlpm.q*_xlpm.u)),
      ""
   )
)
)</f>
        <v>0.2</v>
      </c>
      <c r="J422" s="4">
        <f>_xlfn.LET(
_xlpm.q,RawData!G422,
_xlpm.u,RawData!H422,
_xlpm.d,RawData!I422,
_xlpm.r,RawData!J422,
IF(AND(ISNUMBER(_xlpm.r),_xlpm.r&gt;=0),_xlpm.r,
   IF(AND(ISNUMBER(_xlpm.q),_xlpm.q&gt;0,ISNUMBER(_xlpm.u),_xlpm.u&gt;0,ISNUMBER(_xlpm.d),_xlpm.d&gt;=0,_xlpm.d&lt;1),
      _xlpm.q*_xlpm.u*(1-_xlpm.d),
      ""
   )
)
)</f>
        <v>184.46</v>
      </c>
      <c r="K422" s="4">
        <f>_xlfn.LET(
_xlpm.c,RawData!K422,
_xlpm.r,RawData!J422,
_xlpm.p,RawData!L422,
IF(AND(ISNUMBER(_xlpm.c),_xlpm.c&gt;=0),_xlpm.c,
   IF(AND(ISNUMBER(_xlpm.r),ISNUMBER(_xlpm.p)),
      _xlpm.r-_xlpm.p,
      ""
   )
)
)</f>
        <v>134.5</v>
      </c>
      <c r="L422" s="4">
        <f>_xlfn.LET(
_xlpm.p,RawData!L422,
_xlpm.r,RawData!J422,
_xlpm.c,RawData!K422,
IF(ISNUMBER(_xlpm.p),_xlpm.p,
IF(AND(ISNUMBER(_xlpm.r),ISNUMBER(_xlpm.c)),
_xlpm.r-_xlpm.c,
""
)
))</f>
        <v>49.96</v>
      </c>
    </row>
    <row r="423" spans="1:12" x14ac:dyDescent="0.35">
      <c r="A423" t="s">
        <v>463</v>
      </c>
      <c r="B423" s="7">
        <v>45689</v>
      </c>
      <c r="C423" t="str">
        <f>IF(RawData!C423="","Unknown",PROPER(TRIM(CLEAN(SUBSTITUTE(RawData!C423,CHAR(160)," ")))))</f>
        <v>North</v>
      </c>
      <c r="D423" t="str">
        <f>IF(RawData!D423="","Unknown",PROPER(TRIM(CLEAN(SUBSTITUTE(RawData!D423,CHAR(160)," ")))))</f>
        <v>Jaipur</v>
      </c>
      <c r="E423" t="str">
        <f>IF(RawData!E423="","Unknown",PROPER(TRIM(CLEAN(SUBSTITUTE(RawData!E423,CHAR(160)," ")))))</f>
        <v>Printer</v>
      </c>
      <c r="F423" t="str">
        <f>IF(RawData!F423="","Unknown",PROPER(TRIM(CLEAN(SUBSTITUTE(RawData!F423,CHAR(160)," ")))))</f>
        <v>Office Supplies</v>
      </c>
      <c r="G423">
        <f>_xlfn.LET(
_xlpm.q,RawData!G423,
_xlpm.u,RawData!H423,
_xlpm.d,RawData!I423,
_xlpm.r,RawData!J423,
IF(AND(ISNUMBER(_xlpm.q),_xlpm.q&gt;0),_xlpm.q,
   IF(AND(ISNUMBER(_xlpm.r),ISNUMBER(_xlpm.u),_xlpm.u&gt;0,ISNUMBER(_xlpm.d),_xlpm.d&gt;=0,_xlpm.d&lt;1),
      ROUND(_xlpm.r/(_xlpm.u*(1-_xlpm.d)),0),
      ""
   )
)
)</f>
        <v>5</v>
      </c>
      <c r="H423" s="4">
        <f>_xlfn.LET(
_xlpm.q,RawData!G423,
_xlpm.u,RawData!H423,
_xlpm.d,RawData!I423,
_xlpm.r,RawData!J423,
IF(AND(ISNUMBER(_xlpm.u),_xlpm.u&gt;0),_xlpm.u,
   IF(AND(ISNUMBER(_xlpm.q),_xlpm.q&gt;0,ISNUMBER(_xlpm.r),ISNUMBER(_xlpm.d),_xlpm.d&gt;=0,_xlpm.d&lt;1),
      _xlpm.r/(_xlpm.q*(1-_xlpm.d)),
      ""
   )
)
)</f>
        <v>144.55000000000001</v>
      </c>
      <c r="I423" s="5">
        <f>_xlfn.LET(
_xlpm.q,RawData!G423,
_xlpm.u,RawData!H423,
_xlpm.d,RawData!I423,
_xlpm.r,RawData!J423,
IF(AND(ISNUMBER(_xlpm.d),_xlpm.d&gt;=0,_xlpm.d&lt;1),_xlpm.d,
   IF(AND(ISNUMBER(_xlpm.q),_xlpm.q&gt;0,ISNUMBER(_xlpm.u),_xlpm.u&gt;0,ISNUMBER(_xlpm.r),_xlpm.r&gt;=0),
      1-(_xlpm.r/(_xlpm.q*_xlpm.u)),
      ""
   )
)
)</f>
        <v>0.02</v>
      </c>
      <c r="J423" s="4">
        <f>_xlfn.LET(
_xlpm.q,RawData!G423,
_xlpm.u,RawData!H423,
_xlpm.d,RawData!I423,
_xlpm.r,RawData!J423,
IF(AND(ISNUMBER(_xlpm.r),_xlpm.r&gt;=0),_xlpm.r,
   IF(AND(ISNUMBER(_xlpm.q),_xlpm.q&gt;0,ISNUMBER(_xlpm.u),_xlpm.u&gt;0,ISNUMBER(_xlpm.d),_xlpm.d&gt;=0,_xlpm.d&lt;1),
      _xlpm.q*_xlpm.u*(1-_xlpm.d),
      ""
   )
)
)</f>
        <v>708.29</v>
      </c>
      <c r="K423" s="4">
        <f>_xlfn.LET(
_xlpm.c,RawData!K423,
_xlpm.r,RawData!J423,
_xlpm.p,RawData!L423,
IF(AND(ISNUMBER(_xlpm.c),_xlpm.c&gt;=0),_xlpm.c,
   IF(AND(ISNUMBER(_xlpm.r),ISNUMBER(_xlpm.p)),
      _xlpm.r-_xlpm.p,
      ""
   )
)
)</f>
        <v>573.35</v>
      </c>
      <c r="L423" s="4">
        <f>_xlfn.LET(
_xlpm.p,RawData!L423,
_xlpm.r,RawData!J423,
_xlpm.c,RawData!K423,
IF(ISNUMBER(_xlpm.p),_xlpm.p,
IF(AND(ISNUMBER(_xlpm.r),ISNUMBER(_xlpm.c)),
_xlpm.r-_xlpm.c,
""
)
))</f>
        <v>134.94</v>
      </c>
    </row>
    <row r="424" spans="1:12" x14ac:dyDescent="0.35">
      <c r="A424" t="s">
        <v>464</v>
      </c>
      <c r="B424" s="7">
        <v>46009</v>
      </c>
      <c r="C424" t="str">
        <f>IF(RawData!C424="","Unknown",PROPER(TRIM(CLEAN(SUBSTITUTE(RawData!C424,CHAR(160)," ")))))</f>
        <v>East</v>
      </c>
      <c r="D424" t="str">
        <f>IF(RawData!D424="","Unknown",PROPER(TRIM(CLEAN(SUBSTITUTE(RawData!D424,CHAR(160)," ")))))</f>
        <v>Bhubaneswar</v>
      </c>
      <c r="E424" t="str">
        <f>IF(RawData!E424="","Unknown",PROPER(TRIM(CLEAN(SUBSTITUTE(RawData!E424,CHAR(160)," ")))))</f>
        <v>Keyboard</v>
      </c>
      <c r="F424" t="str">
        <f>IF(RawData!F424="","Unknown",PROPER(TRIM(CLEAN(SUBSTITUTE(RawData!F424,CHAR(160)," ")))))</f>
        <v>Accessories</v>
      </c>
      <c r="G424">
        <f>_xlfn.LET(
_xlpm.q,RawData!G424,
_xlpm.u,RawData!H424,
_xlpm.d,RawData!I424,
_xlpm.r,RawData!J424,
IF(AND(ISNUMBER(_xlpm.q),_xlpm.q&gt;0),_xlpm.q,
   IF(AND(ISNUMBER(_xlpm.r),ISNUMBER(_xlpm.u),_xlpm.u&gt;0,ISNUMBER(_xlpm.d),_xlpm.d&gt;=0,_xlpm.d&lt;1),
      ROUND(_xlpm.r/(_xlpm.u*(1-_xlpm.d)),0),
      ""
   )
)
)</f>
        <v>2</v>
      </c>
      <c r="H424" s="4">
        <f>_xlfn.LET(
_xlpm.q,RawData!G424,
_xlpm.u,RawData!H424,
_xlpm.d,RawData!I424,
_xlpm.r,RawData!J424,
IF(AND(ISNUMBER(_xlpm.u),_xlpm.u&gt;0),_xlpm.u,
   IF(AND(ISNUMBER(_xlpm.q),_xlpm.q&gt;0,ISNUMBER(_xlpm.r),ISNUMBER(_xlpm.d),_xlpm.d&gt;=0,_xlpm.d&lt;1),
      _xlpm.r/(_xlpm.q*(1-_xlpm.d)),
      ""
   )
)
)</f>
        <v>31.31</v>
      </c>
      <c r="I424" s="5">
        <f>_xlfn.LET(
_xlpm.q,RawData!G424,
_xlpm.u,RawData!H424,
_xlpm.d,RawData!I424,
_xlpm.r,RawData!J424,
IF(AND(ISNUMBER(_xlpm.d),_xlpm.d&gt;=0,_xlpm.d&lt;1),_xlpm.d,
   IF(AND(ISNUMBER(_xlpm.q),_xlpm.q&gt;0,ISNUMBER(_xlpm.u),_xlpm.u&gt;0,ISNUMBER(_xlpm.r),_xlpm.r&gt;=0),
      1-(_xlpm.r/(_xlpm.q*_xlpm.u)),
      ""
   )
)
)</f>
        <v>0.2</v>
      </c>
      <c r="J424" s="4">
        <f>_xlfn.LET(
_xlpm.q,RawData!G424,
_xlpm.u,RawData!H424,
_xlpm.d,RawData!I424,
_xlpm.r,RawData!J424,
IF(AND(ISNUMBER(_xlpm.r),_xlpm.r&gt;=0),_xlpm.r,
   IF(AND(ISNUMBER(_xlpm.q),_xlpm.q&gt;0,ISNUMBER(_xlpm.u),_xlpm.u&gt;0,ISNUMBER(_xlpm.d),_xlpm.d&gt;=0,_xlpm.d&lt;1),
      _xlpm.q*_xlpm.u*(1-_xlpm.d),
      ""
   )
)
)</f>
        <v>50.1</v>
      </c>
      <c r="K424" s="4">
        <f>_xlfn.LET(
_xlpm.c,RawData!K424,
_xlpm.r,RawData!J424,
_xlpm.p,RawData!L424,
IF(AND(ISNUMBER(_xlpm.c),_xlpm.c&gt;=0),_xlpm.c,
   IF(AND(ISNUMBER(_xlpm.r),ISNUMBER(_xlpm.p)),
      _xlpm.r-_xlpm.p,
      ""
   )
)
)</f>
        <v>33.159999999999997</v>
      </c>
      <c r="L424" s="4">
        <f>_xlfn.LET(
_xlpm.p,RawData!L424,
_xlpm.r,RawData!J424,
_xlpm.c,RawData!K424,
IF(ISNUMBER(_xlpm.p),_xlpm.p,
IF(AND(ISNUMBER(_xlpm.r),ISNUMBER(_xlpm.c)),
_xlpm.r-_xlpm.c,
""
)
))</f>
        <v>16.940000000000001</v>
      </c>
    </row>
    <row r="425" spans="1:12" x14ac:dyDescent="0.35">
      <c r="A425" t="s">
        <v>465</v>
      </c>
      <c r="B425" s="7">
        <v>45846</v>
      </c>
      <c r="C425" t="str">
        <f>IF(RawData!C425="","Unknown",PROPER(TRIM(CLEAN(SUBSTITUTE(RawData!C425,CHAR(160)," ")))))</f>
        <v>South</v>
      </c>
      <c r="D425" t="str">
        <f>IF(RawData!D425="","Unknown",PROPER(TRIM(CLEAN(SUBSTITUTE(RawData!D425,CHAR(160)," ")))))</f>
        <v>Hyderabad</v>
      </c>
      <c r="E425" t="str">
        <f>IF(RawData!E425="","Unknown",PROPER(TRIM(CLEAN(SUBSTITUTE(RawData!E425,CHAR(160)," ")))))</f>
        <v>Monitor</v>
      </c>
      <c r="F425" t="str">
        <f>IF(RawData!F425="","Unknown",PROPER(TRIM(CLEAN(SUBSTITUTE(RawData!F425,CHAR(160)," ")))))</f>
        <v>Electronics</v>
      </c>
      <c r="G425">
        <f>_xlfn.LET(
_xlpm.q,RawData!G425,
_xlpm.u,RawData!H425,
_xlpm.d,RawData!I425,
_xlpm.r,RawData!J425,
IF(AND(ISNUMBER(_xlpm.q),_xlpm.q&gt;0),_xlpm.q,
   IF(AND(ISNUMBER(_xlpm.r),ISNUMBER(_xlpm.u),_xlpm.u&gt;0,ISNUMBER(_xlpm.d),_xlpm.d&gt;=0,_xlpm.d&lt;1),
      ROUND(_xlpm.r/(_xlpm.u*(1-_xlpm.d)),0),
      ""
   )
)
)</f>
        <v>3</v>
      </c>
      <c r="H425" s="4">
        <f>_xlfn.LET(
_xlpm.q,RawData!G425,
_xlpm.u,RawData!H425,
_xlpm.d,RawData!I425,
_xlpm.r,RawData!J425,
IF(AND(ISNUMBER(_xlpm.u),_xlpm.u&gt;0),_xlpm.u,
   IF(AND(ISNUMBER(_xlpm.q),_xlpm.q&gt;0,ISNUMBER(_xlpm.r),ISNUMBER(_xlpm.d),_xlpm.d&gt;=0,_xlpm.d&lt;1),
      _xlpm.r/(_xlpm.q*(1-_xlpm.d)),
      ""
   )
)
)</f>
        <v>192.63</v>
      </c>
      <c r="I425" s="5">
        <f>_xlfn.LET(
_xlpm.q,RawData!G425,
_xlpm.u,RawData!H425,
_xlpm.d,RawData!I425,
_xlpm.r,RawData!J425,
IF(AND(ISNUMBER(_xlpm.d),_xlpm.d&gt;=0,_xlpm.d&lt;1),_xlpm.d,
   IF(AND(ISNUMBER(_xlpm.q),_xlpm.q&gt;0,ISNUMBER(_xlpm.u),_xlpm.u&gt;0,ISNUMBER(_xlpm.r),_xlpm.r&gt;=0),
      1-(_xlpm.r/(_xlpm.q*_xlpm.u)),
      ""
   )
)
)</f>
        <v>0.1</v>
      </c>
      <c r="J425" s="4">
        <f>_xlfn.LET(
_xlpm.q,RawData!G425,
_xlpm.u,RawData!H425,
_xlpm.d,RawData!I425,
_xlpm.r,RawData!J425,
IF(AND(ISNUMBER(_xlpm.r),_xlpm.r&gt;=0),_xlpm.r,
   IF(AND(ISNUMBER(_xlpm.q),_xlpm.q&gt;0,ISNUMBER(_xlpm.u),_xlpm.u&gt;0,ISNUMBER(_xlpm.d),_xlpm.d&gt;=0,_xlpm.d&lt;1),
      _xlpm.q*_xlpm.u*(1-_xlpm.d),
      ""
   )
)
)</f>
        <v>520.1</v>
      </c>
      <c r="K425" s="4">
        <f>_xlfn.LET(
_xlpm.c,RawData!K425,
_xlpm.r,RawData!J425,
_xlpm.p,RawData!L425,
IF(AND(ISNUMBER(_xlpm.c),_xlpm.c&gt;=0),_xlpm.c,
   IF(AND(ISNUMBER(_xlpm.r),ISNUMBER(_xlpm.p)),
      _xlpm.r-_xlpm.p,
      ""
   )
)
)</f>
        <v>426.04</v>
      </c>
      <c r="L425" s="4">
        <f>_xlfn.LET(
_xlpm.p,RawData!L425,
_xlpm.r,RawData!J425,
_xlpm.c,RawData!K425,
IF(ISNUMBER(_xlpm.p),_xlpm.p,
IF(AND(ISNUMBER(_xlpm.r),ISNUMBER(_xlpm.c)),
_xlpm.r-_xlpm.c,
""
)
))</f>
        <v>94.06</v>
      </c>
    </row>
    <row r="426" spans="1:12" x14ac:dyDescent="0.35">
      <c r="A426" t="s">
        <v>466</v>
      </c>
      <c r="B426" s="7">
        <v>45890</v>
      </c>
      <c r="C426" t="str">
        <f>IF(RawData!C426="","Unknown",PROPER(TRIM(CLEAN(SUBSTITUTE(RawData!C426,CHAR(160)," ")))))</f>
        <v>East</v>
      </c>
      <c r="D426" t="str">
        <f>IF(RawData!D426="","Unknown",PROPER(TRIM(CLEAN(SUBSTITUTE(RawData!D426,CHAR(160)," ")))))</f>
        <v>Patna</v>
      </c>
      <c r="E426" t="str">
        <f>IF(RawData!E426="","Unknown",PROPER(TRIM(CLEAN(SUBSTITUTE(RawData!E426,CHAR(160)," ")))))</f>
        <v>Bookshelf</v>
      </c>
      <c r="F426" t="str">
        <f>IF(RawData!F426="","Unknown",PROPER(TRIM(CLEAN(SUBSTITUTE(RawData!F426,CHAR(160)," ")))))</f>
        <v>Furniture</v>
      </c>
      <c r="G426">
        <f>_xlfn.LET(
_xlpm.q,RawData!G426,
_xlpm.u,RawData!H426,
_xlpm.d,RawData!I426,
_xlpm.r,RawData!J426,
IF(AND(ISNUMBER(_xlpm.q),_xlpm.q&gt;0),_xlpm.q,
   IF(AND(ISNUMBER(_xlpm.r),ISNUMBER(_xlpm.u),_xlpm.u&gt;0,ISNUMBER(_xlpm.d),_xlpm.d&gt;=0,_xlpm.d&lt;1),
      ROUND(_xlpm.r/(_xlpm.u*(1-_xlpm.d)),0),
      ""
   )
)
)</f>
        <v>9</v>
      </c>
      <c r="H426" s="4">
        <f>_xlfn.LET(
_xlpm.q,RawData!G426,
_xlpm.u,RawData!H426,
_xlpm.d,RawData!I426,
_xlpm.r,RawData!J426,
IF(AND(ISNUMBER(_xlpm.u),_xlpm.u&gt;0),_xlpm.u,
   IF(AND(ISNUMBER(_xlpm.q),_xlpm.q&gt;0,ISNUMBER(_xlpm.r),ISNUMBER(_xlpm.d),_xlpm.d&gt;=0,_xlpm.d&lt;1),
      _xlpm.r/(_xlpm.q*(1-_xlpm.d)),
      ""
   )
)
)</f>
        <v>140.09</v>
      </c>
      <c r="I426" s="5">
        <f>_xlfn.LET(
_xlpm.q,RawData!G426,
_xlpm.u,RawData!H426,
_xlpm.d,RawData!I426,
_xlpm.r,RawData!J426,
IF(AND(ISNUMBER(_xlpm.d),_xlpm.d&gt;=0,_xlpm.d&lt;1),_xlpm.d,
   IF(AND(ISNUMBER(_xlpm.q),_xlpm.q&gt;0,ISNUMBER(_xlpm.u),_xlpm.u&gt;0,ISNUMBER(_xlpm.r),_xlpm.r&gt;=0),
      1-(_xlpm.r/(_xlpm.q*_xlpm.u)),
      ""
   )
)
)</f>
        <v>0.1</v>
      </c>
      <c r="J426" s="4">
        <f>_xlfn.LET(
_xlpm.q,RawData!G426,
_xlpm.u,RawData!H426,
_xlpm.d,RawData!I426,
_xlpm.r,RawData!J426,
IF(AND(ISNUMBER(_xlpm.r),_xlpm.r&gt;=0),_xlpm.r,
   IF(AND(ISNUMBER(_xlpm.q),_xlpm.q&gt;0,ISNUMBER(_xlpm.u),_xlpm.u&gt;0,ISNUMBER(_xlpm.d),_xlpm.d&gt;=0,_xlpm.d&lt;1),
      _xlpm.q*_xlpm.u*(1-_xlpm.d),
      ""
   )
)
)</f>
        <v>1134.73</v>
      </c>
      <c r="K426" s="4">
        <f>_xlfn.LET(
_xlpm.c,RawData!K426,
_xlpm.r,RawData!J426,
_xlpm.p,RawData!L426,
IF(AND(ISNUMBER(_xlpm.c),_xlpm.c&gt;=0),_xlpm.c,
   IF(AND(ISNUMBER(_xlpm.r),ISNUMBER(_xlpm.p)),
      _xlpm.r-_xlpm.p,
      ""
   )
)
)</f>
        <v>806.51</v>
      </c>
      <c r="L426" s="4">
        <f>_xlfn.LET(
_xlpm.p,RawData!L426,
_xlpm.r,RawData!J426,
_xlpm.c,RawData!K426,
IF(ISNUMBER(_xlpm.p),_xlpm.p,
IF(AND(ISNUMBER(_xlpm.r),ISNUMBER(_xlpm.c)),
_xlpm.r-_xlpm.c,
""
)
))</f>
        <v>328.22</v>
      </c>
    </row>
    <row r="427" spans="1:12" x14ac:dyDescent="0.35">
      <c r="A427" t="s">
        <v>467</v>
      </c>
      <c r="B427" s="7">
        <v>45998</v>
      </c>
      <c r="C427" t="str">
        <f>IF(RawData!C427="","Unknown",PROPER(TRIM(CLEAN(SUBSTITUTE(RawData!C427,CHAR(160)," ")))))</f>
        <v>South</v>
      </c>
      <c r="D427" t="str">
        <f>IF(RawData!D427="","Unknown",PROPER(TRIM(CLEAN(SUBSTITUTE(RawData!D427,CHAR(160)," ")))))</f>
        <v>Bengaluru</v>
      </c>
      <c r="E427" t="str">
        <f>IF(RawData!E427="","Unknown",PROPER(TRIM(CLEAN(SUBSTITUTE(RawData!E427,CHAR(160)," ")))))</f>
        <v>Monitor</v>
      </c>
      <c r="F427" t="str">
        <f>IF(RawData!F427="","Unknown",PROPER(TRIM(CLEAN(SUBSTITUTE(RawData!F427,CHAR(160)," ")))))</f>
        <v>Electronics</v>
      </c>
      <c r="G427">
        <f>_xlfn.LET(
_xlpm.q,RawData!G427,
_xlpm.u,RawData!H427,
_xlpm.d,RawData!I427,
_xlpm.r,RawData!J427,
IF(AND(ISNUMBER(_xlpm.q),_xlpm.q&gt;0),_xlpm.q,
   IF(AND(ISNUMBER(_xlpm.r),ISNUMBER(_xlpm.u),_xlpm.u&gt;0,ISNUMBER(_xlpm.d),_xlpm.d&gt;=0,_xlpm.d&lt;1),
      ROUND(_xlpm.r/(_xlpm.u*(1-_xlpm.d)),0),
      ""
   )
)
)</f>
        <v>10</v>
      </c>
      <c r="H427" s="4">
        <f>_xlfn.LET(
_xlpm.q,RawData!G427,
_xlpm.u,RawData!H427,
_xlpm.d,RawData!I427,
_xlpm.r,RawData!J427,
IF(AND(ISNUMBER(_xlpm.u),_xlpm.u&gt;0),_xlpm.u,
   IF(AND(ISNUMBER(_xlpm.q),_xlpm.q&gt;0,ISNUMBER(_xlpm.r),ISNUMBER(_xlpm.d),_xlpm.d&gt;=0,_xlpm.d&lt;1),
      _xlpm.r/(_xlpm.q*(1-_xlpm.d)),
      ""
   )
)
)</f>
        <v>191.43</v>
      </c>
      <c r="I427" s="5">
        <f>_xlfn.LET(
_xlpm.q,RawData!G427,
_xlpm.u,RawData!H427,
_xlpm.d,RawData!I427,
_xlpm.r,RawData!J427,
IF(AND(ISNUMBER(_xlpm.d),_xlpm.d&gt;=0,_xlpm.d&lt;1),_xlpm.d,
   IF(AND(ISNUMBER(_xlpm.q),_xlpm.q&gt;0,ISNUMBER(_xlpm.u),_xlpm.u&gt;0,ISNUMBER(_xlpm.r),_xlpm.r&gt;=0),
      1-(_xlpm.r/(_xlpm.q*_xlpm.u)),
      ""
   )
)
)</f>
        <v>0</v>
      </c>
      <c r="J427" s="4">
        <f>_xlfn.LET(
_xlpm.q,RawData!G427,
_xlpm.u,RawData!H427,
_xlpm.d,RawData!I427,
_xlpm.r,RawData!J427,
IF(AND(ISNUMBER(_xlpm.r),_xlpm.r&gt;=0),_xlpm.r,
   IF(AND(ISNUMBER(_xlpm.q),_xlpm.q&gt;0,ISNUMBER(_xlpm.u),_xlpm.u&gt;0,ISNUMBER(_xlpm.d),_xlpm.d&gt;=0,_xlpm.d&lt;1),
      _xlpm.q*_xlpm.u*(1-_xlpm.d),
      ""
   )
)
)</f>
        <v>1914.3</v>
      </c>
      <c r="K427" s="4">
        <f>_xlfn.LET(
_xlpm.c,RawData!K427,
_xlpm.r,RawData!J427,
_xlpm.p,RawData!L427,
IF(AND(ISNUMBER(_xlpm.c),_xlpm.c&gt;=0),_xlpm.c,
   IF(AND(ISNUMBER(_xlpm.r),ISNUMBER(_xlpm.p)),
      _xlpm.r-_xlpm.p,
      ""
   )
)
)</f>
        <v>1440.49</v>
      </c>
      <c r="L427" s="4">
        <f>_xlfn.LET(
_xlpm.p,RawData!L427,
_xlpm.r,RawData!J427,
_xlpm.c,RawData!K427,
IF(ISNUMBER(_xlpm.p),_xlpm.p,
IF(AND(ISNUMBER(_xlpm.r),ISNUMBER(_xlpm.c)),
_xlpm.r-_xlpm.c,
""
)
))</f>
        <v>473.81</v>
      </c>
    </row>
    <row r="428" spans="1:12" x14ac:dyDescent="0.35">
      <c r="A428" t="s">
        <v>468</v>
      </c>
      <c r="B428" s="7">
        <v>45886</v>
      </c>
      <c r="C428" t="str">
        <f>IF(RawData!C428="","Unknown",PROPER(TRIM(CLEAN(SUBSTITUTE(RawData!C428,CHAR(160)," ")))))</f>
        <v>East</v>
      </c>
      <c r="D428" t="str">
        <f>IF(RawData!D428="","Unknown",PROPER(TRIM(CLEAN(SUBSTITUTE(RawData!D428,CHAR(160)," ")))))</f>
        <v>Kolkata</v>
      </c>
      <c r="E428" t="str">
        <f>IF(RawData!E428="","Unknown",PROPER(TRIM(CLEAN(SUBSTITUTE(RawData!E428,CHAR(160)," ")))))</f>
        <v>Smartphone</v>
      </c>
      <c r="F428" t="str">
        <f>IF(RawData!F428="","Unknown",PROPER(TRIM(CLEAN(SUBSTITUTE(RawData!F428,CHAR(160)," ")))))</f>
        <v>Electronics</v>
      </c>
      <c r="G428">
        <f>_xlfn.LET(
_xlpm.q,RawData!G428,
_xlpm.u,RawData!H428,
_xlpm.d,RawData!I428,
_xlpm.r,RawData!J428,
IF(AND(ISNUMBER(_xlpm.q),_xlpm.q&gt;0),_xlpm.q,
   IF(AND(ISNUMBER(_xlpm.r),ISNUMBER(_xlpm.u),_xlpm.u&gt;0,ISNUMBER(_xlpm.d),_xlpm.d&gt;=0,_xlpm.d&lt;1),
      ROUND(_xlpm.r/(_xlpm.u*(1-_xlpm.d)),0),
      ""
   )
)
)</f>
        <v>10</v>
      </c>
      <c r="H428" s="4">
        <f>_xlfn.LET(
_xlpm.q,RawData!G428,
_xlpm.u,RawData!H428,
_xlpm.d,RawData!I428,
_xlpm.r,RawData!J428,
IF(AND(ISNUMBER(_xlpm.u),_xlpm.u&gt;0),_xlpm.u,
   IF(AND(ISNUMBER(_xlpm.q),_xlpm.q&gt;0,ISNUMBER(_xlpm.r),ISNUMBER(_xlpm.d),_xlpm.d&gt;=0,_xlpm.d&lt;1),
      _xlpm.r/(_xlpm.q*(1-_xlpm.d)),
      ""
   )
)
)</f>
        <v>502.13</v>
      </c>
      <c r="I428" s="5">
        <f>_xlfn.LET(
_xlpm.q,RawData!G428,
_xlpm.u,RawData!H428,
_xlpm.d,RawData!I428,
_xlpm.r,RawData!J428,
IF(AND(ISNUMBER(_xlpm.d),_xlpm.d&gt;=0,_xlpm.d&lt;1),_xlpm.d,
   IF(AND(ISNUMBER(_xlpm.q),_xlpm.q&gt;0,ISNUMBER(_xlpm.u),_xlpm.u&gt;0,ISNUMBER(_xlpm.r),_xlpm.r&gt;=0),
      1-(_xlpm.r/(_xlpm.q*_xlpm.u)),
      ""
   )
)
)</f>
        <v>0</v>
      </c>
      <c r="J428" s="4">
        <f>_xlfn.LET(
_xlpm.q,RawData!G428,
_xlpm.u,RawData!H428,
_xlpm.d,RawData!I428,
_xlpm.r,RawData!J428,
IF(AND(ISNUMBER(_xlpm.r),_xlpm.r&gt;=0),_xlpm.r,
   IF(AND(ISNUMBER(_xlpm.q),_xlpm.q&gt;0,ISNUMBER(_xlpm.u),_xlpm.u&gt;0,ISNUMBER(_xlpm.d),_xlpm.d&gt;=0,_xlpm.d&lt;1),
      _xlpm.q*_xlpm.u*(1-_xlpm.d),
      ""
   )
)
)</f>
        <v>5021.3</v>
      </c>
      <c r="K428" s="4">
        <f>_xlfn.LET(
_xlpm.c,RawData!K428,
_xlpm.r,RawData!J428,
_xlpm.p,RawData!L428,
IF(AND(ISNUMBER(_xlpm.c),_xlpm.c&gt;=0),_xlpm.c,
   IF(AND(ISNUMBER(_xlpm.r),ISNUMBER(_xlpm.p)),
      _xlpm.r-_xlpm.p,
      ""
   )
)
)</f>
        <v>3979.25</v>
      </c>
      <c r="L428" s="4">
        <f>_xlfn.LET(
_xlpm.p,RawData!L428,
_xlpm.r,RawData!J428,
_xlpm.c,RawData!K428,
IF(ISNUMBER(_xlpm.p),_xlpm.p,
IF(AND(ISNUMBER(_xlpm.r),ISNUMBER(_xlpm.c)),
_xlpm.r-_xlpm.c,
""
)
))</f>
        <v>1042.05</v>
      </c>
    </row>
    <row r="429" spans="1:12" x14ac:dyDescent="0.35">
      <c r="A429" t="s">
        <v>469</v>
      </c>
      <c r="B429" s="7">
        <v>45938</v>
      </c>
      <c r="C429" t="str">
        <f>IF(RawData!C429="","Unknown",PROPER(TRIM(CLEAN(SUBSTITUTE(RawData!C429,CHAR(160)," ")))))</f>
        <v>South</v>
      </c>
      <c r="D429" t="str">
        <f>IF(RawData!D429="","Unknown",PROPER(TRIM(CLEAN(SUBSTITUTE(RawData!D429,CHAR(160)," ")))))</f>
        <v>Hyderabad</v>
      </c>
      <c r="E429" t="str">
        <f>IF(RawData!E429="","Unknown",PROPER(TRIM(CLEAN(SUBSTITUTE(RawData!E429,CHAR(160)," ")))))</f>
        <v>Pen Set</v>
      </c>
      <c r="F429" t="str">
        <f>IF(RawData!F429="","Unknown",PROPER(TRIM(CLEAN(SUBSTITUTE(RawData!F429,CHAR(160)," ")))))</f>
        <v>Office Supplies</v>
      </c>
      <c r="G429">
        <f>_xlfn.LET(
_xlpm.q,RawData!G429,
_xlpm.u,RawData!H429,
_xlpm.d,RawData!I429,
_xlpm.r,RawData!J429,
IF(AND(ISNUMBER(_xlpm.q),_xlpm.q&gt;0),_xlpm.q,
   IF(AND(ISNUMBER(_xlpm.r),ISNUMBER(_xlpm.u),_xlpm.u&gt;0,ISNUMBER(_xlpm.d),_xlpm.d&gt;=0,_xlpm.d&lt;1),
      ROUND(_xlpm.r/(_xlpm.u*(1-_xlpm.d)),0),
      ""
   )
)
)</f>
        <v>9</v>
      </c>
      <c r="H429" s="4">
        <f>_xlfn.LET(
_xlpm.q,RawData!G429,
_xlpm.u,RawData!H429,
_xlpm.d,RawData!I429,
_xlpm.r,RawData!J429,
IF(AND(ISNUMBER(_xlpm.u),_xlpm.u&gt;0),_xlpm.u,
   IF(AND(ISNUMBER(_xlpm.q),_xlpm.q&gt;0,ISNUMBER(_xlpm.r),ISNUMBER(_xlpm.d),_xlpm.d&gt;=0,_xlpm.d&lt;1),
      _xlpm.r/(_xlpm.q*(1-_xlpm.d)),
      ""
   )
)
)</f>
        <v>10.94</v>
      </c>
      <c r="I429" s="5">
        <f>_xlfn.LET(
_xlpm.q,RawData!G429,
_xlpm.u,RawData!H429,
_xlpm.d,RawData!I429,
_xlpm.r,RawData!J429,
IF(AND(ISNUMBER(_xlpm.d),_xlpm.d&gt;=0,_xlpm.d&lt;1),_xlpm.d,
   IF(AND(ISNUMBER(_xlpm.q),_xlpm.q&gt;0,ISNUMBER(_xlpm.u),_xlpm.u&gt;0,ISNUMBER(_xlpm.r),_xlpm.r&gt;=0),
      1-(_xlpm.r/(_xlpm.q*_xlpm.u)),
      ""
   )
)
)</f>
        <v>0.02</v>
      </c>
      <c r="J429" s="4">
        <f>_xlfn.LET(
_xlpm.q,RawData!G429,
_xlpm.u,RawData!H429,
_xlpm.d,RawData!I429,
_xlpm.r,RawData!J429,
IF(AND(ISNUMBER(_xlpm.r),_xlpm.r&gt;=0),_xlpm.r,
   IF(AND(ISNUMBER(_xlpm.q),_xlpm.q&gt;0,ISNUMBER(_xlpm.u),_xlpm.u&gt;0,ISNUMBER(_xlpm.d),_xlpm.d&gt;=0,_xlpm.d&lt;1),
      _xlpm.q*_xlpm.u*(1-_xlpm.d),
      ""
   )
)
)</f>
        <v>96.49</v>
      </c>
      <c r="K429" s="4">
        <f>_xlfn.LET(
_xlpm.c,RawData!K429,
_xlpm.r,RawData!J429,
_xlpm.p,RawData!L429,
IF(AND(ISNUMBER(_xlpm.c),_xlpm.c&gt;=0),_xlpm.c,
   IF(AND(ISNUMBER(_xlpm.r),ISNUMBER(_xlpm.p)),
      _xlpm.r-_xlpm.p,
      ""
   )
)
)</f>
        <v>58.04</v>
      </c>
      <c r="L429" s="4">
        <f>_xlfn.LET(
_xlpm.p,RawData!L429,
_xlpm.r,RawData!J429,
_xlpm.c,RawData!K429,
IF(ISNUMBER(_xlpm.p),_xlpm.p,
IF(AND(ISNUMBER(_xlpm.r),ISNUMBER(_xlpm.c)),
_xlpm.r-_xlpm.c,
""
)
))</f>
        <v>38.450000000000003</v>
      </c>
    </row>
    <row r="430" spans="1:12" x14ac:dyDescent="0.35">
      <c r="A430" t="s">
        <v>470</v>
      </c>
      <c r="B430" s="7">
        <v>45825</v>
      </c>
      <c r="C430" t="str">
        <f>IF(RawData!C430="","Unknown",PROPER(TRIM(CLEAN(SUBSTITUTE(RawData!C430,CHAR(160)," ")))))</f>
        <v>West</v>
      </c>
      <c r="D430" t="str">
        <f>IF(RawData!D430="","Unknown",PROPER(TRIM(CLEAN(SUBSTITUTE(RawData!D430,CHAR(160)," ")))))</f>
        <v>Ahmedabad</v>
      </c>
      <c r="E430" t="str">
        <f>IF(RawData!E430="","Unknown",PROPER(TRIM(CLEAN(SUBSTITUTE(RawData!E430,CHAR(160)," ")))))</f>
        <v>Smartphone</v>
      </c>
      <c r="F430" t="str">
        <f>IF(RawData!F430="","Unknown",PROPER(TRIM(CLEAN(SUBSTITUTE(RawData!F430,CHAR(160)," ")))))</f>
        <v>Electronics</v>
      </c>
      <c r="G430">
        <f>_xlfn.LET(
_xlpm.q,RawData!G430,
_xlpm.u,RawData!H430,
_xlpm.d,RawData!I430,
_xlpm.r,RawData!J430,
IF(AND(ISNUMBER(_xlpm.q),_xlpm.q&gt;0),_xlpm.q,
   IF(AND(ISNUMBER(_xlpm.r),ISNUMBER(_xlpm.u),_xlpm.u&gt;0,ISNUMBER(_xlpm.d),_xlpm.d&gt;=0,_xlpm.d&lt;1),
      ROUND(_xlpm.r/(_xlpm.u*(1-_xlpm.d)),0),
      ""
   )
)
)</f>
        <v>4</v>
      </c>
      <c r="H430" s="4">
        <f>_xlfn.LET(
_xlpm.q,RawData!G430,
_xlpm.u,RawData!H430,
_xlpm.d,RawData!I430,
_xlpm.r,RawData!J430,
IF(AND(ISNUMBER(_xlpm.u),_xlpm.u&gt;0),_xlpm.u,
   IF(AND(ISNUMBER(_xlpm.q),_xlpm.q&gt;0,ISNUMBER(_xlpm.r),ISNUMBER(_xlpm.d),_xlpm.d&gt;=0,_xlpm.d&lt;1),
      _xlpm.r/(_xlpm.q*(1-_xlpm.d)),
      ""
   )
)
)</f>
        <v>473.53</v>
      </c>
      <c r="I430" s="5">
        <f>_xlfn.LET(
_xlpm.q,RawData!G430,
_xlpm.u,RawData!H430,
_xlpm.d,RawData!I430,
_xlpm.r,RawData!J430,
IF(AND(ISNUMBER(_xlpm.d),_xlpm.d&gt;=0,_xlpm.d&lt;1),_xlpm.d,
   IF(AND(ISNUMBER(_xlpm.q),_xlpm.q&gt;0,ISNUMBER(_xlpm.u),_xlpm.u&gt;0,ISNUMBER(_xlpm.r),_xlpm.r&gt;=0),
      1-(_xlpm.r/(_xlpm.q*_xlpm.u)),
      ""
   )
)
)</f>
        <v>0.2</v>
      </c>
      <c r="J430" s="4">
        <f>_xlfn.LET(
_xlpm.q,RawData!G430,
_xlpm.u,RawData!H430,
_xlpm.d,RawData!I430,
_xlpm.r,RawData!J430,
IF(AND(ISNUMBER(_xlpm.r),_xlpm.r&gt;=0),_xlpm.r,
   IF(AND(ISNUMBER(_xlpm.q),_xlpm.q&gt;0,ISNUMBER(_xlpm.u),_xlpm.u&gt;0,ISNUMBER(_xlpm.d),_xlpm.d&gt;=0,_xlpm.d&lt;1),
      _xlpm.q*_xlpm.u*(1-_xlpm.d),
      ""
   )
)
)</f>
        <v>1515.3</v>
      </c>
      <c r="K430" s="4">
        <f>_xlfn.LET(
_xlpm.c,RawData!K430,
_xlpm.r,RawData!J430,
_xlpm.p,RawData!L430,
IF(AND(ISNUMBER(_xlpm.c),_xlpm.c&gt;=0),_xlpm.c,
   IF(AND(ISNUMBER(_xlpm.r),ISNUMBER(_xlpm.p)),
      _xlpm.r-_xlpm.p,
      ""
   )
)
)</f>
        <v>1026.55</v>
      </c>
      <c r="L430" s="4">
        <f>_xlfn.LET(
_xlpm.p,RawData!L430,
_xlpm.r,RawData!J430,
_xlpm.c,RawData!K430,
IF(ISNUMBER(_xlpm.p),_xlpm.p,
IF(AND(ISNUMBER(_xlpm.r),ISNUMBER(_xlpm.c)),
_xlpm.r-_xlpm.c,
""
)
))</f>
        <v>488.75</v>
      </c>
    </row>
    <row r="431" spans="1:12" x14ac:dyDescent="0.35">
      <c r="A431" t="s">
        <v>471</v>
      </c>
      <c r="B431" s="7">
        <v>45908</v>
      </c>
      <c r="C431" t="str">
        <f>IF(RawData!C431="","Unknown",PROPER(TRIM(CLEAN(SUBSTITUTE(RawData!C431,CHAR(160)," ")))))</f>
        <v>North</v>
      </c>
      <c r="D431" t="str">
        <f>IF(RawData!D431="","Unknown",PROPER(TRIM(CLEAN(SUBSTITUTE(RawData!D431,CHAR(160)," ")))))</f>
        <v>Jaipur</v>
      </c>
      <c r="E431" t="str">
        <f>IF(RawData!E431="","Unknown",PROPER(TRIM(CLEAN(SUBSTITUTE(RawData!E431,CHAR(160)," ")))))</f>
        <v>Notebook</v>
      </c>
      <c r="F431" t="str">
        <f>IF(RawData!F431="","Unknown",PROPER(TRIM(CLEAN(SUBSTITUTE(RawData!F431,CHAR(160)," ")))))</f>
        <v>Office Supplies</v>
      </c>
      <c r="G431">
        <f>_xlfn.LET(
_xlpm.q,RawData!G431,
_xlpm.u,RawData!H431,
_xlpm.d,RawData!I431,
_xlpm.r,RawData!J431,
IF(AND(ISNUMBER(_xlpm.q),_xlpm.q&gt;0),_xlpm.q,
   IF(AND(ISNUMBER(_xlpm.r),ISNUMBER(_xlpm.u),_xlpm.u&gt;0,ISNUMBER(_xlpm.d),_xlpm.d&gt;=0,_xlpm.d&lt;1),
      ROUND(_xlpm.r/(_xlpm.u*(1-_xlpm.d)),0),
      ""
   )
)
)</f>
        <v>8</v>
      </c>
      <c r="H431" s="4">
        <f>_xlfn.LET(
_xlpm.q,RawData!G431,
_xlpm.u,RawData!H431,
_xlpm.d,RawData!I431,
_xlpm.r,RawData!J431,
IF(AND(ISNUMBER(_xlpm.u),_xlpm.u&gt;0),_xlpm.u,
   IF(AND(ISNUMBER(_xlpm.q),_xlpm.q&gt;0,ISNUMBER(_xlpm.r),ISNUMBER(_xlpm.d),_xlpm.d&gt;=0,_xlpm.d&lt;1),
      _xlpm.r/(_xlpm.q*(1-_xlpm.d)),
      ""
   )
)
)</f>
        <v>8.16</v>
      </c>
      <c r="I431" s="5">
        <f>_xlfn.LET(
_xlpm.q,RawData!G431,
_xlpm.u,RawData!H431,
_xlpm.d,RawData!I431,
_xlpm.r,RawData!J431,
IF(AND(ISNUMBER(_xlpm.d),_xlpm.d&gt;=0,_xlpm.d&lt;1),_xlpm.d,
   IF(AND(ISNUMBER(_xlpm.q),_xlpm.q&gt;0,ISNUMBER(_xlpm.u),_xlpm.u&gt;0,ISNUMBER(_xlpm.r),_xlpm.r&gt;=0),
      1-(_xlpm.r/(_xlpm.q*_xlpm.u)),
      ""
   )
)
)</f>
        <v>0</v>
      </c>
      <c r="J431" s="4">
        <f>_xlfn.LET(
_xlpm.q,RawData!G431,
_xlpm.u,RawData!H431,
_xlpm.d,RawData!I431,
_xlpm.r,RawData!J431,
IF(AND(ISNUMBER(_xlpm.r),_xlpm.r&gt;=0),_xlpm.r,
   IF(AND(ISNUMBER(_xlpm.q),_xlpm.q&gt;0,ISNUMBER(_xlpm.u),_xlpm.u&gt;0,ISNUMBER(_xlpm.d),_xlpm.d&gt;=0,_xlpm.d&lt;1),
      _xlpm.q*_xlpm.u*(1-_xlpm.d),
      ""
   )
)
)</f>
        <v>65.28</v>
      </c>
      <c r="K431" s="4">
        <f>_xlfn.LET(
_xlpm.c,RawData!K431,
_xlpm.r,RawData!J431,
_xlpm.p,RawData!L431,
IF(AND(ISNUMBER(_xlpm.c),_xlpm.c&gt;=0),_xlpm.c,
   IF(AND(ISNUMBER(_xlpm.r),ISNUMBER(_xlpm.p)),
      _xlpm.r-_xlpm.p,
      ""
   )
)
)</f>
        <v>37.06</v>
      </c>
      <c r="L431" s="4">
        <f>_xlfn.LET(
_xlpm.p,RawData!L431,
_xlpm.r,RawData!J431,
_xlpm.c,RawData!K431,
IF(ISNUMBER(_xlpm.p),_xlpm.p,
IF(AND(ISNUMBER(_xlpm.r),ISNUMBER(_xlpm.c)),
_xlpm.r-_xlpm.c,
""
)
))</f>
        <v>28.22</v>
      </c>
    </row>
    <row r="432" spans="1:12" x14ac:dyDescent="0.35">
      <c r="A432" t="s">
        <v>472</v>
      </c>
      <c r="B432" s="7">
        <v>45725</v>
      </c>
      <c r="C432" t="str">
        <f>IF(RawData!C432="","Unknown",PROPER(TRIM(CLEAN(SUBSTITUTE(RawData!C432,CHAR(160)," ")))))</f>
        <v>West</v>
      </c>
      <c r="D432" t="str">
        <f>IF(RawData!D432="","Unknown",PROPER(TRIM(CLEAN(SUBSTITUTE(RawData!D432,CHAR(160)," ")))))</f>
        <v>Ahmedabad</v>
      </c>
      <c r="E432" t="str">
        <f>IF(RawData!E432="","Unknown",PROPER(TRIM(CLEAN(SUBSTITUTE(RawData!E432,CHAR(160)," ")))))</f>
        <v>Printer</v>
      </c>
      <c r="F432" t="str">
        <f>IF(RawData!F432="","Unknown",PROPER(TRIM(CLEAN(SUBSTITUTE(RawData!F432,CHAR(160)," ")))))</f>
        <v>Office Supplies</v>
      </c>
      <c r="G432">
        <f>_xlfn.LET(
_xlpm.q,RawData!G432,
_xlpm.u,RawData!H432,
_xlpm.d,RawData!I432,
_xlpm.r,RawData!J432,
IF(AND(ISNUMBER(_xlpm.q),_xlpm.q&gt;0),_xlpm.q,
   IF(AND(ISNUMBER(_xlpm.r),ISNUMBER(_xlpm.u),_xlpm.u&gt;0,ISNUMBER(_xlpm.d),_xlpm.d&gt;=0,_xlpm.d&lt;1),
      ROUND(_xlpm.r/(_xlpm.u*(1-_xlpm.d)),0),
      ""
   )
)
)</f>
        <v>10</v>
      </c>
      <c r="H432" s="4">
        <f>_xlfn.LET(
_xlpm.q,RawData!G432,
_xlpm.u,RawData!H432,
_xlpm.d,RawData!I432,
_xlpm.r,RawData!J432,
IF(AND(ISNUMBER(_xlpm.u),_xlpm.u&gt;0),_xlpm.u,
   IF(AND(ISNUMBER(_xlpm.q),_xlpm.q&gt;0,ISNUMBER(_xlpm.r),ISNUMBER(_xlpm.d),_xlpm.d&gt;=0,_xlpm.d&lt;1),
      _xlpm.r/(_xlpm.q*(1-_xlpm.d)),
      ""
   )
)
)</f>
        <v>173.23</v>
      </c>
      <c r="I432" s="5">
        <f>_xlfn.LET(
_xlpm.q,RawData!G432,
_xlpm.u,RawData!H432,
_xlpm.d,RawData!I432,
_xlpm.r,RawData!J432,
IF(AND(ISNUMBER(_xlpm.d),_xlpm.d&gt;=0,_xlpm.d&lt;1),_xlpm.d,
   IF(AND(ISNUMBER(_xlpm.q),_xlpm.q&gt;0,ISNUMBER(_xlpm.u),_xlpm.u&gt;0,ISNUMBER(_xlpm.r),_xlpm.r&gt;=0),
      1-(_xlpm.r/(_xlpm.q*_xlpm.u)),
      ""
   )
)
)</f>
        <v>0</v>
      </c>
      <c r="J432" s="4">
        <f>_xlfn.LET(
_xlpm.q,RawData!G432,
_xlpm.u,RawData!H432,
_xlpm.d,RawData!I432,
_xlpm.r,RawData!J432,
IF(AND(ISNUMBER(_xlpm.r),_xlpm.r&gt;=0),_xlpm.r,
   IF(AND(ISNUMBER(_xlpm.q),_xlpm.q&gt;0,ISNUMBER(_xlpm.u),_xlpm.u&gt;0,ISNUMBER(_xlpm.d),_xlpm.d&gt;=0,_xlpm.d&lt;1),
      _xlpm.q*_xlpm.u*(1-_xlpm.d),
      ""
   )
)
)</f>
        <v>1732.3</v>
      </c>
      <c r="K432" s="4">
        <f>_xlfn.LET(
_xlpm.c,RawData!K432,
_xlpm.r,RawData!J432,
_xlpm.p,RawData!L432,
IF(AND(ISNUMBER(_xlpm.c),_xlpm.c&gt;=0),_xlpm.c,
   IF(AND(ISNUMBER(_xlpm.r),ISNUMBER(_xlpm.p)),
      _xlpm.r-_xlpm.p,
      ""
   )
)
)</f>
        <v>1164.78</v>
      </c>
      <c r="L432" s="4">
        <f>_xlfn.LET(
_xlpm.p,RawData!L432,
_xlpm.r,RawData!J432,
_xlpm.c,RawData!K432,
IF(ISNUMBER(_xlpm.p),_xlpm.p,
IF(AND(ISNUMBER(_xlpm.r),ISNUMBER(_xlpm.c)),
_xlpm.r-_xlpm.c,
""
)
))</f>
        <v>567.52</v>
      </c>
    </row>
    <row r="433" spans="1:12" x14ac:dyDescent="0.35">
      <c r="A433" t="s">
        <v>473</v>
      </c>
      <c r="B433" s="7">
        <v>45894</v>
      </c>
      <c r="C433" t="str">
        <f>IF(RawData!C433="","Unknown",PROPER(TRIM(CLEAN(SUBSTITUTE(RawData!C433,CHAR(160)," ")))))</f>
        <v>East</v>
      </c>
      <c r="D433" t="str">
        <f>IF(RawData!D433="","Unknown",PROPER(TRIM(CLEAN(SUBSTITUTE(RawData!D433,CHAR(160)," ")))))</f>
        <v>Bhubaneswar</v>
      </c>
      <c r="E433" t="str">
        <f>IF(RawData!E433="","Unknown",PROPER(TRIM(CLEAN(SUBSTITUTE(RawData!E433,CHAR(160)," ")))))</f>
        <v>Keyboard</v>
      </c>
      <c r="F433" t="str">
        <f>IF(RawData!F433="","Unknown",PROPER(TRIM(CLEAN(SUBSTITUTE(RawData!F433,CHAR(160)," ")))))</f>
        <v>Accessories</v>
      </c>
      <c r="G433">
        <f>_xlfn.LET(
_xlpm.q,RawData!G433,
_xlpm.u,RawData!H433,
_xlpm.d,RawData!I433,
_xlpm.r,RawData!J433,
IF(AND(ISNUMBER(_xlpm.q),_xlpm.q&gt;0),_xlpm.q,
   IF(AND(ISNUMBER(_xlpm.r),ISNUMBER(_xlpm.u),_xlpm.u&gt;0,ISNUMBER(_xlpm.d),_xlpm.d&gt;=0,_xlpm.d&lt;1),
      ROUND(_xlpm.r/(_xlpm.u*(1-_xlpm.d)),0),
      ""
   )
)
)</f>
        <v>1</v>
      </c>
      <c r="H433" s="4">
        <f>_xlfn.LET(
_xlpm.q,RawData!G433,
_xlpm.u,RawData!H433,
_xlpm.d,RawData!I433,
_xlpm.r,RawData!J433,
IF(AND(ISNUMBER(_xlpm.u),_xlpm.u&gt;0),_xlpm.u,
   IF(AND(ISNUMBER(_xlpm.q),_xlpm.q&gt;0,ISNUMBER(_xlpm.r),ISNUMBER(_xlpm.d),_xlpm.d&gt;=0,_xlpm.d&lt;1),
      _xlpm.r/(_xlpm.q*(1-_xlpm.d)),
      ""
   )
)
)</f>
        <v>35.26</v>
      </c>
      <c r="I433" s="5">
        <f>_xlfn.LET(
_xlpm.q,RawData!G433,
_xlpm.u,RawData!H433,
_xlpm.d,RawData!I433,
_xlpm.r,RawData!J433,
IF(AND(ISNUMBER(_xlpm.d),_xlpm.d&gt;=0,_xlpm.d&lt;1),_xlpm.d,
   IF(AND(ISNUMBER(_xlpm.q),_xlpm.q&gt;0,ISNUMBER(_xlpm.u),_xlpm.u&gt;0,ISNUMBER(_xlpm.r),_xlpm.r&gt;=0),
      1-(_xlpm.r/(_xlpm.q*_xlpm.u)),
      ""
   )
)
)</f>
        <v>0.1</v>
      </c>
      <c r="J433" s="4">
        <f>_xlfn.LET(
_xlpm.q,RawData!G433,
_xlpm.u,RawData!H433,
_xlpm.d,RawData!I433,
_xlpm.r,RawData!J433,
IF(AND(ISNUMBER(_xlpm.r),_xlpm.r&gt;=0),_xlpm.r,
   IF(AND(ISNUMBER(_xlpm.q),_xlpm.q&gt;0,ISNUMBER(_xlpm.u),_xlpm.u&gt;0,ISNUMBER(_xlpm.d),_xlpm.d&gt;=0,_xlpm.d&lt;1),
      _xlpm.q*_xlpm.u*(1-_xlpm.d),
      ""
   )
)
)</f>
        <v>31.73</v>
      </c>
      <c r="K433" s="4">
        <f>_xlfn.LET(
_xlpm.c,RawData!K433,
_xlpm.r,RawData!J433,
_xlpm.p,RawData!L433,
IF(AND(ISNUMBER(_xlpm.c),_xlpm.c&gt;=0),_xlpm.c,
   IF(AND(ISNUMBER(_xlpm.r),ISNUMBER(_xlpm.p)),
      _xlpm.r-_xlpm.p,
      ""
   )
)
)</f>
        <v>21.23</v>
      </c>
      <c r="L433" s="4">
        <f>_xlfn.LET(
_xlpm.p,RawData!L433,
_xlpm.r,RawData!J433,
_xlpm.c,RawData!K433,
IF(ISNUMBER(_xlpm.p),_xlpm.p,
IF(AND(ISNUMBER(_xlpm.r),ISNUMBER(_xlpm.c)),
_xlpm.r-_xlpm.c,
""
)
))</f>
        <v>10.5</v>
      </c>
    </row>
    <row r="434" spans="1:12" x14ac:dyDescent="0.35">
      <c r="A434" t="s">
        <v>474</v>
      </c>
      <c r="B434" s="7">
        <v>45659</v>
      </c>
      <c r="C434" t="str">
        <f>IF(RawData!C434="","Unknown",PROPER(TRIM(CLEAN(SUBSTITUTE(RawData!C434,CHAR(160)," ")))))</f>
        <v>South</v>
      </c>
      <c r="D434" t="str">
        <f>IF(RawData!D434="","Unknown",PROPER(TRIM(CLEAN(SUBSTITUTE(RawData!D434,CHAR(160)," ")))))</f>
        <v>Chennai</v>
      </c>
      <c r="E434" t="str">
        <f>IF(RawData!E434="","Unknown",PROPER(TRIM(CLEAN(SUBSTITUTE(RawData!E434,CHAR(160)," ")))))</f>
        <v>Pen Set</v>
      </c>
      <c r="F434" t="str">
        <f>IF(RawData!F434="","Unknown",PROPER(TRIM(CLEAN(SUBSTITUTE(RawData!F434,CHAR(160)," ")))))</f>
        <v>Office Supplies</v>
      </c>
      <c r="G434">
        <f>_xlfn.LET(
_xlpm.q,RawData!G434,
_xlpm.u,RawData!H434,
_xlpm.d,RawData!I434,
_xlpm.r,RawData!J434,
IF(AND(ISNUMBER(_xlpm.q),_xlpm.q&gt;0),_xlpm.q,
   IF(AND(ISNUMBER(_xlpm.r),ISNUMBER(_xlpm.u),_xlpm.u&gt;0,ISNUMBER(_xlpm.d),_xlpm.d&gt;=0,_xlpm.d&lt;1),
      ROUND(_xlpm.r/(_xlpm.u*(1-_xlpm.d)),0),
      ""
   )
)
)</f>
        <v>2</v>
      </c>
      <c r="H434" s="4">
        <f>_xlfn.LET(
_xlpm.q,RawData!G434,
_xlpm.u,RawData!H434,
_xlpm.d,RawData!I434,
_xlpm.r,RawData!J434,
IF(AND(ISNUMBER(_xlpm.u),_xlpm.u&gt;0),_xlpm.u,
   IF(AND(ISNUMBER(_xlpm.q),_xlpm.q&gt;0,ISNUMBER(_xlpm.r),ISNUMBER(_xlpm.d),_xlpm.d&gt;=0,_xlpm.d&lt;1),
      _xlpm.r/(_xlpm.q*(1-_xlpm.d)),
      ""
   )
)
)</f>
        <v>11.64</v>
      </c>
      <c r="I434" s="5">
        <f>_xlfn.LET(
_xlpm.q,RawData!G434,
_xlpm.u,RawData!H434,
_xlpm.d,RawData!I434,
_xlpm.r,RawData!J434,
IF(AND(ISNUMBER(_xlpm.d),_xlpm.d&gt;=0,_xlpm.d&lt;1),_xlpm.d,
   IF(AND(ISNUMBER(_xlpm.q),_xlpm.q&gt;0,ISNUMBER(_xlpm.u),_xlpm.u&gt;0,ISNUMBER(_xlpm.r),_xlpm.r&gt;=0),
      1-(_xlpm.r/(_xlpm.q*_xlpm.u)),
      ""
   )
)
)</f>
        <v>0</v>
      </c>
      <c r="J434" s="4">
        <f>_xlfn.LET(
_xlpm.q,RawData!G434,
_xlpm.u,RawData!H434,
_xlpm.d,RawData!I434,
_xlpm.r,RawData!J434,
IF(AND(ISNUMBER(_xlpm.r),_xlpm.r&gt;=0),_xlpm.r,
   IF(AND(ISNUMBER(_xlpm.q),_xlpm.q&gt;0,ISNUMBER(_xlpm.u),_xlpm.u&gt;0,ISNUMBER(_xlpm.d),_xlpm.d&gt;=0,_xlpm.d&lt;1),
      _xlpm.q*_xlpm.u*(1-_xlpm.d),
      ""
   )
)
)</f>
        <v>23.28</v>
      </c>
      <c r="K434" s="4">
        <f>_xlfn.LET(
_xlpm.c,RawData!K434,
_xlpm.r,RawData!J434,
_xlpm.p,RawData!L434,
IF(AND(ISNUMBER(_xlpm.c),_xlpm.c&gt;=0),_xlpm.c,
   IF(AND(ISNUMBER(_xlpm.r),ISNUMBER(_xlpm.p)),
      _xlpm.r-_xlpm.p,
      ""
   )
)
)</f>
        <v>16.32</v>
      </c>
      <c r="L434" s="4">
        <f>_xlfn.LET(
_xlpm.p,RawData!L434,
_xlpm.r,RawData!J434,
_xlpm.c,RawData!K434,
IF(ISNUMBER(_xlpm.p),_xlpm.p,
IF(AND(ISNUMBER(_xlpm.r),ISNUMBER(_xlpm.c)),
_xlpm.r-_xlpm.c,
""
)
))</f>
        <v>6.96</v>
      </c>
    </row>
    <row r="435" spans="1:12" x14ac:dyDescent="0.35">
      <c r="A435" t="s">
        <v>475</v>
      </c>
      <c r="B435" s="7">
        <v>45834</v>
      </c>
      <c r="C435" t="str">
        <f>IF(RawData!C435="","Unknown",PROPER(TRIM(CLEAN(SUBSTITUTE(RawData!C435,CHAR(160)," ")))))</f>
        <v>North</v>
      </c>
      <c r="D435" t="str">
        <f>IF(RawData!D435="","Unknown",PROPER(TRIM(CLEAN(SUBSTITUTE(RawData!D435,CHAR(160)," ")))))</f>
        <v>Jaipur</v>
      </c>
      <c r="E435" t="str">
        <f>IF(RawData!E435="","Unknown",PROPER(TRIM(CLEAN(SUBSTITUTE(RawData!E435,CHAR(160)," ")))))</f>
        <v>Notebook</v>
      </c>
      <c r="F435" t="str">
        <f>IF(RawData!F435="","Unknown",PROPER(TRIM(CLEAN(SUBSTITUTE(RawData!F435,CHAR(160)," ")))))</f>
        <v>Office Supplies</v>
      </c>
      <c r="G435">
        <f>_xlfn.LET(
_xlpm.q,RawData!G435,
_xlpm.u,RawData!H435,
_xlpm.d,RawData!I435,
_xlpm.r,RawData!J435,
IF(AND(ISNUMBER(_xlpm.q),_xlpm.q&gt;0),_xlpm.q,
   IF(AND(ISNUMBER(_xlpm.r),ISNUMBER(_xlpm.u),_xlpm.u&gt;0,ISNUMBER(_xlpm.d),_xlpm.d&gt;=0,_xlpm.d&lt;1),
      ROUND(_xlpm.r/(_xlpm.u*(1-_xlpm.d)),0),
      ""
   )
)
)</f>
        <v>1</v>
      </c>
      <c r="H435" s="4">
        <f>_xlfn.LET(
_xlpm.q,RawData!G435,
_xlpm.u,RawData!H435,
_xlpm.d,RawData!I435,
_xlpm.r,RawData!J435,
IF(AND(ISNUMBER(_xlpm.u),_xlpm.u&gt;0),_xlpm.u,
   IF(AND(ISNUMBER(_xlpm.q),_xlpm.q&gt;0,ISNUMBER(_xlpm.r),ISNUMBER(_xlpm.d),_xlpm.d&gt;=0,_xlpm.d&lt;1),
      _xlpm.r/(_xlpm.q*(1-_xlpm.d)),
      ""
   )
)
)</f>
        <v>7.17</v>
      </c>
      <c r="I435" s="5">
        <f>_xlfn.LET(
_xlpm.q,RawData!G435,
_xlpm.u,RawData!H435,
_xlpm.d,RawData!I435,
_xlpm.r,RawData!J435,
IF(AND(ISNUMBER(_xlpm.d),_xlpm.d&gt;=0,_xlpm.d&lt;1),_xlpm.d,
   IF(AND(ISNUMBER(_xlpm.q),_xlpm.q&gt;0,ISNUMBER(_xlpm.u),_xlpm.u&gt;0,ISNUMBER(_xlpm.r),_xlpm.r&gt;=0),
      1-(_xlpm.r/(_xlpm.q*_xlpm.u)),
      ""
   )
)
)</f>
        <v>0</v>
      </c>
      <c r="J435" s="4">
        <f>_xlfn.LET(
_xlpm.q,RawData!G435,
_xlpm.u,RawData!H435,
_xlpm.d,RawData!I435,
_xlpm.r,RawData!J435,
IF(AND(ISNUMBER(_xlpm.r),_xlpm.r&gt;=0),_xlpm.r,
   IF(AND(ISNUMBER(_xlpm.q),_xlpm.q&gt;0,ISNUMBER(_xlpm.u),_xlpm.u&gt;0,ISNUMBER(_xlpm.d),_xlpm.d&gt;=0,_xlpm.d&lt;1),
      _xlpm.q*_xlpm.u*(1-_xlpm.d),
      ""
   )
)
)</f>
        <v>7.17</v>
      </c>
      <c r="K435" s="4">
        <f>_xlfn.LET(
_xlpm.c,RawData!K435,
_xlpm.r,RawData!J435,
_xlpm.p,RawData!L435,
IF(AND(ISNUMBER(_xlpm.c),_xlpm.c&gt;=0),_xlpm.c,
   IF(AND(ISNUMBER(_xlpm.r),ISNUMBER(_xlpm.p)),
      _xlpm.r-_xlpm.p,
      ""
   )
)
)</f>
        <v>4.3</v>
      </c>
      <c r="L435" s="4">
        <f>_xlfn.LET(
_xlpm.p,RawData!L435,
_xlpm.r,RawData!J435,
_xlpm.c,RawData!K435,
IF(ISNUMBER(_xlpm.p),_xlpm.p,
IF(AND(ISNUMBER(_xlpm.r),ISNUMBER(_xlpm.c)),
_xlpm.r-_xlpm.c,
""
)
))</f>
        <v>2.87</v>
      </c>
    </row>
    <row r="436" spans="1:12" x14ac:dyDescent="0.35">
      <c r="A436" t="s">
        <v>476</v>
      </c>
      <c r="B436" s="7">
        <v>45674</v>
      </c>
      <c r="C436" t="str">
        <f>IF(RawData!C436="","Unknown",PROPER(TRIM(CLEAN(SUBSTITUTE(RawData!C436,CHAR(160)," ")))))</f>
        <v>East</v>
      </c>
      <c r="D436" t="str">
        <f>IF(RawData!D436="","Unknown",PROPER(TRIM(CLEAN(SUBSTITUTE(RawData!D436,CHAR(160)," ")))))</f>
        <v>Patna</v>
      </c>
      <c r="E436" t="str">
        <f>IF(RawData!E436="","Unknown",PROPER(TRIM(CLEAN(SUBSTITUTE(RawData!E436,CHAR(160)," ")))))</f>
        <v>Bookshelf</v>
      </c>
      <c r="F436" t="str">
        <f>IF(RawData!F436="","Unknown",PROPER(TRIM(CLEAN(SUBSTITUTE(RawData!F436,CHAR(160)," ")))))</f>
        <v>Furniture</v>
      </c>
      <c r="G436">
        <f>_xlfn.LET(
_xlpm.q,RawData!G436,
_xlpm.u,RawData!H436,
_xlpm.d,RawData!I436,
_xlpm.r,RawData!J436,
IF(AND(ISNUMBER(_xlpm.q),_xlpm.q&gt;0),_xlpm.q,
   IF(AND(ISNUMBER(_xlpm.r),ISNUMBER(_xlpm.u),_xlpm.u&gt;0,ISNUMBER(_xlpm.d),_xlpm.d&gt;=0,_xlpm.d&lt;1),
      ROUND(_xlpm.r/(_xlpm.u*(1-_xlpm.d)),0),
      ""
   )
)
)</f>
        <v>3</v>
      </c>
      <c r="H436" s="4">
        <f>_xlfn.LET(
_xlpm.q,RawData!G436,
_xlpm.u,RawData!H436,
_xlpm.d,RawData!I436,
_xlpm.r,RawData!J436,
IF(AND(ISNUMBER(_xlpm.u),_xlpm.u&gt;0),_xlpm.u,
   IF(AND(ISNUMBER(_xlpm.q),_xlpm.q&gt;0,ISNUMBER(_xlpm.r),ISNUMBER(_xlpm.d),_xlpm.d&gt;=0,_xlpm.d&lt;1),
      _xlpm.r/(_xlpm.q*(1-_xlpm.d)),
      ""
   )
)
)</f>
        <v>155.19</v>
      </c>
      <c r="I436" s="5">
        <f>_xlfn.LET(
_xlpm.q,RawData!G436,
_xlpm.u,RawData!H436,
_xlpm.d,RawData!I436,
_xlpm.r,RawData!J436,
IF(AND(ISNUMBER(_xlpm.d),_xlpm.d&gt;=0,_xlpm.d&lt;1),_xlpm.d,
   IF(AND(ISNUMBER(_xlpm.q),_xlpm.q&gt;0,ISNUMBER(_xlpm.u),_xlpm.u&gt;0,ISNUMBER(_xlpm.r),_xlpm.r&gt;=0),
      1-(_xlpm.r/(_xlpm.q*_xlpm.u)),
      ""
   )
)
)</f>
        <v>0.02</v>
      </c>
      <c r="J436" s="4">
        <f>_xlfn.LET(
_xlpm.q,RawData!G436,
_xlpm.u,RawData!H436,
_xlpm.d,RawData!I436,
_xlpm.r,RawData!J436,
IF(AND(ISNUMBER(_xlpm.r),_xlpm.r&gt;=0),_xlpm.r,
   IF(AND(ISNUMBER(_xlpm.q),_xlpm.q&gt;0,ISNUMBER(_xlpm.u),_xlpm.u&gt;0,ISNUMBER(_xlpm.d),_xlpm.d&gt;=0,_xlpm.d&lt;1),
      _xlpm.q*_xlpm.u*(1-_xlpm.d),
      ""
   )
)
)</f>
        <v>456.26</v>
      </c>
      <c r="K436" s="4">
        <f>_xlfn.LET(
_xlpm.c,RawData!K436,
_xlpm.r,RawData!J436,
_xlpm.p,RawData!L436,
IF(AND(ISNUMBER(_xlpm.c),_xlpm.c&gt;=0),_xlpm.c,
   IF(AND(ISNUMBER(_xlpm.r),ISNUMBER(_xlpm.p)),
      _xlpm.r-_xlpm.p,
      ""
   )
)
)</f>
        <v>367.5</v>
      </c>
      <c r="L436" s="4">
        <f>_xlfn.LET(
_xlpm.p,RawData!L436,
_xlpm.r,RawData!J436,
_xlpm.c,RawData!K436,
IF(ISNUMBER(_xlpm.p),_xlpm.p,
IF(AND(ISNUMBER(_xlpm.r),ISNUMBER(_xlpm.c)),
_xlpm.r-_xlpm.c,
""
)
))</f>
        <v>88.76</v>
      </c>
    </row>
    <row r="437" spans="1:12" x14ac:dyDescent="0.35">
      <c r="A437" t="s">
        <v>477</v>
      </c>
      <c r="B437" s="7">
        <v>45988</v>
      </c>
      <c r="C437" t="str">
        <f>IF(RawData!C437="","Unknown",PROPER(TRIM(CLEAN(SUBSTITUTE(RawData!C437,CHAR(160)," ")))))</f>
        <v>West</v>
      </c>
      <c r="D437" t="str">
        <f>IF(RawData!D437="","Unknown",PROPER(TRIM(CLEAN(SUBSTITUTE(RawData!D437,CHAR(160)," ")))))</f>
        <v>Pune</v>
      </c>
      <c r="E437" t="str">
        <f>IF(RawData!E437="","Unknown",PROPER(TRIM(CLEAN(SUBSTITUTE(RawData!E437,CHAR(160)," ")))))</f>
        <v>Desk</v>
      </c>
      <c r="F437" t="str">
        <f>IF(RawData!F437="","Unknown",PROPER(TRIM(CLEAN(SUBSTITUTE(RawData!F437,CHAR(160)," ")))))</f>
        <v>Furniture</v>
      </c>
      <c r="G437">
        <f>_xlfn.LET(
_xlpm.q,RawData!G437,
_xlpm.u,RawData!H437,
_xlpm.d,RawData!I437,
_xlpm.r,RawData!J437,
IF(AND(ISNUMBER(_xlpm.q),_xlpm.q&gt;0),_xlpm.q,
   IF(AND(ISNUMBER(_xlpm.r),ISNUMBER(_xlpm.u),_xlpm.u&gt;0,ISNUMBER(_xlpm.d),_xlpm.d&gt;=0,_xlpm.d&lt;1),
      ROUND(_xlpm.r/(_xlpm.u*(1-_xlpm.d)),0),
      ""
   )
)
)</f>
        <v>7</v>
      </c>
      <c r="H437" s="4">
        <f>_xlfn.LET(
_xlpm.q,RawData!G437,
_xlpm.u,RawData!H437,
_xlpm.d,RawData!I437,
_xlpm.r,RawData!J437,
IF(AND(ISNUMBER(_xlpm.u),_xlpm.u&gt;0),_xlpm.u,
   IF(AND(ISNUMBER(_xlpm.q),_xlpm.q&gt;0,ISNUMBER(_xlpm.r),ISNUMBER(_xlpm.d),_xlpm.d&gt;=0,_xlpm.d&lt;1),
      _xlpm.r/(_xlpm.q*(1-_xlpm.d)),
      ""
   )
)
)</f>
        <v>240.5</v>
      </c>
      <c r="I437" s="5">
        <f>_xlfn.LET(
_xlpm.q,RawData!G437,
_xlpm.u,RawData!H437,
_xlpm.d,RawData!I437,
_xlpm.r,RawData!J437,
IF(AND(ISNUMBER(_xlpm.d),_xlpm.d&gt;=0,_xlpm.d&lt;1),_xlpm.d,
   IF(AND(ISNUMBER(_xlpm.q),_xlpm.q&gt;0,ISNUMBER(_xlpm.u),_xlpm.u&gt;0,ISNUMBER(_xlpm.r),_xlpm.r&gt;=0),
      1-(_xlpm.r/(_xlpm.q*_xlpm.u)),
      ""
   )
)
)</f>
        <v>0.1</v>
      </c>
      <c r="J437" s="4">
        <f>_xlfn.LET(
_xlpm.q,RawData!G437,
_xlpm.u,RawData!H437,
_xlpm.d,RawData!I437,
_xlpm.r,RawData!J437,
IF(AND(ISNUMBER(_xlpm.r),_xlpm.r&gt;=0),_xlpm.r,
   IF(AND(ISNUMBER(_xlpm.q),_xlpm.q&gt;0,ISNUMBER(_xlpm.u),_xlpm.u&gt;0,ISNUMBER(_xlpm.d),_xlpm.d&gt;=0,_xlpm.d&lt;1),
      _xlpm.q*_xlpm.u*(1-_xlpm.d),
      ""
   )
)
)</f>
        <v>1515.15</v>
      </c>
      <c r="K437" s="4">
        <f>_xlfn.LET(
_xlpm.c,RawData!K437,
_xlpm.r,RawData!J437,
_xlpm.p,RawData!L437,
IF(AND(ISNUMBER(_xlpm.c),_xlpm.c&gt;=0),_xlpm.c,
   IF(AND(ISNUMBER(_xlpm.r),ISNUMBER(_xlpm.p)),
      _xlpm.r-_xlpm.p,
      ""
   )
)
)</f>
        <v>944.09</v>
      </c>
      <c r="L437" s="4">
        <f>_xlfn.LET(
_xlpm.p,RawData!L437,
_xlpm.r,RawData!J437,
_xlpm.c,RawData!K437,
IF(ISNUMBER(_xlpm.p),_xlpm.p,
IF(AND(ISNUMBER(_xlpm.r),ISNUMBER(_xlpm.c)),
_xlpm.r-_xlpm.c,
""
)
))</f>
        <v>571.05999999999995</v>
      </c>
    </row>
    <row r="438" spans="1:12" x14ac:dyDescent="0.35">
      <c r="A438" t="s">
        <v>478</v>
      </c>
      <c r="B438" s="7">
        <v>45850</v>
      </c>
      <c r="C438" t="str">
        <f>IF(RawData!C438="","Unknown",PROPER(TRIM(CLEAN(SUBSTITUTE(RawData!C438,CHAR(160)," ")))))</f>
        <v>North</v>
      </c>
      <c r="D438" t="str">
        <f>IF(RawData!D438="","Unknown",PROPER(TRIM(CLEAN(SUBSTITUTE(RawData!D438,CHAR(160)," ")))))</f>
        <v>Lucknow</v>
      </c>
      <c r="E438" t="str">
        <f>IF(RawData!E438="","Unknown",PROPER(TRIM(CLEAN(SUBSTITUTE(RawData!E438,CHAR(160)," ")))))</f>
        <v>Backpack</v>
      </c>
      <c r="F438" t="str">
        <f>IF(RawData!F438="","Unknown",PROPER(TRIM(CLEAN(SUBSTITUTE(RawData!F438,CHAR(160)," ")))))</f>
        <v>Accessories</v>
      </c>
      <c r="G438">
        <f>_xlfn.LET(
_xlpm.q,RawData!G438,
_xlpm.u,RawData!H438,
_xlpm.d,RawData!I438,
_xlpm.r,RawData!J438,
IF(AND(ISNUMBER(_xlpm.q),_xlpm.q&gt;0),_xlpm.q,
   IF(AND(ISNUMBER(_xlpm.r),ISNUMBER(_xlpm.u),_xlpm.u&gt;0,ISNUMBER(_xlpm.d),_xlpm.d&gt;=0,_xlpm.d&lt;1),
      ROUND(_xlpm.r/(_xlpm.u*(1-_xlpm.d)),0),
      ""
   )
)
)</f>
        <v>9</v>
      </c>
      <c r="H438" s="4">
        <f>_xlfn.LET(
_xlpm.q,RawData!G438,
_xlpm.u,RawData!H438,
_xlpm.d,RawData!I438,
_xlpm.r,RawData!J438,
IF(AND(ISNUMBER(_xlpm.u),_xlpm.u&gt;0),_xlpm.u,
   IF(AND(ISNUMBER(_xlpm.q),_xlpm.q&gt;0,ISNUMBER(_xlpm.r),ISNUMBER(_xlpm.d),_xlpm.d&gt;=0,_xlpm.d&lt;1),
      _xlpm.r/(_xlpm.q*(1-_xlpm.d)),
      ""
   )
)
)</f>
        <v>46.94</v>
      </c>
      <c r="I438" s="5">
        <f>_xlfn.LET(
_xlpm.q,RawData!G438,
_xlpm.u,RawData!H438,
_xlpm.d,RawData!I438,
_xlpm.r,RawData!J438,
IF(AND(ISNUMBER(_xlpm.d),_xlpm.d&gt;=0,_xlpm.d&lt;1),_xlpm.d,
   IF(AND(ISNUMBER(_xlpm.q),_xlpm.q&gt;0,ISNUMBER(_xlpm.u),_xlpm.u&gt;0,ISNUMBER(_xlpm.r),_xlpm.r&gt;=0),
      1-(_xlpm.r/(_xlpm.q*_xlpm.u)),
      ""
   )
)
)</f>
        <v>0.02</v>
      </c>
      <c r="J438" s="4">
        <f>_xlfn.LET(
_xlpm.q,RawData!G438,
_xlpm.u,RawData!H438,
_xlpm.d,RawData!I438,
_xlpm.r,RawData!J438,
IF(AND(ISNUMBER(_xlpm.r),_xlpm.r&gt;=0),_xlpm.r,
   IF(AND(ISNUMBER(_xlpm.q),_xlpm.q&gt;0,ISNUMBER(_xlpm.u),_xlpm.u&gt;0,ISNUMBER(_xlpm.d),_xlpm.d&gt;=0,_xlpm.d&lt;1),
      _xlpm.q*_xlpm.u*(1-_xlpm.d),
      ""
   )
)
)</f>
        <v>414.01</v>
      </c>
      <c r="K438" s="4">
        <f>_xlfn.LET(
_xlpm.c,RawData!K438,
_xlpm.r,RawData!J438,
_xlpm.p,RawData!L438,
IF(AND(ISNUMBER(_xlpm.c),_xlpm.c&gt;=0),_xlpm.c,
   IF(AND(ISNUMBER(_xlpm.r),ISNUMBER(_xlpm.p)),
      _xlpm.r-_xlpm.p,
      ""
   )
)
)</f>
        <v>273.39</v>
      </c>
      <c r="L438" s="4">
        <f>_xlfn.LET(
_xlpm.p,RawData!L438,
_xlpm.r,RawData!J438,
_xlpm.c,RawData!K438,
IF(ISNUMBER(_xlpm.p),_xlpm.p,
IF(AND(ISNUMBER(_xlpm.r),ISNUMBER(_xlpm.c)),
_xlpm.r-_xlpm.c,
""
)
))</f>
        <v>140.62</v>
      </c>
    </row>
    <row r="439" spans="1:12" x14ac:dyDescent="0.35">
      <c r="A439" t="s">
        <v>479</v>
      </c>
      <c r="B439" s="7">
        <v>45836</v>
      </c>
      <c r="C439" t="str">
        <f>IF(RawData!C439="","Unknown",PROPER(TRIM(CLEAN(SUBSTITUTE(RawData!C439,CHAR(160)," ")))))</f>
        <v>North</v>
      </c>
      <c r="D439" t="str">
        <f>IF(RawData!D439="","Unknown",PROPER(TRIM(CLEAN(SUBSTITUTE(RawData!D439,CHAR(160)," ")))))</f>
        <v>Lucknow</v>
      </c>
      <c r="E439" t="str">
        <f>IF(RawData!E439="","Unknown",PROPER(TRIM(CLEAN(SUBSTITUTE(RawData!E439,CHAR(160)," ")))))</f>
        <v>Headphones</v>
      </c>
      <c r="F439" t="str">
        <f>IF(RawData!F439="","Unknown",PROPER(TRIM(CLEAN(SUBSTITUTE(RawData!F439,CHAR(160)," ")))))</f>
        <v>Electronics</v>
      </c>
      <c r="G439">
        <f>_xlfn.LET(
_xlpm.q,RawData!G439,
_xlpm.u,RawData!H439,
_xlpm.d,RawData!I439,
_xlpm.r,RawData!J439,
IF(AND(ISNUMBER(_xlpm.q),_xlpm.q&gt;0),_xlpm.q,
   IF(AND(ISNUMBER(_xlpm.r),ISNUMBER(_xlpm.u),_xlpm.u&gt;0,ISNUMBER(_xlpm.d),_xlpm.d&gt;=0,_xlpm.d&lt;1),
      ROUND(_xlpm.r/(_xlpm.u*(1-_xlpm.d)),0),
      ""
   )
)
)</f>
        <v>9</v>
      </c>
      <c r="H439" s="4">
        <f>_xlfn.LET(
_xlpm.q,RawData!G439,
_xlpm.u,RawData!H439,
_xlpm.d,RawData!I439,
_xlpm.r,RawData!J439,
IF(AND(ISNUMBER(_xlpm.u),_xlpm.u&gt;0),_xlpm.u,
   IF(AND(ISNUMBER(_xlpm.q),_xlpm.q&gt;0,ISNUMBER(_xlpm.r),ISNUMBER(_xlpm.d),_xlpm.d&gt;=0,_xlpm.d&lt;1),
      _xlpm.r/(_xlpm.q*(1-_xlpm.d)),
      ""
   )
)
)</f>
        <v>68.61</v>
      </c>
      <c r="I439" s="5">
        <f>_xlfn.LET(
_xlpm.q,RawData!G439,
_xlpm.u,RawData!H439,
_xlpm.d,RawData!I439,
_xlpm.r,RawData!J439,
IF(AND(ISNUMBER(_xlpm.d),_xlpm.d&gt;=0,_xlpm.d&lt;1),_xlpm.d,
   IF(AND(ISNUMBER(_xlpm.q),_xlpm.q&gt;0,ISNUMBER(_xlpm.u),_xlpm.u&gt;0,ISNUMBER(_xlpm.r),_xlpm.r&gt;=0),
      1-(_xlpm.r/(_xlpm.q*_xlpm.u)),
      ""
   )
)
)</f>
        <v>0.1</v>
      </c>
      <c r="J439" s="4">
        <f>_xlfn.LET(
_xlpm.q,RawData!G439,
_xlpm.u,RawData!H439,
_xlpm.d,RawData!I439,
_xlpm.r,RawData!J439,
IF(AND(ISNUMBER(_xlpm.r),_xlpm.r&gt;=0),_xlpm.r,
   IF(AND(ISNUMBER(_xlpm.q),_xlpm.q&gt;0,ISNUMBER(_xlpm.u),_xlpm.u&gt;0,ISNUMBER(_xlpm.d),_xlpm.d&gt;=0,_xlpm.d&lt;1),
      _xlpm.q*_xlpm.u*(1-_xlpm.d),
      ""
   )
)
)</f>
        <v>555.74</v>
      </c>
      <c r="K439" s="4">
        <f>_xlfn.LET(
_xlpm.c,RawData!K439,
_xlpm.r,RawData!J439,
_xlpm.p,RawData!L439,
IF(AND(ISNUMBER(_xlpm.c),_xlpm.c&gt;=0),_xlpm.c,
   IF(AND(ISNUMBER(_xlpm.r),ISNUMBER(_xlpm.p)),
      _xlpm.r-_xlpm.p,
      ""
   )
)
)</f>
        <v>329.09</v>
      </c>
      <c r="L439" s="4">
        <f>_xlfn.LET(
_xlpm.p,RawData!L439,
_xlpm.r,RawData!J439,
_xlpm.c,RawData!K439,
IF(ISNUMBER(_xlpm.p),_xlpm.p,
IF(AND(ISNUMBER(_xlpm.r),ISNUMBER(_xlpm.c)),
_xlpm.r-_xlpm.c,
""
)
))</f>
        <v>226.65</v>
      </c>
    </row>
    <row r="440" spans="1:12" x14ac:dyDescent="0.35">
      <c r="A440" t="s">
        <v>480</v>
      </c>
      <c r="B440" s="7">
        <v>45723</v>
      </c>
      <c r="C440" t="str">
        <f>IF(RawData!C440="","Unknown",PROPER(TRIM(CLEAN(SUBSTITUTE(RawData!C440,CHAR(160)," ")))))</f>
        <v>South</v>
      </c>
      <c r="D440" t="str">
        <f>IF(RawData!D440="","Unknown",PROPER(TRIM(CLEAN(SUBSTITUTE(RawData!D440,CHAR(160)," ")))))</f>
        <v>Chennai</v>
      </c>
      <c r="E440" t="str">
        <f>IF(RawData!E440="","Unknown",PROPER(TRIM(CLEAN(SUBSTITUTE(RawData!E440,CHAR(160)," ")))))</f>
        <v>Laptop</v>
      </c>
      <c r="F440" t="str">
        <f>IF(RawData!F440="","Unknown",PROPER(TRIM(CLEAN(SUBSTITUTE(RawData!F440,CHAR(160)," ")))))</f>
        <v>Electronics</v>
      </c>
      <c r="G440">
        <f>_xlfn.LET(
_xlpm.q,RawData!G440,
_xlpm.u,RawData!H440,
_xlpm.d,RawData!I440,
_xlpm.r,RawData!J440,
IF(AND(ISNUMBER(_xlpm.q),_xlpm.q&gt;0),_xlpm.q,
   IF(AND(ISNUMBER(_xlpm.r),ISNUMBER(_xlpm.u),_xlpm.u&gt;0,ISNUMBER(_xlpm.d),_xlpm.d&gt;=0,_xlpm.d&lt;1),
      ROUND(_xlpm.r/(_xlpm.u*(1-_xlpm.d)),0),
      ""
   )
)
)</f>
        <v>1</v>
      </c>
      <c r="H440" s="4">
        <f>_xlfn.LET(
_xlpm.q,RawData!G440,
_xlpm.u,RawData!H440,
_xlpm.d,RawData!I440,
_xlpm.r,RawData!J440,
IF(AND(ISNUMBER(_xlpm.u),_xlpm.u&gt;0),_xlpm.u,
   IF(AND(ISNUMBER(_xlpm.q),_xlpm.q&gt;0,ISNUMBER(_xlpm.r),ISNUMBER(_xlpm.d),_xlpm.d&gt;=0,_xlpm.d&lt;1),
      _xlpm.r/(_xlpm.q*(1-_xlpm.d)),
      ""
   )
)
)</f>
        <v>905.07</v>
      </c>
      <c r="I440" s="5">
        <f>_xlfn.LET(
_xlpm.q,RawData!G440,
_xlpm.u,RawData!H440,
_xlpm.d,RawData!I440,
_xlpm.r,RawData!J440,
IF(AND(ISNUMBER(_xlpm.d),_xlpm.d&gt;=0,_xlpm.d&lt;1),_xlpm.d,
   IF(AND(ISNUMBER(_xlpm.q),_xlpm.q&gt;0,ISNUMBER(_xlpm.u),_xlpm.u&gt;0,ISNUMBER(_xlpm.r),_xlpm.r&gt;=0),
      1-(_xlpm.r/(_xlpm.q*_xlpm.u)),
      ""
   )
)
)</f>
        <v>0.05</v>
      </c>
      <c r="J440" s="4">
        <f>_xlfn.LET(
_xlpm.q,RawData!G440,
_xlpm.u,RawData!H440,
_xlpm.d,RawData!I440,
_xlpm.r,RawData!J440,
IF(AND(ISNUMBER(_xlpm.r),_xlpm.r&gt;=0),_xlpm.r,
   IF(AND(ISNUMBER(_xlpm.q),_xlpm.q&gt;0,ISNUMBER(_xlpm.u),_xlpm.u&gt;0,ISNUMBER(_xlpm.d),_xlpm.d&gt;=0,_xlpm.d&lt;1),
      _xlpm.q*_xlpm.u*(1-_xlpm.d),
      ""
   )
)
)</f>
        <v>859.82</v>
      </c>
      <c r="K440" s="4">
        <f>_xlfn.LET(
_xlpm.c,RawData!K440,
_xlpm.r,RawData!J440,
_xlpm.p,RawData!L440,
IF(AND(ISNUMBER(_xlpm.c),_xlpm.c&gt;=0),_xlpm.c,
   IF(AND(ISNUMBER(_xlpm.r),ISNUMBER(_xlpm.p)),
      _xlpm.r-_xlpm.p,
      ""
   )
)
)</f>
        <v>625.87</v>
      </c>
      <c r="L440" s="4">
        <f>_xlfn.LET(
_xlpm.p,RawData!L440,
_xlpm.r,RawData!J440,
_xlpm.c,RawData!K440,
IF(ISNUMBER(_xlpm.p),_xlpm.p,
IF(AND(ISNUMBER(_xlpm.r),ISNUMBER(_xlpm.c)),
_xlpm.r-_xlpm.c,
""
)
))</f>
        <v>233.95</v>
      </c>
    </row>
    <row r="441" spans="1:12" x14ac:dyDescent="0.35">
      <c r="A441" t="s">
        <v>481</v>
      </c>
      <c r="B441" s="7">
        <v>46002</v>
      </c>
      <c r="C441" t="str">
        <f>IF(RawData!C441="","Unknown",PROPER(TRIM(CLEAN(SUBSTITUTE(RawData!C441,CHAR(160)," ")))))</f>
        <v>West</v>
      </c>
      <c r="D441" t="str">
        <f>IF(RawData!D441="","Unknown",PROPER(TRIM(CLEAN(SUBSTITUTE(RawData!D441,CHAR(160)," ")))))</f>
        <v>Mumbai</v>
      </c>
      <c r="E441" t="str">
        <f>IF(RawData!E441="","Unknown",PROPER(TRIM(CLEAN(SUBSTITUTE(RawData!E441,CHAR(160)," ")))))</f>
        <v>Notebook</v>
      </c>
      <c r="F441" t="str">
        <f>IF(RawData!F441="","Unknown",PROPER(TRIM(CLEAN(SUBSTITUTE(RawData!F441,CHAR(160)," ")))))</f>
        <v>Office Supplies</v>
      </c>
      <c r="G441">
        <f>_xlfn.LET(
_xlpm.q,RawData!G441,
_xlpm.u,RawData!H441,
_xlpm.d,RawData!I441,
_xlpm.r,RawData!J441,
IF(AND(ISNUMBER(_xlpm.q),_xlpm.q&gt;0),_xlpm.q,
   IF(AND(ISNUMBER(_xlpm.r),ISNUMBER(_xlpm.u),_xlpm.u&gt;0,ISNUMBER(_xlpm.d),_xlpm.d&gt;=0,_xlpm.d&lt;1),
      ROUND(_xlpm.r/(_xlpm.u*(1-_xlpm.d)),0),
      ""
   )
)
)</f>
        <v>7</v>
      </c>
      <c r="H441" s="4">
        <f>_xlfn.LET(
_xlpm.q,RawData!G441,
_xlpm.u,RawData!H441,
_xlpm.d,RawData!I441,
_xlpm.r,RawData!J441,
IF(AND(ISNUMBER(_xlpm.u),_xlpm.u&gt;0),_xlpm.u,
   IF(AND(ISNUMBER(_xlpm.q),_xlpm.q&gt;0,ISNUMBER(_xlpm.r),ISNUMBER(_xlpm.d),_xlpm.d&gt;=0,_xlpm.d&lt;1),
      _xlpm.r/(_xlpm.q*(1-_xlpm.d)),
      ""
   )
)
)</f>
        <v>6.87</v>
      </c>
      <c r="I441" s="5">
        <f>_xlfn.LET(
_xlpm.q,RawData!G441,
_xlpm.u,RawData!H441,
_xlpm.d,RawData!I441,
_xlpm.r,RawData!J441,
IF(AND(ISNUMBER(_xlpm.d),_xlpm.d&gt;=0,_xlpm.d&lt;1),_xlpm.d,
   IF(AND(ISNUMBER(_xlpm.q),_xlpm.q&gt;0,ISNUMBER(_xlpm.u),_xlpm.u&gt;0,ISNUMBER(_xlpm.r),_xlpm.r&gt;=0),
      1-(_xlpm.r/(_xlpm.q*_xlpm.u)),
      ""
   )
)
)</f>
        <v>0.02</v>
      </c>
      <c r="J441" s="4">
        <f>_xlfn.LET(
_xlpm.q,RawData!G441,
_xlpm.u,RawData!H441,
_xlpm.d,RawData!I441,
_xlpm.r,RawData!J441,
IF(AND(ISNUMBER(_xlpm.r),_xlpm.r&gt;=0),_xlpm.r,
   IF(AND(ISNUMBER(_xlpm.q),_xlpm.q&gt;0,ISNUMBER(_xlpm.u),_xlpm.u&gt;0,ISNUMBER(_xlpm.d),_xlpm.d&gt;=0,_xlpm.d&lt;1),
      _xlpm.q*_xlpm.u*(1-_xlpm.d),
      ""
   )
)
)</f>
        <v>47.13</v>
      </c>
      <c r="K441" s="4">
        <f>_xlfn.LET(
_xlpm.c,RawData!K441,
_xlpm.r,RawData!J441,
_xlpm.p,RawData!L441,
IF(AND(ISNUMBER(_xlpm.c),_xlpm.c&gt;=0),_xlpm.c,
   IF(AND(ISNUMBER(_xlpm.r),ISNUMBER(_xlpm.p)),
      _xlpm.r-_xlpm.p,
      ""
   )
)
)</f>
        <v>28.75</v>
      </c>
      <c r="L441" s="4">
        <f>_xlfn.LET(
_xlpm.p,RawData!L441,
_xlpm.r,RawData!J441,
_xlpm.c,RawData!K441,
IF(ISNUMBER(_xlpm.p),_xlpm.p,
IF(AND(ISNUMBER(_xlpm.r),ISNUMBER(_xlpm.c)),
_xlpm.r-_xlpm.c,
""
)
))</f>
        <v>18.38</v>
      </c>
    </row>
    <row r="442" spans="1:12" x14ac:dyDescent="0.35">
      <c r="A442" t="s">
        <v>482</v>
      </c>
      <c r="B442" s="7">
        <v>45893</v>
      </c>
      <c r="C442" t="str">
        <f>IF(RawData!C442="","Unknown",PROPER(TRIM(CLEAN(SUBSTITUTE(RawData!C442,CHAR(160)," ")))))</f>
        <v>East</v>
      </c>
      <c r="D442" t="str">
        <f>IF(RawData!D442="","Unknown",PROPER(TRIM(CLEAN(SUBSTITUTE(RawData!D442,CHAR(160)," ")))))</f>
        <v>Patna</v>
      </c>
      <c r="E442" t="str">
        <f>IF(RawData!E442="","Unknown",PROPER(TRIM(CLEAN(SUBSTITUTE(RawData!E442,CHAR(160)," ")))))</f>
        <v>Headphones</v>
      </c>
      <c r="F442" t="str">
        <f>IF(RawData!F442="","Unknown",PROPER(TRIM(CLEAN(SUBSTITUTE(RawData!F442,CHAR(160)," ")))))</f>
        <v>Electronics</v>
      </c>
      <c r="G442">
        <f>_xlfn.LET(
_xlpm.q,RawData!G442,
_xlpm.u,RawData!H442,
_xlpm.d,RawData!I442,
_xlpm.r,RawData!J442,
IF(AND(ISNUMBER(_xlpm.q),_xlpm.q&gt;0),_xlpm.q,
   IF(AND(ISNUMBER(_xlpm.r),ISNUMBER(_xlpm.u),_xlpm.u&gt;0,ISNUMBER(_xlpm.d),_xlpm.d&gt;=0,_xlpm.d&lt;1),
      ROUND(_xlpm.r/(_xlpm.u*(1-_xlpm.d)),0),
      ""
   )
)
)</f>
        <v>5</v>
      </c>
      <c r="H442" s="4">
        <f>_xlfn.LET(
_xlpm.q,RawData!G442,
_xlpm.u,RawData!H442,
_xlpm.d,RawData!I442,
_xlpm.r,RawData!J442,
IF(AND(ISNUMBER(_xlpm.u),_xlpm.u&gt;0),_xlpm.u,
   IF(AND(ISNUMBER(_xlpm.q),_xlpm.q&gt;0,ISNUMBER(_xlpm.r),ISNUMBER(_xlpm.d),_xlpm.d&gt;=0,_xlpm.d&lt;1),
      _xlpm.r/(_xlpm.q*(1-_xlpm.d)),
      ""
   )
)
)</f>
        <v>73.55</v>
      </c>
      <c r="I442" s="5">
        <f>_xlfn.LET(
_xlpm.q,RawData!G442,
_xlpm.u,RawData!H442,
_xlpm.d,RawData!I442,
_xlpm.r,RawData!J442,
IF(AND(ISNUMBER(_xlpm.d),_xlpm.d&gt;=0,_xlpm.d&lt;1),_xlpm.d,
   IF(AND(ISNUMBER(_xlpm.q),_xlpm.q&gt;0,ISNUMBER(_xlpm.u),_xlpm.u&gt;0,ISNUMBER(_xlpm.r),_xlpm.r&gt;=0),
      1-(_xlpm.r/(_xlpm.q*_xlpm.u)),
      ""
   )
)
)</f>
        <v>0.02</v>
      </c>
      <c r="J442" s="4">
        <f>_xlfn.LET(
_xlpm.q,RawData!G442,
_xlpm.u,RawData!H442,
_xlpm.d,RawData!I442,
_xlpm.r,RawData!J442,
IF(AND(ISNUMBER(_xlpm.r),_xlpm.r&gt;=0),_xlpm.r,
   IF(AND(ISNUMBER(_xlpm.q),_xlpm.q&gt;0,ISNUMBER(_xlpm.u),_xlpm.u&gt;0,ISNUMBER(_xlpm.d),_xlpm.d&gt;=0,_xlpm.d&lt;1),
      _xlpm.q*_xlpm.u*(1-_xlpm.d),
      ""
   )
)
)</f>
        <v>360.39</v>
      </c>
      <c r="K442" s="4">
        <f>_xlfn.LET(
_xlpm.c,RawData!K442,
_xlpm.r,RawData!J442,
_xlpm.p,RawData!L442,
IF(AND(ISNUMBER(_xlpm.c),_xlpm.c&gt;=0),_xlpm.c,
   IF(AND(ISNUMBER(_xlpm.r),ISNUMBER(_xlpm.p)),
      _xlpm.r-_xlpm.p,
      ""
   )
)
)</f>
        <v>263.58999999999997</v>
      </c>
      <c r="L442" s="4">
        <f>_xlfn.LET(
_xlpm.p,RawData!L442,
_xlpm.r,RawData!J442,
_xlpm.c,RawData!K442,
IF(ISNUMBER(_xlpm.p),_xlpm.p,
IF(AND(ISNUMBER(_xlpm.r),ISNUMBER(_xlpm.c)),
_xlpm.r-_xlpm.c,
""
)
))</f>
        <v>96.8</v>
      </c>
    </row>
    <row r="443" spans="1:12" x14ac:dyDescent="0.35">
      <c r="A443" t="s">
        <v>483</v>
      </c>
      <c r="B443" s="7">
        <v>45715</v>
      </c>
      <c r="C443" t="str">
        <f>IF(RawData!C443="","Unknown",PROPER(TRIM(CLEAN(SUBSTITUTE(RawData!C443,CHAR(160)," ")))))</f>
        <v>North</v>
      </c>
      <c r="D443" t="str">
        <f>IF(RawData!D443="","Unknown",PROPER(TRIM(CLEAN(SUBSTITUTE(RawData!D443,CHAR(160)," ")))))</f>
        <v>Delhi</v>
      </c>
      <c r="E443" t="str">
        <f>IF(RawData!E443="","Unknown",PROPER(TRIM(CLEAN(SUBSTITUTE(RawData!E443,CHAR(160)," ")))))</f>
        <v>Backpack</v>
      </c>
      <c r="F443" t="str">
        <f>IF(RawData!F443="","Unknown",PROPER(TRIM(CLEAN(SUBSTITUTE(RawData!F443,CHAR(160)," ")))))</f>
        <v>Accessories</v>
      </c>
      <c r="G443">
        <f>_xlfn.LET(
_xlpm.q,RawData!G443,
_xlpm.u,RawData!H443,
_xlpm.d,RawData!I443,
_xlpm.r,RawData!J443,
IF(AND(ISNUMBER(_xlpm.q),_xlpm.q&gt;0),_xlpm.q,
   IF(AND(ISNUMBER(_xlpm.r),ISNUMBER(_xlpm.u),_xlpm.u&gt;0,ISNUMBER(_xlpm.d),_xlpm.d&gt;=0,_xlpm.d&lt;1),
      ROUND(_xlpm.r/(_xlpm.u*(1-_xlpm.d)),0),
      ""
   )
)
)</f>
        <v>7</v>
      </c>
      <c r="H443" s="4">
        <f>_xlfn.LET(
_xlpm.q,RawData!G443,
_xlpm.u,RawData!H443,
_xlpm.d,RawData!I443,
_xlpm.r,RawData!J443,
IF(AND(ISNUMBER(_xlpm.u),_xlpm.u&gt;0),_xlpm.u,
   IF(AND(ISNUMBER(_xlpm.q),_xlpm.q&gt;0,ISNUMBER(_xlpm.r),ISNUMBER(_xlpm.d),_xlpm.d&gt;=0,_xlpm.d&lt;1),
      _xlpm.r/(_xlpm.q*(1-_xlpm.d)),
      ""
   )
)
)</f>
        <v>38.520000000000003</v>
      </c>
      <c r="I443" s="5">
        <f>_xlfn.LET(
_xlpm.q,RawData!G443,
_xlpm.u,RawData!H443,
_xlpm.d,RawData!I443,
_xlpm.r,RawData!J443,
IF(AND(ISNUMBER(_xlpm.d),_xlpm.d&gt;=0,_xlpm.d&lt;1),_xlpm.d,
   IF(AND(ISNUMBER(_xlpm.q),_xlpm.q&gt;0,ISNUMBER(_xlpm.u),_xlpm.u&gt;0,ISNUMBER(_xlpm.r),_xlpm.r&gt;=0),
      1-(_xlpm.r/(_xlpm.q*_xlpm.u)),
      ""
   )
)
)</f>
        <v>0.15</v>
      </c>
      <c r="J443" s="4">
        <f>_xlfn.LET(
_xlpm.q,RawData!G443,
_xlpm.u,RawData!H443,
_xlpm.d,RawData!I443,
_xlpm.r,RawData!J443,
IF(AND(ISNUMBER(_xlpm.r),_xlpm.r&gt;=0),_xlpm.r,
   IF(AND(ISNUMBER(_xlpm.q),_xlpm.q&gt;0,ISNUMBER(_xlpm.u),_xlpm.u&gt;0,ISNUMBER(_xlpm.d),_xlpm.d&gt;=0,_xlpm.d&lt;1),
      _xlpm.q*_xlpm.u*(1-_xlpm.d),
      ""
   )
)
)</f>
        <v>229.19</v>
      </c>
      <c r="K443" s="4">
        <f>_xlfn.LET(
_xlpm.c,RawData!K443,
_xlpm.r,RawData!J443,
_xlpm.p,RawData!L443,
IF(AND(ISNUMBER(_xlpm.c),_xlpm.c&gt;=0),_xlpm.c,
   IF(AND(ISNUMBER(_xlpm.r),ISNUMBER(_xlpm.p)),
      _xlpm.r-_xlpm.p,
      ""
   )
)
)</f>
        <v>132.5</v>
      </c>
      <c r="L443" s="4">
        <f>_xlfn.LET(
_xlpm.p,RawData!L443,
_xlpm.r,RawData!J443,
_xlpm.c,RawData!K443,
IF(ISNUMBER(_xlpm.p),_xlpm.p,
IF(AND(ISNUMBER(_xlpm.r),ISNUMBER(_xlpm.c)),
_xlpm.r-_xlpm.c,
""
)
))</f>
        <v>96.69</v>
      </c>
    </row>
    <row r="444" spans="1:12" x14ac:dyDescent="0.35">
      <c r="A444" t="s">
        <v>484</v>
      </c>
      <c r="B444" s="7">
        <v>45781</v>
      </c>
      <c r="C444" t="str">
        <f>IF(RawData!C444="","Unknown",PROPER(TRIM(CLEAN(SUBSTITUTE(RawData!C444,CHAR(160)," ")))))</f>
        <v>South</v>
      </c>
      <c r="D444" t="str">
        <f>IF(RawData!D444="","Unknown",PROPER(TRIM(CLEAN(SUBSTITUTE(RawData!D444,CHAR(160)," ")))))</f>
        <v>Hyderabad</v>
      </c>
      <c r="E444" t="str">
        <f>IF(RawData!E444="","Unknown",PROPER(TRIM(CLEAN(SUBSTITUTE(RawData!E444,CHAR(160)," ")))))</f>
        <v>Smartphone</v>
      </c>
      <c r="F444" t="str">
        <f>IF(RawData!F444="","Unknown",PROPER(TRIM(CLEAN(SUBSTITUTE(RawData!F444,CHAR(160)," ")))))</f>
        <v>Electronics</v>
      </c>
      <c r="G444">
        <f>_xlfn.LET(
_xlpm.q,RawData!G444,
_xlpm.u,RawData!H444,
_xlpm.d,RawData!I444,
_xlpm.r,RawData!J444,
IF(AND(ISNUMBER(_xlpm.q),_xlpm.q&gt;0),_xlpm.q,
   IF(AND(ISNUMBER(_xlpm.r),ISNUMBER(_xlpm.u),_xlpm.u&gt;0,ISNUMBER(_xlpm.d),_xlpm.d&gt;=0,_xlpm.d&lt;1),
      ROUND(_xlpm.r/(_xlpm.u*(1-_xlpm.d)),0),
      ""
   )
)
)</f>
        <v>2</v>
      </c>
      <c r="H444" s="4">
        <f>_xlfn.LET(
_xlpm.q,RawData!G444,
_xlpm.u,RawData!H444,
_xlpm.d,RawData!I444,
_xlpm.r,RawData!J444,
IF(AND(ISNUMBER(_xlpm.u),_xlpm.u&gt;0),_xlpm.u,
   IF(AND(ISNUMBER(_xlpm.q),_xlpm.q&gt;0,ISNUMBER(_xlpm.r),ISNUMBER(_xlpm.d),_xlpm.d&gt;=0,_xlpm.d&lt;1),
      _xlpm.r/(_xlpm.q*(1-_xlpm.d)),
      ""
   )
)
)</f>
        <v>599.49</v>
      </c>
      <c r="I444" s="5">
        <f>_xlfn.LET(
_xlpm.q,RawData!G444,
_xlpm.u,RawData!H444,
_xlpm.d,RawData!I444,
_xlpm.r,RawData!J444,
IF(AND(ISNUMBER(_xlpm.d),_xlpm.d&gt;=0,_xlpm.d&lt;1),_xlpm.d,
   IF(AND(ISNUMBER(_xlpm.q),_xlpm.q&gt;0,ISNUMBER(_xlpm.u),_xlpm.u&gt;0,ISNUMBER(_xlpm.r),_xlpm.r&gt;=0),
      1-(_xlpm.r/(_xlpm.q*_xlpm.u)),
      ""
   )
)
)</f>
        <v>0.15</v>
      </c>
      <c r="J444" s="4">
        <f>_xlfn.LET(
_xlpm.q,RawData!G444,
_xlpm.u,RawData!H444,
_xlpm.d,RawData!I444,
_xlpm.r,RawData!J444,
IF(AND(ISNUMBER(_xlpm.r),_xlpm.r&gt;=0),_xlpm.r,
   IF(AND(ISNUMBER(_xlpm.q),_xlpm.q&gt;0,ISNUMBER(_xlpm.u),_xlpm.u&gt;0,ISNUMBER(_xlpm.d),_xlpm.d&gt;=0,_xlpm.d&lt;1),
      _xlpm.q*_xlpm.u*(1-_xlpm.d),
      ""
   )
)
)</f>
        <v>1019.13</v>
      </c>
      <c r="K444" s="4">
        <f>_xlfn.LET(
_xlpm.c,RawData!K444,
_xlpm.r,RawData!J444,
_xlpm.p,RawData!L444,
IF(AND(ISNUMBER(_xlpm.c),_xlpm.c&gt;=0),_xlpm.c,
   IF(AND(ISNUMBER(_xlpm.r),ISNUMBER(_xlpm.p)),
      _xlpm.r-_xlpm.p,
      ""
   )
)
)</f>
        <v>609.65</v>
      </c>
      <c r="L444" s="4">
        <f>_xlfn.LET(
_xlpm.p,RawData!L444,
_xlpm.r,RawData!J444,
_xlpm.c,RawData!K444,
IF(ISNUMBER(_xlpm.p),_xlpm.p,
IF(AND(ISNUMBER(_xlpm.r),ISNUMBER(_xlpm.c)),
_xlpm.r-_xlpm.c,
""
)
))</f>
        <v>409.48</v>
      </c>
    </row>
    <row r="445" spans="1:12" x14ac:dyDescent="0.35">
      <c r="A445" t="s">
        <v>485</v>
      </c>
      <c r="B445" s="7">
        <v>45886</v>
      </c>
      <c r="C445" t="str">
        <f>IF(RawData!C445="","Unknown",PROPER(TRIM(CLEAN(SUBSTITUTE(RawData!C445,CHAR(160)," ")))))</f>
        <v>North</v>
      </c>
      <c r="D445" t="str">
        <f>IF(RawData!D445="","Unknown",PROPER(TRIM(CLEAN(SUBSTITUTE(RawData!D445,CHAR(160)," ")))))</f>
        <v>Jaipur</v>
      </c>
      <c r="E445" t="str">
        <f>IF(RawData!E445="","Unknown",PROPER(TRIM(CLEAN(SUBSTITUTE(RawData!E445,CHAR(160)," ")))))</f>
        <v>Monitor</v>
      </c>
      <c r="F445" t="str">
        <f>IF(RawData!F445="","Unknown",PROPER(TRIM(CLEAN(SUBSTITUTE(RawData!F445,CHAR(160)," ")))))</f>
        <v>Electronics</v>
      </c>
      <c r="G445">
        <f>_xlfn.LET(
_xlpm.q,RawData!G445,
_xlpm.u,RawData!H445,
_xlpm.d,RawData!I445,
_xlpm.r,RawData!J445,
IF(AND(ISNUMBER(_xlpm.q),_xlpm.q&gt;0),_xlpm.q,
   IF(AND(ISNUMBER(_xlpm.r),ISNUMBER(_xlpm.u),_xlpm.u&gt;0,ISNUMBER(_xlpm.d),_xlpm.d&gt;=0,_xlpm.d&lt;1),
      ROUND(_xlpm.r/(_xlpm.u*(1-_xlpm.d)),0),
      ""
   )
)
)</f>
        <v>1</v>
      </c>
      <c r="H445" s="4">
        <f>_xlfn.LET(
_xlpm.q,RawData!G445,
_xlpm.u,RawData!H445,
_xlpm.d,RawData!I445,
_xlpm.r,RawData!J445,
IF(AND(ISNUMBER(_xlpm.u),_xlpm.u&gt;0),_xlpm.u,
   IF(AND(ISNUMBER(_xlpm.q),_xlpm.q&gt;0,ISNUMBER(_xlpm.r),ISNUMBER(_xlpm.d),_xlpm.d&gt;=0,_xlpm.d&lt;1),
      _xlpm.r/(_xlpm.q*(1-_xlpm.d)),
      ""
   )
)
)</f>
        <v>230.08</v>
      </c>
      <c r="I445" s="5">
        <f>_xlfn.LET(
_xlpm.q,RawData!G445,
_xlpm.u,RawData!H445,
_xlpm.d,RawData!I445,
_xlpm.r,RawData!J445,
IF(AND(ISNUMBER(_xlpm.d),_xlpm.d&gt;=0,_xlpm.d&lt;1),_xlpm.d,
   IF(AND(ISNUMBER(_xlpm.q),_xlpm.q&gt;0,ISNUMBER(_xlpm.u),_xlpm.u&gt;0,ISNUMBER(_xlpm.r),_xlpm.r&gt;=0),
      1-(_xlpm.r/(_xlpm.q*_xlpm.u)),
      ""
   )
)
)</f>
        <v>0.1</v>
      </c>
      <c r="J445" s="4">
        <f>_xlfn.LET(
_xlpm.q,RawData!G445,
_xlpm.u,RawData!H445,
_xlpm.d,RawData!I445,
_xlpm.r,RawData!J445,
IF(AND(ISNUMBER(_xlpm.r),_xlpm.r&gt;=0),_xlpm.r,
   IF(AND(ISNUMBER(_xlpm.q),_xlpm.q&gt;0,ISNUMBER(_xlpm.u),_xlpm.u&gt;0,ISNUMBER(_xlpm.d),_xlpm.d&gt;=0,_xlpm.d&lt;1),
      _xlpm.q*_xlpm.u*(1-_xlpm.d),
      ""
   )
)
)</f>
        <v>207.07</v>
      </c>
      <c r="K445" s="4">
        <f>_xlfn.LET(
_xlpm.c,RawData!K445,
_xlpm.r,RawData!J445,
_xlpm.p,RawData!L445,
IF(AND(ISNUMBER(_xlpm.c),_xlpm.c&gt;=0),_xlpm.c,
   IF(AND(ISNUMBER(_xlpm.r),ISNUMBER(_xlpm.p)),
      _xlpm.r-_xlpm.p,
      ""
   )
)
)</f>
        <v>127.21</v>
      </c>
      <c r="L445" s="4">
        <f>_xlfn.LET(
_xlpm.p,RawData!L445,
_xlpm.r,RawData!J445,
_xlpm.c,RawData!K445,
IF(ISNUMBER(_xlpm.p),_xlpm.p,
IF(AND(ISNUMBER(_xlpm.r),ISNUMBER(_xlpm.c)),
_xlpm.r-_xlpm.c,
""
)
))</f>
        <v>79.86</v>
      </c>
    </row>
    <row r="446" spans="1:12" x14ac:dyDescent="0.35">
      <c r="A446" t="s">
        <v>486</v>
      </c>
      <c r="B446" s="7">
        <v>45777</v>
      </c>
      <c r="C446" t="str">
        <f>IF(RawData!C446="","Unknown",PROPER(TRIM(CLEAN(SUBSTITUTE(RawData!C446,CHAR(160)," ")))))</f>
        <v>South</v>
      </c>
      <c r="D446" t="str">
        <f>IF(RawData!D446="","Unknown",PROPER(TRIM(CLEAN(SUBSTITUTE(RawData!D446,CHAR(160)," ")))))</f>
        <v>Chennai</v>
      </c>
      <c r="E446" t="str">
        <f>IF(RawData!E446="","Unknown",PROPER(TRIM(CLEAN(SUBSTITUTE(RawData!E446,CHAR(160)," ")))))</f>
        <v>Laptop</v>
      </c>
      <c r="F446" t="str">
        <f>IF(RawData!F446="","Unknown",PROPER(TRIM(CLEAN(SUBSTITUTE(RawData!F446,CHAR(160)," ")))))</f>
        <v>Office Supplies</v>
      </c>
      <c r="G446">
        <f>_xlfn.LET(
_xlpm.q,RawData!G446,
_xlpm.u,RawData!H446,
_xlpm.d,RawData!I446,
_xlpm.r,RawData!J446,
IF(AND(ISNUMBER(_xlpm.q),_xlpm.q&gt;0),_xlpm.q,
   IF(AND(ISNUMBER(_xlpm.r),ISNUMBER(_xlpm.u),_xlpm.u&gt;0,ISNUMBER(_xlpm.d),_xlpm.d&gt;=0,_xlpm.d&lt;1),
      ROUND(_xlpm.r/(_xlpm.u*(1-_xlpm.d)),0),
      ""
   )
)
)</f>
        <v>3</v>
      </c>
      <c r="H446" s="4">
        <f>_xlfn.LET(
_xlpm.q,RawData!G446,
_xlpm.u,RawData!H446,
_xlpm.d,RawData!I446,
_xlpm.r,RawData!J446,
IF(AND(ISNUMBER(_xlpm.u),_xlpm.u&gt;0),_xlpm.u,
   IF(AND(ISNUMBER(_xlpm.q),_xlpm.q&gt;0,ISNUMBER(_xlpm.r),ISNUMBER(_xlpm.d),_xlpm.d&gt;=0,_xlpm.d&lt;1),
      _xlpm.r/(_xlpm.q*(1-_xlpm.d)),
      ""
   )
)
)</f>
        <v>747.86</v>
      </c>
      <c r="I446" s="5">
        <f>_xlfn.LET(
_xlpm.q,RawData!G446,
_xlpm.u,RawData!H446,
_xlpm.d,RawData!I446,
_xlpm.r,RawData!J446,
IF(AND(ISNUMBER(_xlpm.d),_xlpm.d&gt;=0,_xlpm.d&lt;1),_xlpm.d,
   IF(AND(ISNUMBER(_xlpm.q),_xlpm.q&gt;0,ISNUMBER(_xlpm.u),_xlpm.u&gt;0,ISNUMBER(_xlpm.r),_xlpm.r&gt;=0),
      1-(_xlpm.r/(_xlpm.q*_xlpm.u)),
      ""
   )
)
)</f>
        <v>0.15</v>
      </c>
      <c r="J446" s="4">
        <f>_xlfn.LET(
_xlpm.q,RawData!G446,
_xlpm.u,RawData!H446,
_xlpm.d,RawData!I446,
_xlpm.r,RawData!J446,
IF(AND(ISNUMBER(_xlpm.r),_xlpm.r&gt;=0),_xlpm.r,
   IF(AND(ISNUMBER(_xlpm.q),_xlpm.q&gt;0,ISNUMBER(_xlpm.u),_xlpm.u&gt;0,ISNUMBER(_xlpm.d),_xlpm.d&gt;=0,_xlpm.d&lt;1),
      _xlpm.q*_xlpm.u*(1-_xlpm.d),
      ""
   )
)
)</f>
        <v>1907.04</v>
      </c>
      <c r="K446" s="4">
        <f>_xlfn.LET(
_xlpm.c,RawData!K446,
_xlpm.r,RawData!J446,
_xlpm.p,RawData!L446,
IF(AND(ISNUMBER(_xlpm.c),_xlpm.c&gt;=0),_xlpm.c,
   IF(AND(ISNUMBER(_xlpm.r),ISNUMBER(_xlpm.p)),
      _xlpm.r-_xlpm.p,
      ""
   )
)
)</f>
        <v>1174.08</v>
      </c>
      <c r="L446" s="4">
        <f>_xlfn.LET(
_xlpm.p,RawData!L446,
_xlpm.r,RawData!J446,
_xlpm.c,RawData!K446,
IF(ISNUMBER(_xlpm.p),_xlpm.p,
IF(AND(ISNUMBER(_xlpm.r),ISNUMBER(_xlpm.c)),
_xlpm.r-_xlpm.c,
""
)
))</f>
        <v>732.96</v>
      </c>
    </row>
    <row r="447" spans="1:12" x14ac:dyDescent="0.35">
      <c r="A447" t="s">
        <v>488</v>
      </c>
      <c r="B447" s="7">
        <v>45777</v>
      </c>
      <c r="C447" t="str">
        <f>IF(RawData!C447="","Unknown",PROPER(TRIM(CLEAN(SUBSTITUTE(RawData!C447,CHAR(160)," ")))))</f>
        <v>East</v>
      </c>
      <c r="D447" t="str">
        <f>IF(RawData!D447="","Unknown",PROPER(TRIM(CLEAN(SUBSTITUTE(RawData!D447,CHAR(160)," ")))))</f>
        <v>Bhubaneswar</v>
      </c>
      <c r="E447" t="str">
        <f>IF(RawData!E447="","Unknown",PROPER(TRIM(CLEAN(SUBSTITUTE(RawData!E447,CHAR(160)," ")))))</f>
        <v>Pen Set</v>
      </c>
      <c r="F447" t="str">
        <f>IF(RawData!F447="","Unknown",PROPER(TRIM(CLEAN(SUBSTITUTE(RawData!F447,CHAR(160)," ")))))</f>
        <v>Office Supplies</v>
      </c>
      <c r="G447">
        <f>_xlfn.LET(
_xlpm.q,RawData!G447,
_xlpm.u,RawData!H447,
_xlpm.d,RawData!I447,
_xlpm.r,RawData!J447,
IF(AND(ISNUMBER(_xlpm.q),_xlpm.q&gt;0),_xlpm.q,
   IF(AND(ISNUMBER(_xlpm.r),ISNUMBER(_xlpm.u),_xlpm.u&gt;0,ISNUMBER(_xlpm.d),_xlpm.d&gt;=0,_xlpm.d&lt;1),
      ROUND(_xlpm.r/(_xlpm.u*(1-_xlpm.d)),0),
      ""
   )
)
)</f>
        <v>10</v>
      </c>
      <c r="H447" s="4">
        <f>_xlfn.LET(
_xlpm.q,RawData!G447,
_xlpm.u,RawData!H447,
_xlpm.d,RawData!I447,
_xlpm.r,RawData!J447,
IF(AND(ISNUMBER(_xlpm.u),_xlpm.u&gt;0),_xlpm.u,
   IF(AND(ISNUMBER(_xlpm.q),_xlpm.q&gt;0,ISNUMBER(_xlpm.r),ISNUMBER(_xlpm.d),_xlpm.d&gt;=0,_xlpm.d&lt;1),
      _xlpm.r/(_xlpm.q*(1-_xlpm.d)),
      ""
   )
)
)</f>
        <v>12.8</v>
      </c>
      <c r="I447" s="5">
        <f>_xlfn.LET(
_xlpm.q,RawData!G447,
_xlpm.u,RawData!H447,
_xlpm.d,RawData!I447,
_xlpm.r,RawData!J447,
IF(AND(ISNUMBER(_xlpm.d),_xlpm.d&gt;=0,_xlpm.d&lt;1),_xlpm.d,
   IF(AND(ISNUMBER(_xlpm.q),_xlpm.q&gt;0,ISNUMBER(_xlpm.u),_xlpm.u&gt;0,ISNUMBER(_xlpm.r),_xlpm.r&gt;=0),
      1-(_xlpm.r/(_xlpm.q*_xlpm.u)),
      ""
   )
)
)</f>
        <v>0.2</v>
      </c>
      <c r="J447" s="4">
        <f>_xlfn.LET(
_xlpm.q,RawData!G447,
_xlpm.u,RawData!H447,
_xlpm.d,RawData!I447,
_xlpm.r,RawData!J447,
IF(AND(ISNUMBER(_xlpm.r),_xlpm.r&gt;=0),_xlpm.r,
   IF(AND(ISNUMBER(_xlpm.q),_xlpm.q&gt;0,ISNUMBER(_xlpm.u),_xlpm.u&gt;0,ISNUMBER(_xlpm.d),_xlpm.d&gt;=0,_xlpm.d&lt;1),
      _xlpm.q*_xlpm.u*(1-_xlpm.d),
      ""
   )
)
)</f>
        <v>102.4</v>
      </c>
      <c r="K447" s="4">
        <f>_xlfn.LET(
_xlpm.c,RawData!K447,
_xlpm.r,RawData!J447,
_xlpm.p,RawData!L447,
IF(AND(ISNUMBER(_xlpm.c),_xlpm.c&gt;=0),_xlpm.c,
   IF(AND(ISNUMBER(_xlpm.r),ISNUMBER(_xlpm.p)),
      _xlpm.r-_xlpm.p,
      ""
   )
)
)</f>
        <v>79.98</v>
      </c>
      <c r="L447" s="4">
        <f>_xlfn.LET(
_xlpm.p,RawData!L447,
_xlpm.r,RawData!J447,
_xlpm.c,RawData!K447,
IF(ISNUMBER(_xlpm.p),_xlpm.p,
IF(AND(ISNUMBER(_xlpm.r),ISNUMBER(_xlpm.c)),
_xlpm.r-_xlpm.c,
""
)
))</f>
        <v>22.42</v>
      </c>
    </row>
    <row r="448" spans="1:12" x14ac:dyDescent="0.35">
      <c r="A448" t="s">
        <v>489</v>
      </c>
      <c r="B448" s="7">
        <v>45779</v>
      </c>
      <c r="C448" t="str">
        <f>IF(RawData!C448="","Unknown",PROPER(TRIM(CLEAN(SUBSTITUTE(RawData!C448,CHAR(160)," ")))))</f>
        <v>East</v>
      </c>
      <c r="D448" t="str">
        <f>IF(RawData!D448="","Unknown",PROPER(TRIM(CLEAN(SUBSTITUTE(RawData!D448,CHAR(160)," ")))))</f>
        <v>Bhubaneswar</v>
      </c>
      <c r="E448" t="str">
        <f>IF(RawData!E448="","Unknown",PROPER(TRIM(CLEAN(SUBSTITUTE(RawData!E448,CHAR(160)," ")))))</f>
        <v>Headphones</v>
      </c>
      <c r="F448" t="str">
        <f>IF(RawData!F448="","Unknown",PROPER(TRIM(CLEAN(SUBSTITUTE(RawData!F448,CHAR(160)," ")))))</f>
        <v>Electronics</v>
      </c>
      <c r="G448">
        <f>_xlfn.LET(
_xlpm.q,RawData!G448,
_xlpm.u,RawData!H448,
_xlpm.d,RawData!I448,
_xlpm.r,RawData!J448,
IF(AND(ISNUMBER(_xlpm.q),_xlpm.q&gt;0),_xlpm.q,
   IF(AND(ISNUMBER(_xlpm.r),ISNUMBER(_xlpm.u),_xlpm.u&gt;0,ISNUMBER(_xlpm.d),_xlpm.d&gt;=0,_xlpm.d&lt;1),
      ROUND(_xlpm.r/(_xlpm.u*(1-_xlpm.d)),0),
      ""
   )
)
)</f>
        <v>9</v>
      </c>
      <c r="H448" s="4">
        <f>_xlfn.LET(
_xlpm.q,RawData!G448,
_xlpm.u,RawData!H448,
_xlpm.d,RawData!I448,
_xlpm.r,RawData!J448,
IF(AND(ISNUMBER(_xlpm.u),_xlpm.u&gt;0),_xlpm.u,
   IF(AND(ISNUMBER(_xlpm.q),_xlpm.q&gt;0,ISNUMBER(_xlpm.r),ISNUMBER(_xlpm.d),_xlpm.d&gt;=0,_xlpm.d&lt;1),
      _xlpm.r/(_xlpm.q*(1-_xlpm.d)),
      ""
   )
)
)</f>
        <v>87.93</v>
      </c>
      <c r="I448" s="5">
        <f>_xlfn.LET(
_xlpm.q,RawData!G448,
_xlpm.u,RawData!H448,
_xlpm.d,RawData!I448,
_xlpm.r,RawData!J448,
IF(AND(ISNUMBER(_xlpm.d),_xlpm.d&gt;=0,_xlpm.d&lt;1),_xlpm.d,
   IF(AND(ISNUMBER(_xlpm.q),_xlpm.q&gt;0,ISNUMBER(_xlpm.u),_xlpm.u&gt;0,ISNUMBER(_xlpm.r),_xlpm.r&gt;=0),
      1-(_xlpm.r/(_xlpm.q*_xlpm.u)),
      ""
   )
)
)</f>
        <v>0.02</v>
      </c>
      <c r="J448" s="4">
        <f>_xlfn.LET(
_xlpm.q,RawData!G448,
_xlpm.u,RawData!H448,
_xlpm.d,RawData!I448,
_xlpm.r,RawData!J448,
IF(AND(ISNUMBER(_xlpm.r),_xlpm.r&gt;=0),_xlpm.r,
   IF(AND(ISNUMBER(_xlpm.q),_xlpm.q&gt;0,ISNUMBER(_xlpm.u),_xlpm.u&gt;0,ISNUMBER(_xlpm.d),_xlpm.d&gt;=0,_xlpm.d&lt;1),
      _xlpm.q*_xlpm.u*(1-_xlpm.d),
      ""
   )
)
)</f>
        <v>775.54</v>
      </c>
      <c r="K448" s="4">
        <f>_xlfn.LET(
_xlpm.c,RawData!K448,
_xlpm.r,RawData!J448,
_xlpm.p,RawData!L448,
IF(AND(ISNUMBER(_xlpm.c),_xlpm.c&gt;=0),_xlpm.c,
   IF(AND(ISNUMBER(_xlpm.r),ISNUMBER(_xlpm.p)),
      _xlpm.r-_xlpm.p,
      ""
   )
)
)</f>
        <v>509.72</v>
      </c>
      <c r="L448" s="4">
        <f>_xlfn.LET(
_xlpm.p,RawData!L448,
_xlpm.r,RawData!J448,
_xlpm.c,RawData!K448,
IF(ISNUMBER(_xlpm.p),_xlpm.p,
IF(AND(ISNUMBER(_xlpm.r),ISNUMBER(_xlpm.c)),
_xlpm.r-_xlpm.c,
""
)
))</f>
        <v>265.82</v>
      </c>
    </row>
    <row r="449" spans="1:12" x14ac:dyDescent="0.35">
      <c r="A449" t="s">
        <v>490</v>
      </c>
      <c r="B449" s="7">
        <v>45811</v>
      </c>
      <c r="C449" t="str">
        <f>IF(RawData!C449="","Unknown",PROPER(TRIM(CLEAN(SUBSTITUTE(RawData!C449,CHAR(160)," ")))))</f>
        <v>East</v>
      </c>
      <c r="D449" t="str">
        <f>IF(RawData!D449="","Unknown",PROPER(TRIM(CLEAN(SUBSTITUTE(RawData!D449,CHAR(160)," ")))))</f>
        <v>Patna</v>
      </c>
      <c r="E449" t="str">
        <f>IF(RawData!E449="","Unknown",PROPER(TRIM(CLEAN(SUBSTITUTE(RawData!E449,CHAR(160)," ")))))</f>
        <v>Laptop</v>
      </c>
      <c r="F449" t="str">
        <f>IF(RawData!F449="","Unknown",PROPER(TRIM(CLEAN(SUBSTITUTE(RawData!F449,CHAR(160)," ")))))</f>
        <v>Electronics</v>
      </c>
      <c r="G449">
        <f>_xlfn.LET(
_xlpm.q,RawData!G449,
_xlpm.u,RawData!H449,
_xlpm.d,RawData!I449,
_xlpm.r,RawData!J449,
IF(AND(ISNUMBER(_xlpm.q),_xlpm.q&gt;0),_xlpm.q,
   IF(AND(ISNUMBER(_xlpm.r),ISNUMBER(_xlpm.u),_xlpm.u&gt;0,ISNUMBER(_xlpm.d),_xlpm.d&gt;=0,_xlpm.d&lt;1),
      ROUND(_xlpm.r/(_xlpm.u*(1-_xlpm.d)),0),
      ""
   )
)
)</f>
        <v>9</v>
      </c>
      <c r="H449" s="4">
        <f>_xlfn.LET(
_xlpm.q,RawData!G449,
_xlpm.u,RawData!H449,
_xlpm.d,RawData!I449,
_xlpm.r,RawData!J449,
IF(AND(ISNUMBER(_xlpm.u),_xlpm.u&gt;0),_xlpm.u,
   IF(AND(ISNUMBER(_xlpm.q),_xlpm.q&gt;0,ISNUMBER(_xlpm.r),ISNUMBER(_xlpm.d),_xlpm.d&gt;=0,_xlpm.d&lt;1),
      _xlpm.r/(_xlpm.q*(1-_xlpm.d)),
      ""
   )
)
)</f>
        <v>892.86</v>
      </c>
      <c r="I449" s="5">
        <f>_xlfn.LET(
_xlpm.q,RawData!G449,
_xlpm.u,RawData!H449,
_xlpm.d,RawData!I449,
_xlpm.r,RawData!J449,
IF(AND(ISNUMBER(_xlpm.d),_xlpm.d&gt;=0,_xlpm.d&lt;1),_xlpm.d,
   IF(AND(ISNUMBER(_xlpm.q),_xlpm.q&gt;0,ISNUMBER(_xlpm.u),_xlpm.u&gt;0,ISNUMBER(_xlpm.r),_xlpm.r&gt;=0),
      1-(_xlpm.r/(_xlpm.q*_xlpm.u)),
      ""
   )
)
)</f>
        <v>0.15</v>
      </c>
      <c r="J449" s="4">
        <f>_xlfn.LET(
_xlpm.q,RawData!G449,
_xlpm.u,RawData!H449,
_xlpm.d,RawData!I449,
_xlpm.r,RawData!J449,
IF(AND(ISNUMBER(_xlpm.r),_xlpm.r&gt;=0),_xlpm.r,
   IF(AND(ISNUMBER(_xlpm.q),_xlpm.q&gt;0,ISNUMBER(_xlpm.u),_xlpm.u&gt;0,ISNUMBER(_xlpm.d),_xlpm.d&gt;=0,_xlpm.d&lt;1),
      _xlpm.q*_xlpm.u*(1-_xlpm.d),
      ""
   )
)
)</f>
        <v>6830.38</v>
      </c>
      <c r="K449" s="4">
        <f>_xlfn.LET(
_xlpm.c,RawData!K449,
_xlpm.r,RawData!J449,
_xlpm.p,RawData!L449,
IF(AND(ISNUMBER(_xlpm.c),_xlpm.c&gt;=0),_xlpm.c,
   IF(AND(ISNUMBER(_xlpm.r),ISNUMBER(_xlpm.p)),
      _xlpm.r-_xlpm.p,
      ""
   )
)
)</f>
        <v>4134.74</v>
      </c>
      <c r="L449" s="4">
        <f>_xlfn.LET(
_xlpm.p,RawData!L449,
_xlpm.r,RawData!J449,
_xlpm.c,RawData!K449,
IF(ISNUMBER(_xlpm.p),_xlpm.p,
IF(AND(ISNUMBER(_xlpm.r),ISNUMBER(_xlpm.c)),
_xlpm.r-_xlpm.c,
""
)
))</f>
        <v>2695.64</v>
      </c>
    </row>
    <row r="450" spans="1:12" x14ac:dyDescent="0.35">
      <c r="A450" t="s">
        <v>491</v>
      </c>
      <c r="B450" s="7">
        <v>45747</v>
      </c>
      <c r="C450" t="str">
        <f>IF(RawData!C450="","Unknown",PROPER(TRIM(CLEAN(SUBSTITUTE(RawData!C450,CHAR(160)," ")))))</f>
        <v>West</v>
      </c>
      <c r="D450" t="str">
        <f>IF(RawData!D450="","Unknown",PROPER(TRIM(CLEAN(SUBSTITUTE(RawData!D450,CHAR(160)," ")))))</f>
        <v>Pune</v>
      </c>
      <c r="E450" t="str">
        <f>IF(RawData!E450="","Unknown",PROPER(TRIM(CLEAN(SUBSTITUTE(RawData!E450,CHAR(160)," ")))))</f>
        <v>Notebook</v>
      </c>
      <c r="F450" t="str">
        <f>IF(RawData!F450="","Unknown",PROPER(TRIM(CLEAN(SUBSTITUTE(RawData!F450,CHAR(160)," ")))))</f>
        <v>Office Supplies</v>
      </c>
      <c r="G450">
        <f>_xlfn.LET(
_xlpm.q,RawData!G450,
_xlpm.u,RawData!H450,
_xlpm.d,RawData!I450,
_xlpm.r,RawData!J450,
IF(AND(ISNUMBER(_xlpm.q),_xlpm.q&gt;0),_xlpm.q,
   IF(AND(ISNUMBER(_xlpm.r),ISNUMBER(_xlpm.u),_xlpm.u&gt;0,ISNUMBER(_xlpm.d),_xlpm.d&gt;=0,_xlpm.d&lt;1),
      ROUND(_xlpm.r/(_xlpm.u*(1-_xlpm.d)),0),
      ""
   )
)
)</f>
        <v>8</v>
      </c>
      <c r="H450" s="4">
        <f>_xlfn.LET(
_xlpm.q,RawData!G450,
_xlpm.u,RawData!H450,
_xlpm.d,RawData!I450,
_xlpm.r,RawData!J450,
IF(AND(ISNUMBER(_xlpm.u),_xlpm.u&gt;0),_xlpm.u,
   IF(AND(ISNUMBER(_xlpm.q),_xlpm.q&gt;0,ISNUMBER(_xlpm.r),ISNUMBER(_xlpm.d),_xlpm.d&gt;=0,_xlpm.d&lt;1),
      _xlpm.r/(_xlpm.q*(1-_xlpm.d)),
      ""
   )
)
)</f>
        <v>7.5</v>
      </c>
      <c r="I450" s="5">
        <f>_xlfn.LET(
_xlpm.q,RawData!G450,
_xlpm.u,RawData!H450,
_xlpm.d,RawData!I450,
_xlpm.r,RawData!J450,
IF(AND(ISNUMBER(_xlpm.d),_xlpm.d&gt;=0,_xlpm.d&lt;1),_xlpm.d,
   IF(AND(ISNUMBER(_xlpm.q),_xlpm.q&gt;0,ISNUMBER(_xlpm.u),_xlpm.u&gt;0,ISNUMBER(_xlpm.r),_xlpm.r&gt;=0),
      1-(_xlpm.r/(_xlpm.q*_xlpm.u)),
      ""
   )
)
)</f>
        <v>0</v>
      </c>
      <c r="J450" s="4">
        <f>_xlfn.LET(
_xlpm.q,RawData!G450,
_xlpm.u,RawData!H450,
_xlpm.d,RawData!I450,
_xlpm.r,RawData!J450,
IF(AND(ISNUMBER(_xlpm.r),_xlpm.r&gt;=0),_xlpm.r,
   IF(AND(ISNUMBER(_xlpm.q),_xlpm.q&gt;0,ISNUMBER(_xlpm.u),_xlpm.u&gt;0,ISNUMBER(_xlpm.d),_xlpm.d&gt;=0,_xlpm.d&lt;1),
      _xlpm.q*_xlpm.u*(1-_xlpm.d),
      ""
   )
)
)</f>
        <v>60</v>
      </c>
      <c r="K450" s="4">
        <f>_xlfn.LET(
_xlpm.c,RawData!K450,
_xlpm.r,RawData!J450,
_xlpm.p,RawData!L450,
IF(AND(ISNUMBER(_xlpm.c),_xlpm.c&gt;=0),_xlpm.c,
   IF(AND(ISNUMBER(_xlpm.r),ISNUMBER(_xlpm.p)),
      _xlpm.r-_xlpm.p,
      ""
   )
)
)</f>
        <v>47.52</v>
      </c>
      <c r="L450" s="4">
        <f>_xlfn.LET(
_xlpm.p,RawData!L450,
_xlpm.r,RawData!J450,
_xlpm.c,RawData!K450,
IF(ISNUMBER(_xlpm.p),_xlpm.p,
IF(AND(ISNUMBER(_xlpm.r),ISNUMBER(_xlpm.c)),
_xlpm.r-_xlpm.c,
""
)
))</f>
        <v>12.48</v>
      </c>
    </row>
    <row r="451" spans="1:12" x14ac:dyDescent="0.35">
      <c r="A451" t="s">
        <v>492</v>
      </c>
      <c r="B451" s="7">
        <v>45987</v>
      </c>
      <c r="C451" t="str">
        <f>IF(RawData!C451="","Unknown",PROPER(TRIM(CLEAN(SUBSTITUTE(RawData!C451,CHAR(160)," ")))))</f>
        <v>West</v>
      </c>
      <c r="D451" t="str">
        <f>IF(RawData!D451="","Unknown",PROPER(TRIM(CLEAN(SUBSTITUTE(RawData!D451,CHAR(160)," ")))))</f>
        <v>Pune</v>
      </c>
      <c r="E451" t="str">
        <f>IF(RawData!E451="","Unknown",PROPER(TRIM(CLEAN(SUBSTITUTE(RawData!E451,CHAR(160)," ")))))</f>
        <v>Notebook</v>
      </c>
      <c r="F451" t="str">
        <f>IF(RawData!F451="","Unknown",PROPER(TRIM(CLEAN(SUBSTITUTE(RawData!F451,CHAR(160)," ")))))</f>
        <v>Office Supplies</v>
      </c>
      <c r="G451">
        <f>_xlfn.LET(
_xlpm.q,RawData!G451,
_xlpm.u,RawData!H451,
_xlpm.d,RawData!I451,
_xlpm.r,RawData!J451,
IF(AND(ISNUMBER(_xlpm.q),_xlpm.q&gt;0),_xlpm.q,
   IF(AND(ISNUMBER(_xlpm.r),ISNUMBER(_xlpm.u),_xlpm.u&gt;0,ISNUMBER(_xlpm.d),_xlpm.d&gt;=0,_xlpm.d&lt;1),
      ROUND(_xlpm.r/(_xlpm.u*(1-_xlpm.d)),0),
      ""
   )
)
)</f>
        <v>6</v>
      </c>
      <c r="H451" s="4">
        <f>_xlfn.LET(
_xlpm.q,RawData!G451,
_xlpm.u,RawData!H451,
_xlpm.d,RawData!I451,
_xlpm.r,RawData!J451,
IF(AND(ISNUMBER(_xlpm.u),_xlpm.u&gt;0),_xlpm.u,
   IF(AND(ISNUMBER(_xlpm.q),_xlpm.q&gt;0,ISNUMBER(_xlpm.r),ISNUMBER(_xlpm.d),_xlpm.d&gt;=0,_xlpm.d&lt;1),
      _xlpm.r/(_xlpm.q*(1-_xlpm.d)),
      ""
   )
)
)</f>
        <v>6.83</v>
      </c>
      <c r="I451" s="5">
        <f>_xlfn.LET(
_xlpm.q,RawData!G451,
_xlpm.u,RawData!H451,
_xlpm.d,RawData!I451,
_xlpm.r,RawData!J451,
IF(AND(ISNUMBER(_xlpm.d),_xlpm.d&gt;=0,_xlpm.d&lt;1),_xlpm.d,
   IF(AND(ISNUMBER(_xlpm.q),_xlpm.q&gt;0,ISNUMBER(_xlpm.u),_xlpm.u&gt;0,ISNUMBER(_xlpm.r),_xlpm.r&gt;=0),
      1-(_xlpm.r/(_xlpm.q*_xlpm.u)),
      ""
   )
)
)</f>
        <v>0.2</v>
      </c>
      <c r="J451" s="4">
        <f>_xlfn.LET(
_xlpm.q,RawData!G451,
_xlpm.u,RawData!H451,
_xlpm.d,RawData!I451,
_xlpm.r,RawData!J451,
IF(AND(ISNUMBER(_xlpm.r),_xlpm.r&gt;=0),_xlpm.r,
   IF(AND(ISNUMBER(_xlpm.q),_xlpm.q&gt;0,ISNUMBER(_xlpm.u),_xlpm.u&gt;0,ISNUMBER(_xlpm.d),_xlpm.d&gt;=0,_xlpm.d&lt;1),
      _xlpm.q*_xlpm.u*(1-_xlpm.d),
      ""
   )
)
)</f>
        <v>32.78</v>
      </c>
      <c r="K451" s="4">
        <f>_xlfn.LET(
_xlpm.c,RawData!K451,
_xlpm.r,RawData!J451,
_xlpm.p,RawData!L451,
IF(AND(ISNUMBER(_xlpm.c),_xlpm.c&gt;=0),_xlpm.c,
   IF(AND(ISNUMBER(_xlpm.r),ISNUMBER(_xlpm.p)),
      _xlpm.r-_xlpm.p,
      ""
   )
)
)</f>
        <v>18.79</v>
      </c>
      <c r="L451" s="4">
        <f>_xlfn.LET(
_xlpm.p,RawData!L451,
_xlpm.r,RawData!J451,
_xlpm.c,RawData!K451,
IF(ISNUMBER(_xlpm.p),_xlpm.p,
IF(AND(ISNUMBER(_xlpm.r),ISNUMBER(_xlpm.c)),
_xlpm.r-_xlpm.c,
""
)
))</f>
        <v>13.99</v>
      </c>
    </row>
    <row r="452" spans="1:12" x14ac:dyDescent="0.35">
      <c r="A452" t="s">
        <v>493</v>
      </c>
      <c r="B452" s="7">
        <v>45867</v>
      </c>
      <c r="C452" t="str">
        <f>IF(RawData!C452="","Unknown",PROPER(TRIM(CLEAN(SUBSTITUTE(RawData!C452,CHAR(160)," ")))))</f>
        <v>South</v>
      </c>
      <c r="D452" t="str">
        <f>IF(RawData!D452="","Unknown",PROPER(TRIM(CLEAN(SUBSTITUTE(RawData!D452,CHAR(160)," ")))))</f>
        <v>Bengaluru</v>
      </c>
      <c r="E452" t="str">
        <f>IF(RawData!E452="","Unknown",PROPER(TRIM(CLEAN(SUBSTITUTE(RawData!E452,CHAR(160)," ")))))</f>
        <v>Office Chair</v>
      </c>
      <c r="F452" t="str">
        <f>IF(RawData!F452="","Unknown",PROPER(TRIM(CLEAN(SUBSTITUTE(RawData!F452,CHAR(160)," ")))))</f>
        <v>Furniture</v>
      </c>
      <c r="G452">
        <f>_xlfn.LET(
_xlpm.q,RawData!G452,
_xlpm.u,RawData!H452,
_xlpm.d,RawData!I452,
_xlpm.r,RawData!J452,
IF(AND(ISNUMBER(_xlpm.q),_xlpm.q&gt;0),_xlpm.q,
   IF(AND(ISNUMBER(_xlpm.r),ISNUMBER(_xlpm.u),_xlpm.u&gt;0,ISNUMBER(_xlpm.d),_xlpm.d&gt;=0,_xlpm.d&lt;1),
      ROUND(_xlpm.r/(_xlpm.u*(1-_xlpm.d)),0),
      ""
   )
)
)</f>
        <v>7</v>
      </c>
      <c r="H452" s="4">
        <f>_xlfn.LET(
_xlpm.q,RawData!G452,
_xlpm.u,RawData!H452,
_xlpm.d,RawData!I452,
_xlpm.r,RawData!J452,
IF(AND(ISNUMBER(_xlpm.u),_xlpm.u&gt;0),_xlpm.u,
   IF(AND(ISNUMBER(_xlpm.q),_xlpm.q&gt;0,ISNUMBER(_xlpm.r),ISNUMBER(_xlpm.d),_xlpm.d&gt;=0,_xlpm.d&lt;1),
      _xlpm.r/(_xlpm.q*(1-_xlpm.d)),
      ""
   )
)
)</f>
        <v>164.23</v>
      </c>
      <c r="I452" s="5">
        <f>_xlfn.LET(
_xlpm.q,RawData!G452,
_xlpm.u,RawData!H452,
_xlpm.d,RawData!I452,
_xlpm.r,RawData!J452,
IF(AND(ISNUMBER(_xlpm.d),_xlpm.d&gt;=0,_xlpm.d&lt;1),_xlpm.d,
   IF(AND(ISNUMBER(_xlpm.q),_xlpm.q&gt;0,ISNUMBER(_xlpm.u),_xlpm.u&gt;0,ISNUMBER(_xlpm.r),_xlpm.r&gt;=0),
      1-(_xlpm.r/(_xlpm.q*_xlpm.u)),
      ""
   )
)
)</f>
        <v>0.02</v>
      </c>
      <c r="J452" s="4">
        <f>_xlfn.LET(
_xlpm.q,RawData!G452,
_xlpm.u,RawData!H452,
_xlpm.d,RawData!I452,
_xlpm.r,RawData!J452,
IF(AND(ISNUMBER(_xlpm.r),_xlpm.r&gt;=0),_xlpm.r,
   IF(AND(ISNUMBER(_xlpm.q),_xlpm.q&gt;0,ISNUMBER(_xlpm.u),_xlpm.u&gt;0,ISNUMBER(_xlpm.d),_xlpm.d&gt;=0,_xlpm.d&lt;1),
      _xlpm.q*_xlpm.u*(1-_xlpm.d),
      ""
   )
)
)</f>
        <v>1126.6199999999999</v>
      </c>
      <c r="K452" s="4">
        <f>_xlfn.LET(
_xlpm.c,RawData!K452,
_xlpm.r,RawData!J452,
_xlpm.p,RawData!L452,
IF(AND(ISNUMBER(_xlpm.c),_xlpm.c&gt;=0),_xlpm.c,
   IF(AND(ISNUMBER(_xlpm.r),ISNUMBER(_xlpm.p)),
      _xlpm.r-_xlpm.p,
      ""
   )
)
)</f>
        <v>627.71</v>
      </c>
      <c r="L452" s="4">
        <f>_xlfn.LET(
_xlpm.p,RawData!L452,
_xlpm.r,RawData!J452,
_xlpm.c,RawData!K452,
IF(ISNUMBER(_xlpm.p),_xlpm.p,
IF(AND(ISNUMBER(_xlpm.r),ISNUMBER(_xlpm.c)),
_xlpm.r-_xlpm.c,
""
)
))</f>
        <v>498.91</v>
      </c>
    </row>
    <row r="453" spans="1:12" x14ac:dyDescent="0.35">
      <c r="A453" t="s">
        <v>494</v>
      </c>
      <c r="B453" s="7">
        <v>45900</v>
      </c>
      <c r="C453" t="str">
        <f>IF(RawData!C453="","Unknown",PROPER(TRIM(CLEAN(SUBSTITUTE(RawData!C453,CHAR(160)," ")))))</f>
        <v>South</v>
      </c>
      <c r="D453" t="str">
        <f>IF(RawData!D453="","Unknown",PROPER(TRIM(CLEAN(SUBSTITUTE(RawData!D453,CHAR(160)," ")))))</f>
        <v>Hyderabad</v>
      </c>
      <c r="E453" t="str">
        <f>IF(RawData!E453="","Unknown",PROPER(TRIM(CLEAN(SUBSTITUTE(RawData!E453,CHAR(160)," ")))))</f>
        <v>Monitor</v>
      </c>
      <c r="F453" t="str">
        <f>IF(RawData!F453="","Unknown",PROPER(TRIM(CLEAN(SUBSTITUTE(RawData!F453,CHAR(160)," ")))))</f>
        <v>Electronics</v>
      </c>
      <c r="G453">
        <f>_xlfn.LET(
_xlpm.q,RawData!G453,
_xlpm.u,RawData!H453,
_xlpm.d,RawData!I453,
_xlpm.r,RawData!J453,
IF(AND(ISNUMBER(_xlpm.q),_xlpm.q&gt;0),_xlpm.q,
   IF(AND(ISNUMBER(_xlpm.r),ISNUMBER(_xlpm.u),_xlpm.u&gt;0,ISNUMBER(_xlpm.d),_xlpm.d&gt;=0,_xlpm.d&lt;1),
      ROUND(_xlpm.r/(_xlpm.u*(1-_xlpm.d)),0),
      ""
   )
)
)</f>
        <v>5</v>
      </c>
      <c r="H453" s="4">
        <f>_xlfn.LET(
_xlpm.q,RawData!G453,
_xlpm.u,RawData!H453,
_xlpm.d,RawData!I453,
_xlpm.r,RawData!J453,
IF(AND(ISNUMBER(_xlpm.u),_xlpm.u&gt;0),_xlpm.u,
   IF(AND(ISNUMBER(_xlpm.q),_xlpm.q&gt;0,ISNUMBER(_xlpm.r),ISNUMBER(_xlpm.d),_xlpm.d&gt;=0,_xlpm.d&lt;1),
      _xlpm.r/(_xlpm.q*(1-_xlpm.d)),
      ""
   )
)
)</f>
        <v>198.97</v>
      </c>
      <c r="I453" s="5">
        <f>_xlfn.LET(
_xlpm.q,RawData!G453,
_xlpm.u,RawData!H453,
_xlpm.d,RawData!I453,
_xlpm.r,RawData!J453,
IF(AND(ISNUMBER(_xlpm.d),_xlpm.d&gt;=0,_xlpm.d&lt;1),_xlpm.d,
   IF(AND(ISNUMBER(_xlpm.q),_xlpm.q&gt;0,ISNUMBER(_xlpm.u),_xlpm.u&gt;0,ISNUMBER(_xlpm.r),_xlpm.r&gt;=0),
      1-(_xlpm.r/(_xlpm.q*_xlpm.u)),
      ""
   )
)
)</f>
        <v>0.2</v>
      </c>
      <c r="J453" s="4">
        <f>_xlfn.LET(
_xlpm.q,RawData!G453,
_xlpm.u,RawData!H453,
_xlpm.d,RawData!I453,
_xlpm.r,RawData!J453,
IF(AND(ISNUMBER(_xlpm.r),_xlpm.r&gt;=0),_xlpm.r,
   IF(AND(ISNUMBER(_xlpm.q),_xlpm.q&gt;0,ISNUMBER(_xlpm.u),_xlpm.u&gt;0,ISNUMBER(_xlpm.d),_xlpm.d&gt;=0,_xlpm.d&lt;1),
      _xlpm.q*_xlpm.u*(1-_xlpm.d),
      ""
   )
)
)</f>
        <v>795.88</v>
      </c>
      <c r="K453" s="4">
        <f>_xlfn.LET(
_xlpm.c,RawData!K453,
_xlpm.r,RawData!J453,
_xlpm.p,RawData!L453,
IF(AND(ISNUMBER(_xlpm.c),_xlpm.c&gt;=0),_xlpm.c,
   IF(AND(ISNUMBER(_xlpm.r),ISNUMBER(_xlpm.p)),
      _xlpm.r-_xlpm.p,
      ""
   )
)
)</f>
        <v>563.02</v>
      </c>
      <c r="L453" s="4">
        <f>_xlfn.LET(
_xlpm.p,RawData!L453,
_xlpm.r,RawData!J453,
_xlpm.c,RawData!K453,
IF(ISNUMBER(_xlpm.p),_xlpm.p,
IF(AND(ISNUMBER(_xlpm.r),ISNUMBER(_xlpm.c)),
_xlpm.r-_xlpm.c,
""
)
))</f>
        <v>232.86</v>
      </c>
    </row>
    <row r="454" spans="1:12" x14ac:dyDescent="0.35">
      <c r="A454" t="s">
        <v>495</v>
      </c>
      <c r="B454" s="7">
        <v>45895</v>
      </c>
      <c r="C454" t="str">
        <f>IF(RawData!C454="","Unknown",PROPER(TRIM(CLEAN(SUBSTITUTE(RawData!C454,CHAR(160)," ")))))</f>
        <v>North</v>
      </c>
      <c r="D454" t="str">
        <f>IF(RawData!D454="","Unknown",PROPER(TRIM(CLEAN(SUBSTITUTE(RawData!D454,CHAR(160)," ")))))</f>
        <v>Lucknow</v>
      </c>
      <c r="E454" t="str">
        <f>IF(RawData!E454="","Unknown",PROPER(TRIM(CLEAN(SUBSTITUTE(RawData!E454,CHAR(160)," ")))))</f>
        <v>Notebook</v>
      </c>
      <c r="F454" t="str">
        <f>IF(RawData!F454="","Unknown",PROPER(TRIM(CLEAN(SUBSTITUTE(RawData!F454,CHAR(160)," ")))))</f>
        <v>Office Supplies</v>
      </c>
      <c r="G454">
        <f>_xlfn.LET(
_xlpm.q,RawData!G454,
_xlpm.u,RawData!H454,
_xlpm.d,RawData!I454,
_xlpm.r,RawData!J454,
IF(AND(ISNUMBER(_xlpm.q),_xlpm.q&gt;0),_xlpm.q,
   IF(AND(ISNUMBER(_xlpm.r),ISNUMBER(_xlpm.u),_xlpm.u&gt;0,ISNUMBER(_xlpm.d),_xlpm.d&gt;=0,_xlpm.d&lt;1),
      ROUND(_xlpm.r/(_xlpm.u*(1-_xlpm.d)),0),
      ""
   )
)
)</f>
        <v>7</v>
      </c>
      <c r="H454" s="4">
        <f>_xlfn.LET(
_xlpm.q,RawData!G454,
_xlpm.u,RawData!H454,
_xlpm.d,RawData!I454,
_xlpm.r,RawData!J454,
IF(AND(ISNUMBER(_xlpm.u),_xlpm.u&gt;0),_xlpm.u,
   IF(AND(ISNUMBER(_xlpm.q),_xlpm.q&gt;0,ISNUMBER(_xlpm.r),ISNUMBER(_xlpm.d),_xlpm.d&gt;=0,_xlpm.d&lt;1),
      _xlpm.r/(_xlpm.q*(1-_xlpm.d)),
      ""
   )
)
)</f>
        <v>7.81</v>
      </c>
      <c r="I454" s="5">
        <f>_xlfn.LET(
_xlpm.q,RawData!G454,
_xlpm.u,RawData!H454,
_xlpm.d,RawData!I454,
_xlpm.r,RawData!J454,
IF(AND(ISNUMBER(_xlpm.d),_xlpm.d&gt;=0,_xlpm.d&lt;1),_xlpm.d,
   IF(AND(ISNUMBER(_xlpm.q),_xlpm.q&gt;0,ISNUMBER(_xlpm.u),_xlpm.u&gt;0,ISNUMBER(_xlpm.r),_xlpm.r&gt;=0),
      1-(_xlpm.r/(_xlpm.q*_xlpm.u)),
      ""
   )
)
)</f>
        <v>0.1</v>
      </c>
      <c r="J454" s="4">
        <f>_xlfn.LET(
_xlpm.q,RawData!G454,
_xlpm.u,RawData!H454,
_xlpm.d,RawData!I454,
_xlpm.r,RawData!J454,
IF(AND(ISNUMBER(_xlpm.r),_xlpm.r&gt;=0),_xlpm.r,
   IF(AND(ISNUMBER(_xlpm.q),_xlpm.q&gt;0,ISNUMBER(_xlpm.u),_xlpm.u&gt;0,ISNUMBER(_xlpm.d),_xlpm.d&gt;=0,_xlpm.d&lt;1),
      _xlpm.q*_xlpm.u*(1-_xlpm.d),
      ""
   )
)
)</f>
        <v>49.2</v>
      </c>
      <c r="K454" s="4">
        <f>_xlfn.LET(
_xlpm.c,RawData!K454,
_xlpm.r,RawData!J454,
_xlpm.p,RawData!L454,
IF(AND(ISNUMBER(_xlpm.c),_xlpm.c&gt;=0),_xlpm.c,
   IF(AND(ISNUMBER(_xlpm.r),ISNUMBER(_xlpm.p)),
      _xlpm.r-_xlpm.p,
      ""
   )
)
)</f>
        <v>38.92</v>
      </c>
      <c r="L454" s="4">
        <f>_xlfn.LET(
_xlpm.p,RawData!L454,
_xlpm.r,RawData!J454,
_xlpm.c,RawData!K454,
IF(ISNUMBER(_xlpm.p),_xlpm.p,
IF(AND(ISNUMBER(_xlpm.r),ISNUMBER(_xlpm.c)),
_xlpm.r-_xlpm.c,
""
)
))</f>
        <v>10.28</v>
      </c>
    </row>
    <row r="455" spans="1:12" x14ac:dyDescent="0.35">
      <c r="A455" t="s">
        <v>496</v>
      </c>
      <c r="B455" s="7">
        <v>45929</v>
      </c>
      <c r="C455" t="str">
        <f>IF(RawData!C455="","Unknown",PROPER(TRIM(CLEAN(SUBSTITUTE(RawData!C455,CHAR(160)," ")))))</f>
        <v>South</v>
      </c>
      <c r="D455" t="str">
        <f>IF(RawData!D455="","Unknown",PROPER(TRIM(CLEAN(SUBSTITUTE(RawData!D455,CHAR(160)," ")))))</f>
        <v>Hyderabad</v>
      </c>
      <c r="E455" t="str">
        <f>IF(RawData!E455="","Unknown",PROPER(TRIM(CLEAN(SUBSTITUTE(RawData!E455,CHAR(160)," ")))))</f>
        <v>Bookshelf</v>
      </c>
      <c r="F455" t="str">
        <f>IF(RawData!F455="","Unknown",PROPER(TRIM(CLEAN(SUBSTITUTE(RawData!F455,CHAR(160)," ")))))</f>
        <v>Furniture</v>
      </c>
      <c r="G455">
        <f>_xlfn.LET(
_xlpm.q,RawData!G455,
_xlpm.u,RawData!H455,
_xlpm.d,RawData!I455,
_xlpm.r,RawData!J455,
IF(AND(ISNUMBER(_xlpm.q),_xlpm.q&gt;0),_xlpm.q,
   IF(AND(ISNUMBER(_xlpm.r),ISNUMBER(_xlpm.u),_xlpm.u&gt;0,ISNUMBER(_xlpm.d),_xlpm.d&gt;=0,_xlpm.d&lt;1),
      ROUND(_xlpm.r/(_xlpm.u*(1-_xlpm.d)),0),
      ""
   )
)
)</f>
        <v>4</v>
      </c>
      <c r="H455" s="4">
        <f>_xlfn.LET(
_xlpm.q,RawData!G455,
_xlpm.u,RawData!H455,
_xlpm.d,RawData!I455,
_xlpm.r,RawData!J455,
IF(AND(ISNUMBER(_xlpm.u),_xlpm.u&gt;0),_xlpm.u,
   IF(AND(ISNUMBER(_xlpm.q),_xlpm.q&gt;0,ISNUMBER(_xlpm.r),ISNUMBER(_xlpm.d),_xlpm.d&gt;=0,_xlpm.d&lt;1),
      _xlpm.r/(_xlpm.q*(1-_xlpm.d)),
      ""
   )
)
)</f>
        <v>153.33000000000001</v>
      </c>
      <c r="I455" s="5">
        <f>_xlfn.LET(
_xlpm.q,RawData!G455,
_xlpm.u,RawData!H455,
_xlpm.d,RawData!I455,
_xlpm.r,RawData!J455,
IF(AND(ISNUMBER(_xlpm.d),_xlpm.d&gt;=0,_xlpm.d&lt;1),_xlpm.d,
   IF(AND(ISNUMBER(_xlpm.q),_xlpm.q&gt;0,ISNUMBER(_xlpm.u),_xlpm.u&gt;0,ISNUMBER(_xlpm.r),_xlpm.r&gt;=0),
      1-(_xlpm.r/(_xlpm.q*_xlpm.u)),
      ""
   )
)
)</f>
        <v>0.05</v>
      </c>
      <c r="J455" s="4">
        <f>_xlfn.LET(
_xlpm.q,RawData!G455,
_xlpm.u,RawData!H455,
_xlpm.d,RawData!I455,
_xlpm.r,RawData!J455,
IF(AND(ISNUMBER(_xlpm.r),_xlpm.r&gt;=0),_xlpm.r,
   IF(AND(ISNUMBER(_xlpm.q),_xlpm.q&gt;0,ISNUMBER(_xlpm.u),_xlpm.u&gt;0,ISNUMBER(_xlpm.d),_xlpm.d&gt;=0,_xlpm.d&lt;1),
      _xlpm.q*_xlpm.u*(1-_xlpm.d),
      ""
   )
)
)</f>
        <v>582.65</v>
      </c>
      <c r="K455" s="4">
        <f>_xlfn.LET(
_xlpm.c,RawData!K455,
_xlpm.r,RawData!J455,
_xlpm.p,RawData!L455,
IF(AND(ISNUMBER(_xlpm.c),_xlpm.c&gt;=0),_xlpm.c,
   IF(AND(ISNUMBER(_xlpm.r),ISNUMBER(_xlpm.p)),
      _xlpm.r-_xlpm.p,
      ""
   )
)
)</f>
        <v>374.23</v>
      </c>
      <c r="L455" s="4">
        <f>_xlfn.LET(
_xlpm.p,RawData!L455,
_xlpm.r,RawData!J455,
_xlpm.c,RawData!K455,
IF(ISNUMBER(_xlpm.p),_xlpm.p,
IF(AND(ISNUMBER(_xlpm.r),ISNUMBER(_xlpm.c)),
_xlpm.r-_xlpm.c,
""
)
))</f>
        <v>208.42</v>
      </c>
    </row>
    <row r="456" spans="1:12" x14ac:dyDescent="0.35">
      <c r="A456" t="s">
        <v>497</v>
      </c>
      <c r="B456" s="7">
        <v>45827</v>
      </c>
      <c r="C456" t="str">
        <f>IF(RawData!C456="","Unknown",PROPER(TRIM(CLEAN(SUBSTITUTE(RawData!C456,CHAR(160)," ")))))</f>
        <v>North</v>
      </c>
      <c r="D456" t="str">
        <f>IF(RawData!D456="","Unknown",PROPER(TRIM(CLEAN(SUBSTITUTE(RawData!D456,CHAR(160)," ")))))</f>
        <v>Lucknow</v>
      </c>
      <c r="E456" t="str">
        <f>IF(RawData!E456="","Unknown",PROPER(TRIM(CLEAN(SUBSTITUTE(RawData!E456,CHAR(160)," ")))))</f>
        <v>Printer</v>
      </c>
      <c r="F456" t="str">
        <f>IF(RawData!F456="","Unknown",PROPER(TRIM(CLEAN(SUBSTITUTE(RawData!F456,CHAR(160)," ")))))</f>
        <v>Office Supplies</v>
      </c>
      <c r="G456">
        <f>_xlfn.LET(
_xlpm.q,RawData!G456,
_xlpm.u,RawData!H456,
_xlpm.d,RawData!I456,
_xlpm.r,RawData!J456,
IF(AND(ISNUMBER(_xlpm.q),_xlpm.q&gt;0),_xlpm.q,
   IF(AND(ISNUMBER(_xlpm.r),ISNUMBER(_xlpm.u),_xlpm.u&gt;0,ISNUMBER(_xlpm.d),_xlpm.d&gt;=0,_xlpm.d&lt;1),
      ROUND(_xlpm.r/(_xlpm.u*(1-_xlpm.d)),0),
      ""
   )
)
)</f>
        <v>6</v>
      </c>
      <c r="H456" s="4">
        <f>_xlfn.LET(
_xlpm.q,RawData!G456,
_xlpm.u,RawData!H456,
_xlpm.d,RawData!I456,
_xlpm.r,RawData!J456,
IF(AND(ISNUMBER(_xlpm.u),_xlpm.u&gt;0),_xlpm.u,
   IF(AND(ISNUMBER(_xlpm.q),_xlpm.q&gt;0,ISNUMBER(_xlpm.r),ISNUMBER(_xlpm.d),_xlpm.d&gt;=0,_xlpm.d&lt;1),
      _xlpm.r/(_xlpm.q*(1-_xlpm.d)),
      ""
   )
)
)</f>
        <v>148.44999999999999</v>
      </c>
      <c r="I456" s="5">
        <f>_xlfn.LET(
_xlpm.q,RawData!G456,
_xlpm.u,RawData!H456,
_xlpm.d,RawData!I456,
_xlpm.r,RawData!J456,
IF(AND(ISNUMBER(_xlpm.d),_xlpm.d&gt;=0,_xlpm.d&lt;1),_xlpm.d,
   IF(AND(ISNUMBER(_xlpm.q),_xlpm.q&gt;0,ISNUMBER(_xlpm.u),_xlpm.u&gt;0,ISNUMBER(_xlpm.r),_xlpm.r&gt;=0),
      1-(_xlpm.r/(_xlpm.q*_xlpm.u)),
      ""
   )
)
)</f>
        <v>0</v>
      </c>
      <c r="J456" s="4">
        <f>_xlfn.LET(
_xlpm.q,RawData!G456,
_xlpm.u,RawData!H456,
_xlpm.d,RawData!I456,
_xlpm.r,RawData!J456,
IF(AND(ISNUMBER(_xlpm.r),_xlpm.r&gt;=0),_xlpm.r,
   IF(AND(ISNUMBER(_xlpm.q),_xlpm.q&gt;0,ISNUMBER(_xlpm.u),_xlpm.u&gt;0,ISNUMBER(_xlpm.d),_xlpm.d&gt;=0,_xlpm.d&lt;1),
      _xlpm.q*_xlpm.u*(1-_xlpm.d),
      ""
   )
)
)</f>
        <v>890.7</v>
      </c>
      <c r="K456" s="4">
        <f>_xlfn.LET(
_xlpm.c,RawData!K456,
_xlpm.r,RawData!J456,
_xlpm.p,RawData!L456,
IF(AND(ISNUMBER(_xlpm.c),_xlpm.c&gt;=0),_xlpm.c,
   IF(AND(ISNUMBER(_xlpm.r),ISNUMBER(_xlpm.p)),
      _xlpm.r-_xlpm.p,
      ""
   )
)
)</f>
        <v>581.20000000000005</v>
      </c>
      <c r="L456" s="4">
        <f>_xlfn.LET(
_xlpm.p,RawData!L456,
_xlpm.r,RawData!J456,
_xlpm.c,RawData!K456,
IF(ISNUMBER(_xlpm.p),_xlpm.p,
IF(AND(ISNUMBER(_xlpm.r),ISNUMBER(_xlpm.c)),
_xlpm.r-_xlpm.c,
""
)
))</f>
        <v>309.5</v>
      </c>
    </row>
    <row r="457" spans="1:12" x14ac:dyDescent="0.35">
      <c r="A457" t="s">
        <v>498</v>
      </c>
      <c r="B457" s="7">
        <v>45755</v>
      </c>
      <c r="C457" t="str">
        <f>IF(RawData!C457="","Unknown",PROPER(TRIM(CLEAN(SUBSTITUTE(RawData!C457,CHAR(160)," ")))))</f>
        <v>North</v>
      </c>
      <c r="D457" t="str">
        <f>IF(RawData!D457="","Unknown",PROPER(TRIM(CLEAN(SUBSTITUTE(RawData!D457,CHAR(160)," ")))))</f>
        <v>Lucknow</v>
      </c>
      <c r="E457" t="str">
        <f>IF(RawData!E457="","Unknown",PROPER(TRIM(CLEAN(SUBSTITUTE(RawData!E457,CHAR(160)," ")))))</f>
        <v>Office Chair</v>
      </c>
      <c r="F457" t="str">
        <f>IF(RawData!F457="","Unknown",PROPER(TRIM(CLEAN(SUBSTITUTE(RawData!F457,CHAR(160)," ")))))</f>
        <v>Furniture</v>
      </c>
      <c r="G457">
        <f>_xlfn.LET(
_xlpm.q,RawData!G457,
_xlpm.u,RawData!H457,
_xlpm.d,RawData!I457,
_xlpm.r,RawData!J457,
IF(AND(ISNUMBER(_xlpm.q),_xlpm.q&gt;0),_xlpm.q,
   IF(AND(ISNUMBER(_xlpm.r),ISNUMBER(_xlpm.u),_xlpm.u&gt;0,ISNUMBER(_xlpm.d),_xlpm.d&gt;=0,_xlpm.d&lt;1),
      ROUND(_xlpm.r/(_xlpm.u*(1-_xlpm.d)),0),
      ""
   )
)
)</f>
        <v>7</v>
      </c>
      <c r="H457" s="4">
        <f>_xlfn.LET(
_xlpm.q,RawData!G457,
_xlpm.u,RawData!H457,
_xlpm.d,RawData!I457,
_xlpm.r,RawData!J457,
IF(AND(ISNUMBER(_xlpm.u),_xlpm.u&gt;0),_xlpm.u,
   IF(AND(ISNUMBER(_xlpm.q),_xlpm.q&gt;0,ISNUMBER(_xlpm.r),ISNUMBER(_xlpm.d),_xlpm.d&gt;=0,_xlpm.d&lt;1),
      _xlpm.r/(_xlpm.q*(1-_xlpm.d)),
      ""
   )
)
)</f>
        <v>184.88</v>
      </c>
      <c r="I457" s="5">
        <f>_xlfn.LET(
_xlpm.q,RawData!G457,
_xlpm.u,RawData!H457,
_xlpm.d,RawData!I457,
_xlpm.r,RawData!J457,
IF(AND(ISNUMBER(_xlpm.d),_xlpm.d&gt;=0,_xlpm.d&lt;1),_xlpm.d,
   IF(AND(ISNUMBER(_xlpm.q),_xlpm.q&gt;0,ISNUMBER(_xlpm.u),_xlpm.u&gt;0,ISNUMBER(_xlpm.r),_xlpm.r&gt;=0),
      1-(_xlpm.r/(_xlpm.q*_xlpm.u)),
      ""
   )
)
)</f>
        <v>0.2</v>
      </c>
      <c r="J457" s="4">
        <f>_xlfn.LET(
_xlpm.q,RawData!G457,
_xlpm.u,RawData!H457,
_xlpm.d,RawData!I457,
_xlpm.r,RawData!J457,
IF(AND(ISNUMBER(_xlpm.r),_xlpm.r&gt;=0),_xlpm.r,
   IF(AND(ISNUMBER(_xlpm.q),_xlpm.q&gt;0,ISNUMBER(_xlpm.u),_xlpm.u&gt;0,ISNUMBER(_xlpm.d),_xlpm.d&gt;=0,_xlpm.d&lt;1),
      _xlpm.q*_xlpm.u*(1-_xlpm.d),
      ""
   )
)
)</f>
        <v>1035.33</v>
      </c>
      <c r="K457" s="4">
        <f>_xlfn.LET(
_xlpm.c,RawData!K457,
_xlpm.r,RawData!J457,
_xlpm.p,RawData!L457,
IF(AND(ISNUMBER(_xlpm.c),_xlpm.c&gt;=0),_xlpm.c,
   IF(AND(ISNUMBER(_xlpm.r),ISNUMBER(_xlpm.p)),
      _xlpm.r-_xlpm.p,
      ""
   )
)
)</f>
        <v>644.37</v>
      </c>
      <c r="L457" s="4">
        <f>_xlfn.LET(
_xlpm.p,RawData!L457,
_xlpm.r,RawData!J457,
_xlpm.c,RawData!K457,
IF(ISNUMBER(_xlpm.p),_xlpm.p,
IF(AND(ISNUMBER(_xlpm.r),ISNUMBER(_xlpm.c)),
_xlpm.r-_xlpm.c,
""
)
))</f>
        <v>390.96</v>
      </c>
    </row>
    <row r="458" spans="1:12" x14ac:dyDescent="0.35">
      <c r="A458" t="s">
        <v>499</v>
      </c>
      <c r="B458" s="7">
        <v>45966</v>
      </c>
      <c r="C458" t="str">
        <f>IF(RawData!C458="","Unknown",PROPER(TRIM(CLEAN(SUBSTITUTE(RawData!C458,CHAR(160)," ")))))</f>
        <v>North</v>
      </c>
      <c r="D458" t="str">
        <f>IF(RawData!D458="","Unknown",PROPER(TRIM(CLEAN(SUBSTITUTE(RawData!D458,CHAR(160)," ")))))</f>
        <v>Lucknow</v>
      </c>
      <c r="E458" t="str">
        <f>IF(RawData!E458="","Unknown",PROPER(TRIM(CLEAN(SUBSTITUTE(RawData!E458,CHAR(160)," ")))))</f>
        <v>Smartphone</v>
      </c>
      <c r="F458" t="str">
        <f>IF(RawData!F458="","Unknown",PROPER(TRIM(CLEAN(SUBSTITUTE(RawData!F458,CHAR(160)," ")))))</f>
        <v>Electronics</v>
      </c>
      <c r="G458">
        <f>_xlfn.LET(
_xlpm.q,RawData!G458,
_xlpm.u,RawData!H458,
_xlpm.d,RawData!I458,
_xlpm.r,RawData!J458,
IF(AND(ISNUMBER(_xlpm.q),_xlpm.q&gt;0),_xlpm.q,
   IF(AND(ISNUMBER(_xlpm.r),ISNUMBER(_xlpm.u),_xlpm.u&gt;0,ISNUMBER(_xlpm.d),_xlpm.d&gt;=0,_xlpm.d&lt;1),
      ROUND(_xlpm.r/(_xlpm.u*(1-_xlpm.d)),0),
      ""
   )
)
)</f>
        <v>4</v>
      </c>
      <c r="H458" s="4">
        <f>_xlfn.LET(
_xlpm.q,RawData!G458,
_xlpm.u,RawData!H458,
_xlpm.d,RawData!I458,
_xlpm.r,RawData!J458,
IF(AND(ISNUMBER(_xlpm.u),_xlpm.u&gt;0),_xlpm.u,
   IF(AND(ISNUMBER(_xlpm.q),_xlpm.q&gt;0,ISNUMBER(_xlpm.r),ISNUMBER(_xlpm.d),_xlpm.d&gt;=0,_xlpm.d&lt;1),
      _xlpm.r/(_xlpm.q*(1-_xlpm.d)),
      ""
   )
)
)</f>
        <v>570.48</v>
      </c>
      <c r="I458" s="5">
        <f>_xlfn.LET(
_xlpm.q,RawData!G458,
_xlpm.u,RawData!H458,
_xlpm.d,RawData!I458,
_xlpm.r,RawData!J458,
IF(AND(ISNUMBER(_xlpm.d),_xlpm.d&gt;=0,_xlpm.d&lt;1),_xlpm.d,
   IF(AND(ISNUMBER(_xlpm.q),_xlpm.q&gt;0,ISNUMBER(_xlpm.u),_xlpm.u&gt;0,ISNUMBER(_xlpm.r),_xlpm.r&gt;=0),
      1-(_xlpm.r/(_xlpm.q*_xlpm.u)),
      ""
   )
)
)</f>
        <v>0.15</v>
      </c>
      <c r="J458" s="4">
        <f>_xlfn.LET(
_xlpm.q,RawData!G458,
_xlpm.u,RawData!H458,
_xlpm.d,RawData!I458,
_xlpm.r,RawData!J458,
IF(AND(ISNUMBER(_xlpm.r),_xlpm.r&gt;=0),_xlpm.r,
   IF(AND(ISNUMBER(_xlpm.q),_xlpm.q&gt;0,ISNUMBER(_xlpm.u),_xlpm.u&gt;0,ISNUMBER(_xlpm.d),_xlpm.d&gt;=0,_xlpm.d&lt;1),
      _xlpm.q*_xlpm.u*(1-_xlpm.d),
      ""
   )
)
)</f>
        <v>1939.63</v>
      </c>
      <c r="K458" s="4">
        <f>_xlfn.LET(
_xlpm.c,RawData!K458,
_xlpm.r,RawData!J458,
_xlpm.p,RawData!L458,
IF(AND(ISNUMBER(_xlpm.c),_xlpm.c&gt;=0),_xlpm.c,
   IF(AND(ISNUMBER(_xlpm.r),ISNUMBER(_xlpm.p)),
      _xlpm.r-_xlpm.p,
      ""
   )
)
)</f>
        <v>1281.21</v>
      </c>
      <c r="L458" s="4">
        <f>_xlfn.LET(
_xlpm.p,RawData!L458,
_xlpm.r,RawData!J458,
_xlpm.c,RawData!K458,
IF(ISNUMBER(_xlpm.p),_xlpm.p,
IF(AND(ISNUMBER(_xlpm.r),ISNUMBER(_xlpm.c)),
_xlpm.r-_xlpm.c,
""
)
))</f>
        <v>658.42</v>
      </c>
    </row>
    <row r="459" spans="1:12" x14ac:dyDescent="0.35">
      <c r="A459" t="s">
        <v>500</v>
      </c>
      <c r="B459" s="7">
        <v>46001</v>
      </c>
      <c r="C459" t="str">
        <f>IF(RawData!C459="","Unknown",PROPER(TRIM(CLEAN(SUBSTITUTE(RawData!C459,CHAR(160)," ")))))</f>
        <v>South</v>
      </c>
      <c r="D459" t="str">
        <f>IF(RawData!D459="","Unknown",PROPER(TRIM(CLEAN(SUBSTITUTE(RawData!D459,CHAR(160)," ")))))</f>
        <v>Chennai</v>
      </c>
      <c r="E459" t="str">
        <f>IF(RawData!E459="","Unknown",PROPER(TRIM(CLEAN(SUBSTITUTE(RawData!E459,CHAR(160)," ")))))</f>
        <v>Printer</v>
      </c>
      <c r="F459" t="str">
        <f>IF(RawData!F459="","Unknown",PROPER(TRIM(CLEAN(SUBSTITUTE(RawData!F459,CHAR(160)," ")))))</f>
        <v>Office Supplies</v>
      </c>
      <c r="G459">
        <f>_xlfn.LET(
_xlpm.q,RawData!G459,
_xlpm.u,RawData!H459,
_xlpm.d,RawData!I459,
_xlpm.r,RawData!J459,
IF(AND(ISNUMBER(_xlpm.q),_xlpm.q&gt;0),_xlpm.q,
   IF(AND(ISNUMBER(_xlpm.r),ISNUMBER(_xlpm.u),_xlpm.u&gt;0,ISNUMBER(_xlpm.d),_xlpm.d&gt;=0,_xlpm.d&lt;1),
      ROUND(_xlpm.r/(_xlpm.u*(1-_xlpm.d)),0),
      ""
   )
)
)</f>
        <v>4</v>
      </c>
      <c r="H459" s="4">
        <f>_xlfn.LET(
_xlpm.q,RawData!G459,
_xlpm.u,RawData!H459,
_xlpm.d,RawData!I459,
_xlpm.r,RawData!J459,
IF(AND(ISNUMBER(_xlpm.u),_xlpm.u&gt;0),_xlpm.u,
   IF(AND(ISNUMBER(_xlpm.q),_xlpm.q&gt;0,ISNUMBER(_xlpm.r),ISNUMBER(_xlpm.d),_xlpm.d&gt;=0,_xlpm.d&lt;1),
      _xlpm.r/(_xlpm.q*(1-_xlpm.d)),
      ""
   )
)
)</f>
        <v>162.5</v>
      </c>
      <c r="I459" s="5">
        <f>_xlfn.LET(
_xlpm.q,RawData!G459,
_xlpm.u,RawData!H459,
_xlpm.d,RawData!I459,
_xlpm.r,RawData!J459,
IF(AND(ISNUMBER(_xlpm.d),_xlpm.d&gt;=0,_xlpm.d&lt;1),_xlpm.d,
   IF(AND(ISNUMBER(_xlpm.q),_xlpm.q&gt;0,ISNUMBER(_xlpm.u),_xlpm.u&gt;0,ISNUMBER(_xlpm.r),_xlpm.r&gt;=0),
      1-(_xlpm.r/(_xlpm.q*_xlpm.u)),
      ""
   )
)
)</f>
        <v>0.05</v>
      </c>
      <c r="J459" s="4">
        <f>_xlfn.LET(
_xlpm.q,RawData!G459,
_xlpm.u,RawData!H459,
_xlpm.d,RawData!I459,
_xlpm.r,RawData!J459,
IF(AND(ISNUMBER(_xlpm.r),_xlpm.r&gt;=0),_xlpm.r,
   IF(AND(ISNUMBER(_xlpm.q),_xlpm.q&gt;0,ISNUMBER(_xlpm.u),_xlpm.u&gt;0,ISNUMBER(_xlpm.d),_xlpm.d&gt;=0,_xlpm.d&lt;1),
      _xlpm.q*_xlpm.u*(1-_xlpm.d),
      ""
   )
)
)</f>
        <v>617.5</v>
      </c>
      <c r="K459" s="4">
        <f>_xlfn.LET(
_xlpm.c,RawData!K459,
_xlpm.r,RawData!J459,
_xlpm.p,RawData!L459,
IF(AND(ISNUMBER(_xlpm.c),_xlpm.c&gt;=0),_xlpm.c,
   IF(AND(ISNUMBER(_xlpm.r),ISNUMBER(_xlpm.p)),
      _xlpm.r-_xlpm.p,
      ""
   )
)
)</f>
        <v>412.34</v>
      </c>
      <c r="L459" s="4">
        <f>_xlfn.LET(
_xlpm.p,RawData!L459,
_xlpm.r,RawData!J459,
_xlpm.c,RawData!K459,
IF(ISNUMBER(_xlpm.p),_xlpm.p,
IF(AND(ISNUMBER(_xlpm.r),ISNUMBER(_xlpm.c)),
_xlpm.r-_xlpm.c,
""
)
))</f>
        <v>205.16</v>
      </c>
    </row>
    <row r="460" spans="1:12" x14ac:dyDescent="0.35">
      <c r="A460" t="s">
        <v>501</v>
      </c>
      <c r="B460" s="7">
        <v>45665</v>
      </c>
      <c r="C460" t="str">
        <f>IF(RawData!C460="","Unknown",PROPER(TRIM(CLEAN(SUBSTITUTE(RawData!C460,CHAR(160)," ")))))</f>
        <v>South</v>
      </c>
      <c r="D460" t="str">
        <f>IF(RawData!D460="","Unknown",PROPER(TRIM(CLEAN(SUBSTITUTE(RawData!D460,CHAR(160)," ")))))</f>
        <v>Chennai</v>
      </c>
      <c r="E460" t="str">
        <f>IF(RawData!E460="","Unknown",PROPER(TRIM(CLEAN(SUBSTITUTE(RawData!E460,CHAR(160)," ")))))</f>
        <v>Monitor</v>
      </c>
      <c r="F460" t="str">
        <f>IF(RawData!F460="","Unknown",PROPER(TRIM(CLEAN(SUBSTITUTE(RawData!F460,CHAR(160)," ")))))</f>
        <v>Electronics</v>
      </c>
      <c r="G460">
        <f>_xlfn.LET(
_xlpm.q,RawData!G460,
_xlpm.u,RawData!H460,
_xlpm.d,RawData!I460,
_xlpm.r,RawData!J460,
IF(AND(ISNUMBER(_xlpm.q),_xlpm.q&gt;0),_xlpm.q,
   IF(AND(ISNUMBER(_xlpm.r),ISNUMBER(_xlpm.u),_xlpm.u&gt;0,ISNUMBER(_xlpm.d),_xlpm.d&gt;=0,_xlpm.d&lt;1),
      ROUND(_xlpm.r/(_xlpm.u*(1-_xlpm.d)),0),
      ""
   )
)
)</f>
        <v>2</v>
      </c>
      <c r="H460" s="4">
        <f>_xlfn.LET(
_xlpm.q,RawData!G460,
_xlpm.u,RawData!H460,
_xlpm.d,RawData!I460,
_xlpm.r,RawData!J460,
IF(AND(ISNUMBER(_xlpm.u),_xlpm.u&gt;0),_xlpm.u,
   IF(AND(ISNUMBER(_xlpm.q),_xlpm.q&gt;0,ISNUMBER(_xlpm.r),ISNUMBER(_xlpm.d),_xlpm.d&gt;=0,_xlpm.d&lt;1),
      _xlpm.r/(_xlpm.q*(1-_xlpm.d)),
      ""
   )
)
)</f>
        <v>206.43</v>
      </c>
      <c r="I460" s="5">
        <f>_xlfn.LET(
_xlpm.q,RawData!G460,
_xlpm.u,RawData!H460,
_xlpm.d,RawData!I460,
_xlpm.r,RawData!J460,
IF(AND(ISNUMBER(_xlpm.d),_xlpm.d&gt;=0,_xlpm.d&lt;1),_xlpm.d,
   IF(AND(ISNUMBER(_xlpm.q),_xlpm.q&gt;0,ISNUMBER(_xlpm.u),_xlpm.u&gt;0,ISNUMBER(_xlpm.r),_xlpm.r&gt;=0),
      1-(_xlpm.r/(_xlpm.q*_xlpm.u)),
      ""
   )
)
)</f>
        <v>0.2</v>
      </c>
      <c r="J460" s="4">
        <f>_xlfn.LET(
_xlpm.q,RawData!G460,
_xlpm.u,RawData!H460,
_xlpm.d,RawData!I460,
_xlpm.r,RawData!J460,
IF(AND(ISNUMBER(_xlpm.r),_xlpm.r&gt;=0),_xlpm.r,
   IF(AND(ISNUMBER(_xlpm.q),_xlpm.q&gt;0,ISNUMBER(_xlpm.u),_xlpm.u&gt;0,ISNUMBER(_xlpm.d),_xlpm.d&gt;=0,_xlpm.d&lt;1),
      _xlpm.q*_xlpm.u*(1-_xlpm.d),
      ""
   )
)
)</f>
        <v>330.29</v>
      </c>
      <c r="K460" s="4">
        <f>_xlfn.LET(
_xlpm.c,RawData!K460,
_xlpm.r,RawData!J460,
_xlpm.p,RawData!L460,
IF(AND(ISNUMBER(_xlpm.c),_xlpm.c&gt;=0),_xlpm.c,
   IF(AND(ISNUMBER(_xlpm.r),ISNUMBER(_xlpm.p)),
      _xlpm.r-_xlpm.p,
      ""
   )
)
)</f>
        <v>266.24</v>
      </c>
      <c r="L460" s="4">
        <f>_xlfn.LET(
_xlpm.p,RawData!L460,
_xlpm.r,RawData!J460,
_xlpm.c,RawData!K460,
IF(ISNUMBER(_xlpm.p),_xlpm.p,
IF(AND(ISNUMBER(_xlpm.r),ISNUMBER(_xlpm.c)),
_xlpm.r-_xlpm.c,
""
)
))</f>
        <v>64.05</v>
      </c>
    </row>
    <row r="461" spans="1:12" x14ac:dyDescent="0.35">
      <c r="A461" t="s">
        <v>502</v>
      </c>
      <c r="B461" s="7">
        <v>45782</v>
      </c>
      <c r="C461" t="str">
        <f>IF(RawData!C461="","Unknown",PROPER(TRIM(CLEAN(SUBSTITUTE(RawData!C461,CHAR(160)," ")))))</f>
        <v>South</v>
      </c>
      <c r="D461" t="str">
        <f>IF(RawData!D461="","Unknown",PROPER(TRIM(CLEAN(SUBSTITUTE(RawData!D461,CHAR(160)," ")))))</f>
        <v>Chennai</v>
      </c>
      <c r="E461" t="str">
        <f>IF(RawData!E461="","Unknown",PROPER(TRIM(CLEAN(SUBSTITUTE(RawData!E461,CHAR(160)," ")))))</f>
        <v>Bookshelf</v>
      </c>
      <c r="F461" t="str">
        <f>IF(RawData!F461="","Unknown",PROPER(TRIM(CLEAN(SUBSTITUTE(RawData!F461,CHAR(160)," ")))))</f>
        <v>Furniture</v>
      </c>
      <c r="G461">
        <f>_xlfn.LET(
_xlpm.q,RawData!G461,
_xlpm.u,RawData!H461,
_xlpm.d,RawData!I461,
_xlpm.r,RawData!J461,
IF(AND(ISNUMBER(_xlpm.q),_xlpm.q&gt;0),_xlpm.q,
   IF(AND(ISNUMBER(_xlpm.r),ISNUMBER(_xlpm.u),_xlpm.u&gt;0,ISNUMBER(_xlpm.d),_xlpm.d&gt;=0,_xlpm.d&lt;1),
      ROUND(_xlpm.r/(_xlpm.u*(1-_xlpm.d)),0),
      ""
   )
)
)</f>
        <v>4</v>
      </c>
      <c r="H461" s="4">
        <f>_xlfn.LET(
_xlpm.q,RawData!G461,
_xlpm.u,RawData!H461,
_xlpm.d,RawData!I461,
_xlpm.r,RawData!J461,
IF(AND(ISNUMBER(_xlpm.u),_xlpm.u&gt;0),_xlpm.u,
   IF(AND(ISNUMBER(_xlpm.q),_xlpm.q&gt;0,ISNUMBER(_xlpm.r),ISNUMBER(_xlpm.d),_xlpm.d&gt;=0,_xlpm.d&lt;1),
      _xlpm.r/(_xlpm.q*(1-_xlpm.d)),
      ""
   )
)
)</f>
        <v>151.07</v>
      </c>
      <c r="I461" s="5">
        <f>_xlfn.LET(
_xlpm.q,RawData!G461,
_xlpm.u,RawData!H461,
_xlpm.d,RawData!I461,
_xlpm.r,RawData!J461,
IF(AND(ISNUMBER(_xlpm.d),_xlpm.d&gt;=0,_xlpm.d&lt;1),_xlpm.d,
   IF(AND(ISNUMBER(_xlpm.q),_xlpm.q&gt;0,ISNUMBER(_xlpm.u),_xlpm.u&gt;0,ISNUMBER(_xlpm.r),_xlpm.r&gt;=0),
      1-(_xlpm.r/(_xlpm.q*_xlpm.u)),
      ""
   )
)
)</f>
        <v>0.15</v>
      </c>
      <c r="J461" s="4">
        <f>_xlfn.LET(
_xlpm.q,RawData!G461,
_xlpm.u,RawData!H461,
_xlpm.d,RawData!I461,
_xlpm.r,RawData!J461,
IF(AND(ISNUMBER(_xlpm.r),_xlpm.r&gt;=0),_xlpm.r,
   IF(AND(ISNUMBER(_xlpm.q),_xlpm.q&gt;0,ISNUMBER(_xlpm.u),_xlpm.u&gt;0,ISNUMBER(_xlpm.d),_xlpm.d&gt;=0,_xlpm.d&lt;1),
      _xlpm.q*_xlpm.u*(1-_xlpm.d),
      ""
   )
)
)</f>
        <v>513.64</v>
      </c>
      <c r="K461" s="4">
        <f>_xlfn.LET(
_xlpm.c,RawData!K461,
_xlpm.r,RawData!J461,
_xlpm.p,RawData!L461,
IF(AND(ISNUMBER(_xlpm.c),_xlpm.c&gt;=0),_xlpm.c,
   IF(AND(ISNUMBER(_xlpm.r),ISNUMBER(_xlpm.p)),
      _xlpm.r-_xlpm.p,
      ""
   )
)
)</f>
        <v>301.93</v>
      </c>
      <c r="L461" s="4">
        <f>_xlfn.LET(
_xlpm.p,RawData!L461,
_xlpm.r,RawData!J461,
_xlpm.c,RawData!K461,
IF(ISNUMBER(_xlpm.p),_xlpm.p,
IF(AND(ISNUMBER(_xlpm.r),ISNUMBER(_xlpm.c)),
_xlpm.r-_xlpm.c,
""
)
))</f>
        <v>211.71</v>
      </c>
    </row>
    <row r="462" spans="1:12" x14ac:dyDescent="0.35">
      <c r="A462" t="s">
        <v>503</v>
      </c>
      <c r="B462" s="7">
        <v>45802</v>
      </c>
      <c r="C462" t="str">
        <f>IF(RawData!C462="","Unknown",PROPER(TRIM(CLEAN(SUBSTITUTE(RawData!C462,CHAR(160)," ")))))</f>
        <v>West</v>
      </c>
      <c r="D462" t="str">
        <f>IF(RawData!D462="","Unknown",PROPER(TRIM(CLEAN(SUBSTITUTE(RawData!D462,CHAR(160)," ")))))</f>
        <v>Pune</v>
      </c>
      <c r="E462" t="str">
        <f>IF(RawData!E462="","Unknown",PROPER(TRIM(CLEAN(SUBSTITUTE(RawData!E462,CHAR(160)," ")))))</f>
        <v>Printer</v>
      </c>
      <c r="F462" t="str">
        <f>IF(RawData!F462="","Unknown",PROPER(TRIM(CLEAN(SUBSTITUTE(RawData!F462,CHAR(160)," ")))))</f>
        <v>Office Supplies</v>
      </c>
      <c r="G462">
        <f>_xlfn.LET(
_xlpm.q,RawData!G462,
_xlpm.u,RawData!H462,
_xlpm.d,RawData!I462,
_xlpm.r,RawData!J462,
IF(AND(ISNUMBER(_xlpm.q),_xlpm.q&gt;0),_xlpm.q,
   IF(AND(ISNUMBER(_xlpm.r),ISNUMBER(_xlpm.u),_xlpm.u&gt;0,ISNUMBER(_xlpm.d),_xlpm.d&gt;=0,_xlpm.d&lt;1),
      ROUND(_xlpm.r/(_xlpm.u*(1-_xlpm.d)),0),
      ""
   )
)
)</f>
        <v>9</v>
      </c>
      <c r="H462" s="4">
        <f>_xlfn.LET(
_xlpm.q,RawData!G462,
_xlpm.u,RawData!H462,
_xlpm.d,RawData!I462,
_xlpm.r,RawData!J462,
IF(AND(ISNUMBER(_xlpm.u),_xlpm.u&gt;0),_xlpm.u,
   IF(AND(ISNUMBER(_xlpm.q),_xlpm.q&gt;0,ISNUMBER(_xlpm.r),ISNUMBER(_xlpm.d),_xlpm.d&gt;=0,_xlpm.d&lt;1),
      _xlpm.r/(_xlpm.q*(1-_xlpm.d)),
      ""
   )
)
)</f>
        <v>177.69</v>
      </c>
      <c r="I462" s="5">
        <f>_xlfn.LET(
_xlpm.q,RawData!G462,
_xlpm.u,RawData!H462,
_xlpm.d,RawData!I462,
_xlpm.r,RawData!J462,
IF(AND(ISNUMBER(_xlpm.d),_xlpm.d&gt;=0,_xlpm.d&lt;1),_xlpm.d,
   IF(AND(ISNUMBER(_xlpm.q),_xlpm.q&gt;0,ISNUMBER(_xlpm.u),_xlpm.u&gt;0,ISNUMBER(_xlpm.r),_xlpm.r&gt;=0),
      1-(_xlpm.r/(_xlpm.q*_xlpm.u)),
      ""
   )
)
)</f>
        <v>0.2</v>
      </c>
      <c r="J462" s="4">
        <f>_xlfn.LET(
_xlpm.q,RawData!G462,
_xlpm.u,RawData!H462,
_xlpm.d,RawData!I462,
_xlpm.r,RawData!J462,
IF(AND(ISNUMBER(_xlpm.r),_xlpm.r&gt;=0),_xlpm.r,
   IF(AND(ISNUMBER(_xlpm.q),_xlpm.q&gt;0,ISNUMBER(_xlpm.u),_xlpm.u&gt;0,ISNUMBER(_xlpm.d),_xlpm.d&gt;=0,_xlpm.d&lt;1),
      _xlpm.q*_xlpm.u*(1-_xlpm.d),
      ""
   )
)
)</f>
        <v>1279.3699999999999</v>
      </c>
      <c r="K462" s="4">
        <f>_xlfn.LET(
_xlpm.c,RawData!K462,
_xlpm.r,RawData!J462,
_xlpm.p,RawData!L462,
IF(AND(ISNUMBER(_xlpm.c),_xlpm.c&gt;=0),_xlpm.c,
   IF(AND(ISNUMBER(_xlpm.r),ISNUMBER(_xlpm.p)),
      _xlpm.r-_xlpm.p,
      ""
   )
)
)</f>
        <v>872.03</v>
      </c>
      <c r="L462" s="4">
        <f>_xlfn.LET(
_xlpm.p,RawData!L462,
_xlpm.r,RawData!J462,
_xlpm.c,RawData!K462,
IF(ISNUMBER(_xlpm.p),_xlpm.p,
IF(AND(ISNUMBER(_xlpm.r),ISNUMBER(_xlpm.c)),
_xlpm.r-_xlpm.c,
""
)
))</f>
        <v>407.34</v>
      </c>
    </row>
    <row r="463" spans="1:12" x14ac:dyDescent="0.35">
      <c r="A463" t="s">
        <v>504</v>
      </c>
      <c r="B463" s="7">
        <v>45815</v>
      </c>
      <c r="C463" t="str">
        <f>IF(RawData!C463="","Unknown",PROPER(TRIM(CLEAN(SUBSTITUTE(RawData!C463,CHAR(160)," ")))))</f>
        <v>East</v>
      </c>
      <c r="D463" t="str">
        <f>IF(RawData!D463="","Unknown",PROPER(TRIM(CLEAN(SUBSTITUTE(RawData!D463,CHAR(160)," ")))))</f>
        <v>Bhubaneswar</v>
      </c>
      <c r="E463" t="str">
        <f>IF(RawData!E463="","Unknown",PROPER(TRIM(CLEAN(SUBSTITUTE(RawData!E463,CHAR(160)," ")))))</f>
        <v>Desk</v>
      </c>
      <c r="F463" t="str">
        <f>IF(RawData!F463="","Unknown",PROPER(TRIM(CLEAN(SUBSTITUTE(RawData!F463,CHAR(160)," ")))))</f>
        <v>Furniture</v>
      </c>
      <c r="G463">
        <f>_xlfn.LET(
_xlpm.q,RawData!G463,
_xlpm.u,RawData!H463,
_xlpm.d,RawData!I463,
_xlpm.r,RawData!J463,
IF(AND(ISNUMBER(_xlpm.q),_xlpm.q&gt;0),_xlpm.q,
   IF(AND(ISNUMBER(_xlpm.r),ISNUMBER(_xlpm.u),_xlpm.u&gt;0,ISNUMBER(_xlpm.d),_xlpm.d&gt;=0,_xlpm.d&lt;1),
      ROUND(_xlpm.r/(_xlpm.u*(1-_xlpm.d)),0),
      ""
   )
)
)</f>
        <v>9</v>
      </c>
      <c r="H463" s="4">
        <f>_xlfn.LET(
_xlpm.q,RawData!G463,
_xlpm.u,RawData!H463,
_xlpm.d,RawData!I463,
_xlpm.r,RawData!J463,
IF(AND(ISNUMBER(_xlpm.u),_xlpm.u&gt;0),_xlpm.u,
   IF(AND(ISNUMBER(_xlpm.q),_xlpm.q&gt;0,ISNUMBER(_xlpm.r),ISNUMBER(_xlpm.d),_xlpm.d&gt;=0,_xlpm.d&lt;1),
      _xlpm.r/(_xlpm.q*(1-_xlpm.d)),
      ""
   )
)
)</f>
        <v>279.58999999999997</v>
      </c>
      <c r="I463" s="5">
        <f>_xlfn.LET(
_xlpm.q,RawData!G463,
_xlpm.u,RawData!H463,
_xlpm.d,RawData!I463,
_xlpm.r,RawData!J463,
IF(AND(ISNUMBER(_xlpm.d),_xlpm.d&gt;=0,_xlpm.d&lt;1),_xlpm.d,
   IF(AND(ISNUMBER(_xlpm.q),_xlpm.q&gt;0,ISNUMBER(_xlpm.u),_xlpm.u&gt;0,ISNUMBER(_xlpm.r),_xlpm.r&gt;=0),
      1-(_xlpm.r/(_xlpm.q*_xlpm.u)),
      ""
   )
)
)</f>
        <v>0.1</v>
      </c>
      <c r="J463" s="4">
        <f>_xlfn.LET(
_xlpm.q,RawData!G463,
_xlpm.u,RawData!H463,
_xlpm.d,RawData!I463,
_xlpm.r,RawData!J463,
IF(AND(ISNUMBER(_xlpm.r),_xlpm.r&gt;=0),_xlpm.r,
   IF(AND(ISNUMBER(_xlpm.q),_xlpm.q&gt;0,ISNUMBER(_xlpm.u),_xlpm.u&gt;0,ISNUMBER(_xlpm.d),_xlpm.d&gt;=0,_xlpm.d&lt;1),
      _xlpm.q*_xlpm.u*(1-_xlpm.d),
      ""
   )
)
)</f>
        <v>2264.6799999999998</v>
      </c>
      <c r="K463" s="4">
        <f>_xlfn.LET(
_xlpm.c,RawData!K463,
_xlpm.r,RawData!J463,
_xlpm.p,RawData!L463,
IF(AND(ISNUMBER(_xlpm.c),_xlpm.c&gt;=0),_xlpm.c,
   IF(AND(ISNUMBER(_xlpm.r),ISNUMBER(_xlpm.p)),
      _xlpm.r-_xlpm.p,
      ""
   )
)
)</f>
        <v>1734.66</v>
      </c>
      <c r="L463" s="4">
        <f>_xlfn.LET(
_xlpm.p,RawData!L463,
_xlpm.r,RawData!J463,
_xlpm.c,RawData!K463,
IF(ISNUMBER(_xlpm.p),_xlpm.p,
IF(AND(ISNUMBER(_xlpm.r),ISNUMBER(_xlpm.c)),
_xlpm.r-_xlpm.c,
""
)
))</f>
        <v>530.02</v>
      </c>
    </row>
    <row r="464" spans="1:12" x14ac:dyDescent="0.35">
      <c r="A464" t="s">
        <v>505</v>
      </c>
      <c r="B464" s="7">
        <v>45708</v>
      </c>
      <c r="C464" t="str">
        <f>IF(RawData!C464="","Unknown",PROPER(TRIM(CLEAN(SUBSTITUTE(RawData!C464,CHAR(160)," ")))))</f>
        <v>West</v>
      </c>
      <c r="D464" t="str">
        <f>IF(RawData!D464="","Unknown",PROPER(TRIM(CLEAN(SUBSTITUTE(RawData!D464,CHAR(160)," ")))))</f>
        <v>Pune</v>
      </c>
      <c r="E464" t="str">
        <f>IF(RawData!E464="","Unknown",PROPER(TRIM(CLEAN(SUBSTITUTE(RawData!E464,CHAR(160)," ")))))</f>
        <v>Desk</v>
      </c>
      <c r="F464" t="str">
        <f>IF(RawData!F464="","Unknown",PROPER(TRIM(CLEAN(SUBSTITUTE(RawData!F464,CHAR(160)," ")))))</f>
        <v>Furniture</v>
      </c>
      <c r="G464">
        <f>_xlfn.LET(
_xlpm.q,RawData!G464,
_xlpm.u,RawData!H464,
_xlpm.d,RawData!I464,
_xlpm.r,RawData!J464,
IF(AND(ISNUMBER(_xlpm.q),_xlpm.q&gt;0),_xlpm.q,
   IF(AND(ISNUMBER(_xlpm.r),ISNUMBER(_xlpm.u),_xlpm.u&gt;0,ISNUMBER(_xlpm.d),_xlpm.d&gt;=0,_xlpm.d&lt;1),
      ROUND(_xlpm.r/(_xlpm.u*(1-_xlpm.d)),0),
      ""
   )
)
)</f>
        <v>4</v>
      </c>
      <c r="H464" s="4">
        <f>_xlfn.LET(
_xlpm.q,RawData!G464,
_xlpm.u,RawData!H464,
_xlpm.d,RawData!I464,
_xlpm.r,RawData!J464,
IF(AND(ISNUMBER(_xlpm.u),_xlpm.u&gt;0),_xlpm.u,
   IF(AND(ISNUMBER(_xlpm.q),_xlpm.q&gt;0,ISNUMBER(_xlpm.r),ISNUMBER(_xlpm.d),_xlpm.d&gt;=0,_xlpm.d&lt;1),
      _xlpm.r/(_xlpm.q*(1-_xlpm.d)),
      ""
   )
)
)</f>
        <v>244.39</v>
      </c>
      <c r="I464" s="5">
        <f>_xlfn.LET(
_xlpm.q,RawData!G464,
_xlpm.u,RawData!H464,
_xlpm.d,RawData!I464,
_xlpm.r,RawData!J464,
IF(AND(ISNUMBER(_xlpm.d),_xlpm.d&gt;=0,_xlpm.d&lt;1),_xlpm.d,
   IF(AND(ISNUMBER(_xlpm.q),_xlpm.q&gt;0,ISNUMBER(_xlpm.u),_xlpm.u&gt;0,ISNUMBER(_xlpm.r),_xlpm.r&gt;=0),
      1-(_xlpm.r/(_xlpm.q*_xlpm.u)),
      ""
   )
)
)</f>
        <v>0.05</v>
      </c>
      <c r="J464" s="4">
        <f>_xlfn.LET(
_xlpm.q,RawData!G464,
_xlpm.u,RawData!H464,
_xlpm.d,RawData!I464,
_xlpm.r,RawData!J464,
IF(AND(ISNUMBER(_xlpm.r),_xlpm.r&gt;=0),_xlpm.r,
   IF(AND(ISNUMBER(_xlpm.q),_xlpm.q&gt;0,ISNUMBER(_xlpm.u),_xlpm.u&gt;0,ISNUMBER(_xlpm.d),_xlpm.d&gt;=0,_xlpm.d&lt;1),
      _xlpm.q*_xlpm.u*(1-_xlpm.d),
      ""
   )
)
)</f>
        <v>928.68</v>
      </c>
      <c r="K464" s="4">
        <f>_xlfn.LET(
_xlpm.c,RawData!K464,
_xlpm.r,RawData!J464,
_xlpm.p,RawData!L464,
IF(AND(ISNUMBER(_xlpm.c),_xlpm.c&gt;=0),_xlpm.c,
   IF(AND(ISNUMBER(_xlpm.r),ISNUMBER(_xlpm.p)),
      _xlpm.r-_xlpm.p,
      ""
   )
)
)</f>
        <v>516.41</v>
      </c>
      <c r="L464" s="4">
        <f>_xlfn.LET(
_xlpm.p,RawData!L464,
_xlpm.r,RawData!J464,
_xlpm.c,RawData!K464,
IF(ISNUMBER(_xlpm.p),_xlpm.p,
IF(AND(ISNUMBER(_xlpm.r),ISNUMBER(_xlpm.c)),
_xlpm.r-_xlpm.c,
""
)
))</f>
        <v>412.27</v>
      </c>
    </row>
    <row r="465" spans="1:12" x14ac:dyDescent="0.35">
      <c r="A465" t="s">
        <v>506</v>
      </c>
      <c r="B465" s="7">
        <v>45869</v>
      </c>
      <c r="C465" t="str">
        <f>IF(RawData!C465="","Unknown",PROPER(TRIM(CLEAN(SUBSTITUTE(RawData!C465,CHAR(160)," ")))))</f>
        <v>North</v>
      </c>
      <c r="D465" t="str">
        <f>IF(RawData!D465="","Unknown",PROPER(TRIM(CLEAN(SUBSTITUTE(RawData!D465,CHAR(160)," ")))))</f>
        <v>Delhi</v>
      </c>
      <c r="E465" t="str">
        <f>IF(RawData!E465="","Unknown",PROPER(TRIM(CLEAN(SUBSTITUTE(RawData!E465,CHAR(160)," ")))))</f>
        <v>Pen Set</v>
      </c>
      <c r="F465" t="str">
        <f>IF(RawData!F465="","Unknown",PROPER(TRIM(CLEAN(SUBSTITUTE(RawData!F465,CHAR(160)," ")))))</f>
        <v>Office Supplies</v>
      </c>
      <c r="G465">
        <f>_xlfn.LET(
_xlpm.q,RawData!G465,
_xlpm.u,RawData!H465,
_xlpm.d,RawData!I465,
_xlpm.r,RawData!J465,
IF(AND(ISNUMBER(_xlpm.q),_xlpm.q&gt;0),_xlpm.q,
   IF(AND(ISNUMBER(_xlpm.r),ISNUMBER(_xlpm.u),_xlpm.u&gt;0,ISNUMBER(_xlpm.d),_xlpm.d&gt;=0,_xlpm.d&lt;1),
      ROUND(_xlpm.r/(_xlpm.u*(1-_xlpm.d)),0),
      ""
   )
)
)</f>
        <v>4</v>
      </c>
      <c r="H465" s="4">
        <f>_xlfn.LET(
_xlpm.q,RawData!G465,
_xlpm.u,RawData!H465,
_xlpm.d,RawData!I465,
_xlpm.r,RawData!J465,
IF(AND(ISNUMBER(_xlpm.u),_xlpm.u&gt;0),_xlpm.u,
   IF(AND(ISNUMBER(_xlpm.q),_xlpm.q&gt;0,ISNUMBER(_xlpm.r),ISNUMBER(_xlpm.d),_xlpm.d&gt;=0,_xlpm.d&lt;1),
      _xlpm.r/(_xlpm.q*(1-_xlpm.d)),
      ""
   )
)
)</f>
        <v>11.17</v>
      </c>
      <c r="I465" s="5">
        <f>_xlfn.LET(
_xlpm.q,RawData!G465,
_xlpm.u,RawData!H465,
_xlpm.d,RawData!I465,
_xlpm.r,RawData!J465,
IF(AND(ISNUMBER(_xlpm.d),_xlpm.d&gt;=0,_xlpm.d&lt;1),_xlpm.d,
   IF(AND(ISNUMBER(_xlpm.q),_xlpm.q&gt;0,ISNUMBER(_xlpm.u),_xlpm.u&gt;0,ISNUMBER(_xlpm.r),_xlpm.r&gt;=0),
      1-(_xlpm.r/(_xlpm.q*_xlpm.u)),
      ""
   )
)
)</f>
        <v>0.2</v>
      </c>
      <c r="J465" s="4">
        <f>_xlfn.LET(
_xlpm.q,RawData!G465,
_xlpm.u,RawData!H465,
_xlpm.d,RawData!I465,
_xlpm.r,RawData!J465,
IF(AND(ISNUMBER(_xlpm.r),_xlpm.r&gt;=0),_xlpm.r,
   IF(AND(ISNUMBER(_xlpm.q),_xlpm.q&gt;0,ISNUMBER(_xlpm.u),_xlpm.u&gt;0,ISNUMBER(_xlpm.d),_xlpm.d&gt;=0,_xlpm.d&lt;1),
      _xlpm.q*_xlpm.u*(1-_xlpm.d),
      ""
   )
)
)</f>
        <v>35.74</v>
      </c>
      <c r="K465" s="4">
        <f>_xlfn.LET(
_xlpm.c,RawData!K465,
_xlpm.r,RawData!J465,
_xlpm.p,RawData!L465,
IF(AND(ISNUMBER(_xlpm.c),_xlpm.c&gt;=0),_xlpm.c,
   IF(AND(ISNUMBER(_xlpm.r),ISNUMBER(_xlpm.p)),
      _xlpm.r-_xlpm.p,
      ""
   )
)
)</f>
        <v>24.88</v>
      </c>
      <c r="L465" s="4">
        <f>_xlfn.LET(
_xlpm.p,RawData!L465,
_xlpm.r,RawData!J465,
_xlpm.c,RawData!K465,
IF(ISNUMBER(_xlpm.p),_xlpm.p,
IF(AND(ISNUMBER(_xlpm.r),ISNUMBER(_xlpm.c)),
_xlpm.r-_xlpm.c,
""
)
))</f>
        <v>10.86</v>
      </c>
    </row>
    <row r="466" spans="1:12" x14ac:dyDescent="0.35">
      <c r="A466" t="s">
        <v>507</v>
      </c>
      <c r="B466" s="7">
        <v>45666</v>
      </c>
      <c r="C466" t="str">
        <f>IF(RawData!C466="","Unknown",PROPER(TRIM(CLEAN(SUBSTITUTE(RawData!C466,CHAR(160)," ")))))</f>
        <v>East</v>
      </c>
      <c r="D466" t="str">
        <f>IF(RawData!D466="","Unknown",PROPER(TRIM(CLEAN(SUBSTITUTE(RawData!D466,CHAR(160)," ")))))</f>
        <v>Patna</v>
      </c>
      <c r="E466" t="str">
        <f>IF(RawData!E466="","Unknown",PROPER(TRIM(CLEAN(SUBSTITUTE(RawData!E466,CHAR(160)," ")))))</f>
        <v>Notebook</v>
      </c>
      <c r="F466" t="str">
        <f>IF(RawData!F466="","Unknown",PROPER(TRIM(CLEAN(SUBSTITUTE(RawData!F466,CHAR(160)," ")))))</f>
        <v>Office Supplies</v>
      </c>
      <c r="G466">
        <f>_xlfn.LET(
_xlpm.q,RawData!G466,
_xlpm.u,RawData!H466,
_xlpm.d,RawData!I466,
_xlpm.r,RawData!J466,
IF(AND(ISNUMBER(_xlpm.q),_xlpm.q&gt;0),_xlpm.q,
   IF(AND(ISNUMBER(_xlpm.r),ISNUMBER(_xlpm.u),_xlpm.u&gt;0,ISNUMBER(_xlpm.d),_xlpm.d&gt;=0,_xlpm.d&lt;1),
      ROUND(_xlpm.r/(_xlpm.u*(1-_xlpm.d)),0),
      ""
   )
)
)</f>
        <v>10</v>
      </c>
      <c r="H466" s="4">
        <f>_xlfn.LET(
_xlpm.q,RawData!G466,
_xlpm.u,RawData!H466,
_xlpm.d,RawData!I466,
_xlpm.r,RawData!J466,
IF(AND(ISNUMBER(_xlpm.u),_xlpm.u&gt;0),_xlpm.u,
   IF(AND(ISNUMBER(_xlpm.q),_xlpm.q&gt;0,ISNUMBER(_xlpm.r),ISNUMBER(_xlpm.d),_xlpm.d&gt;=0,_xlpm.d&lt;1),
      _xlpm.r/(_xlpm.q*(1-_xlpm.d)),
      ""
   )
)
)</f>
        <v>8.32</v>
      </c>
      <c r="I466" s="5">
        <f>_xlfn.LET(
_xlpm.q,RawData!G466,
_xlpm.u,RawData!H466,
_xlpm.d,RawData!I466,
_xlpm.r,RawData!J466,
IF(AND(ISNUMBER(_xlpm.d),_xlpm.d&gt;=0,_xlpm.d&lt;1),_xlpm.d,
   IF(AND(ISNUMBER(_xlpm.q),_xlpm.q&gt;0,ISNUMBER(_xlpm.u),_xlpm.u&gt;0,ISNUMBER(_xlpm.r),_xlpm.r&gt;=0),
      1-(_xlpm.r/(_xlpm.q*_xlpm.u)),
      ""
   )
)
)</f>
        <v>0.15</v>
      </c>
      <c r="J466" s="4">
        <f>_xlfn.LET(
_xlpm.q,RawData!G466,
_xlpm.u,RawData!H466,
_xlpm.d,RawData!I466,
_xlpm.r,RawData!J466,
IF(AND(ISNUMBER(_xlpm.r),_xlpm.r&gt;=0),_xlpm.r,
   IF(AND(ISNUMBER(_xlpm.q),_xlpm.q&gt;0,ISNUMBER(_xlpm.u),_xlpm.u&gt;0,ISNUMBER(_xlpm.d),_xlpm.d&gt;=0,_xlpm.d&lt;1),
      _xlpm.q*_xlpm.u*(1-_xlpm.d),
      ""
   )
)
)</f>
        <v>70.72</v>
      </c>
      <c r="K466" s="4">
        <f>_xlfn.LET(
_xlpm.c,RawData!K466,
_xlpm.r,RawData!J466,
_xlpm.p,RawData!L466,
IF(AND(ISNUMBER(_xlpm.c),_xlpm.c&gt;=0),_xlpm.c,
   IF(AND(ISNUMBER(_xlpm.r),ISNUMBER(_xlpm.p)),
      _xlpm.r-_xlpm.p,
      ""
   )
)
)</f>
        <v>43.82</v>
      </c>
      <c r="L466" s="4">
        <f>_xlfn.LET(
_xlpm.p,RawData!L466,
_xlpm.r,RawData!J466,
_xlpm.c,RawData!K466,
IF(ISNUMBER(_xlpm.p),_xlpm.p,
IF(AND(ISNUMBER(_xlpm.r),ISNUMBER(_xlpm.c)),
_xlpm.r-_xlpm.c,
""
)
))</f>
        <v>26.9</v>
      </c>
    </row>
    <row r="467" spans="1:12" x14ac:dyDescent="0.35">
      <c r="A467" t="s">
        <v>508</v>
      </c>
      <c r="B467" s="7">
        <v>45871</v>
      </c>
      <c r="C467" t="str">
        <f>IF(RawData!C467="","Unknown",PROPER(TRIM(CLEAN(SUBSTITUTE(RawData!C467,CHAR(160)," ")))))</f>
        <v>East</v>
      </c>
      <c r="D467" t="str">
        <f>IF(RawData!D467="","Unknown",PROPER(TRIM(CLEAN(SUBSTITUTE(RawData!D467,CHAR(160)," ")))))</f>
        <v>Kolkata</v>
      </c>
      <c r="E467" t="str">
        <f>IF(RawData!E467="","Unknown",PROPER(TRIM(CLEAN(SUBSTITUTE(RawData!E467,CHAR(160)," ")))))</f>
        <v>Headphones</v>
      </c>
      <c r="F467" t="str">
        <f>IF(RawData!F467="","Unknown",PROPER(TRIM(CLEAN(SUBSTITUTE(RawData!F467,CHAR(160)," ")))))</f>
        <v>Electronics</v>
      </c>
      <c r="G467">
        <f>_xlfn.LET(
_xlpm.q,RawData!G467,
_xlpm.u,RawData!H467,
_xlpm.d,RawData!I467,
_xlpm.r,RawData!J467,
IF(AND(ISNUMBER(_xlpm.q),_xlpm.q&gt;0),_xlpm.q,
   IF(AND(ISNUMBER(_xlpm.r),ISNUMBER(_xlpm.u),_xlpm.u&gt;0,ISNUMBER(_xlpm.d),_xlpm.d&gt;=0,_xlpm.d&lt;1),
      ROUND(_xlpm.r/(_xlpm.u*(1-_xlpm.d)),0),
      ""
   )
)
)</f>
        <v>4</v>
      </c>
      <c r="H467" s="4">
        <f>_xlfn.LET(
_xlpm.q,RawData!G467,
_xlpm.u,RawData!H467,
_xlpm.d,RawData!I467,
_xlpm.r,RawData!J467,
IF(AND(ISNUMBER(_xlpm.u),_xlpm.u&gt;0),_xlpm.u,
   IF(AND(ISNUMBER(_xlpm.q),_xlpm.q&gt;0,ISNUMBER(_xlpm.r),ISNUMBER(_xlpm.d),_xlpm.d&gt;=0,_xlpm.d&lt;1),
      _xlpm.r/(_xlpm.q*(1-_xlpm.d)),
      ""
   )
)
)</f>
        <v>71.34</v>
      </c>
      <c r="I467" s="5">
        <f>_xlfn.LET(
_xlpm.q,RawData!G467,
_xlpm.u,RawData!H467,
_xlpm.d,RawData!I467,
_xlpm.r,RawData!J467,
IF(AND(ISNUMBER(_xlpm.d),_xlpm.d&gt;=0,_xlpm.d&lt;1),_xlpm.d,
   IF(AND(ISNUMBER(_xlpm.q),_xlpm.q&gt;0,ISNUMBER(_xlpm.u),_xlpm.u&gt;0,ISNUMBER(_xlpm.r),_xlpm.r&gt;=0),
      1-(_xlpm.r/(_xlpm.q*_xlpm.u)),
      ""
   )
)
)</f>
        <v>0.05</v>
      </c>
      <c r="J467" s="4">
        <f>_xlfn.LET(
_xlpm.q,RawData!G467,
_xlpm.u,RawData!H467,
_xlpm.d,RawData!I467,
_xlpm.r,RawData!J467,
IF(AND(ISNUMBER(_xlpm.r),_xlpm.r&gt;=0),_xlpm.r,
   IF(AND(ISNUMBER(_xlpm.q),_xlpm.q&gt;0,ISNUMBER(_xlpm.u),_xlpm.u&gt;0,ISNUMBER(_xlpm.d),_xlpm.d&gt;=0,_xlpm.d&lt;1),
      _xlpm.q*_xlpm.u*(1-_xlpm.d),
      ""
   )
)
)</f>
        <v>271.08999999999997</v>
      </c>
      <c r="K467" s="4">
        <f>_xlfn.LET(
_xlpm.c,RawData!K467,
_xlpm.r,RawData!J467,
_xlpm.p,RawData!L467,
IF(AND(ISNUMBER(_xlpm.c),_xlpm.c&gt;=0),_xlpm.c,
   IF(AND(ISNUMBER(_xlpm.r),ISNUMBER(_xlpm.p)),
      _xlpm.r-_xlpm.p,
      ""
   )
)
)</f>
        <v>210.21</v>
      </c>
      <c r="L467" s="4">
        <f>_xlfn.LET(
_xlpm.p,RawData!L467,
_xlpm.r,RawData!J467,
_xlpm.c,RawData!K467,
IF(ISNUMBER(_xlpm.p),_xlpm.p,
IF(AND(ISNUMBER(_xlpm.r),ISNUMBER(_xlpm.c)),
_xlpm.r-_xlpm.c,
""
)
))</f>
        <v>60.88</v>
      </c>
    </row>
    <row r="468" spans="1:12" x14ac:dyDescent="0.35">
      <c r="A468" t="s">
        <v>509</v>
      </c>
      <c r="B468" s="7">
        <v>45852</v>
      </c>
      <c r="C468" t="str">
        <f>IF(RawData!C468="","Unknown",PROPER(TRIM(CLEAN(SUBSTITUTE(RawData!C468,CHAR(160)," ")))))</f>
        <v>South</v>
      </c>
      <c r="D468" t="str">
        <f>IF(RawData!D468="","Unknown",PROPER(TRIM(CLEAN(SUBSTITUTE(RawData!D468,CHAR(160)," ")))))</f>
        <v>Bengaluru</v>
      </c>
      <c r="E468" t="str">
        <f>IF(RawData!E468="","Unknown",PROPER(TRIM(CLEAN(SUBSTITUTE(RawData!E468,CHAR(160)," ")))))</f>
        <v>Printer</v>
      </c>
      <c r="F468" t="str">
        <f>IF(RawData!F468="","Unknown",PROPER(TRIM(CLEAN(SUBSTITUTE(RawData!F468,CHAR(160)," ")))))</f>
        <v>Office Supplies</v>
      </c>
      <c r="G468">
        <f>_xlfn.LET(
_xlpm.q,RawData!G468,
_xlpm.u,RawData!H468,
_xlpm.d,RawData!I468,
_xlpm.r,RawData!J468,
IF(AND(ISNUMBER(_xlpm.q),_xlpm.q&gt;0),_xlpm.q,
   IF(AND(ISNUMBER(_xlpm.r),ISNUMBER(_xlpm.u),_xlpm.u&gt;0,ISNUMBER(_xlpm.d),_xlpm.d&gt;=0,_xlpm.d&lt;1),
      ROUND(_xlpm.r/(_xlpm.u*(1-_xlpm.d)),0),
      ""
   )
)
)</f>
        <v>9</v>
      </c>
      <c r="H468" s="4">
        <f>_xlfn.LET(
_xlpm.q,RawData!G468,
_xlpm.u,RawData!H468,
_xlpm.d,RawData!I468,
_xlpm.r,RawData!J468,
IF(AND(ISNUMBER(_xlpm.u),_xlpm.u&gt;0),_xlpm.u,
   IF(AND(ISNUMBER(_xlpm.q),_xlpm.q&gt;0,ISNUMBER(_xlpm.r),ISNUMBER(_xlpm.d),_xlpm.d&gt;=0,_xlpm.d&lt;1),
      _xlpm.r/(_xlpm.q*(1-_xlpm.d)),
      ""
   )
)
)</f>
        <v>183.25</v>
      </c>
      <c r="I468" s="5">
        <f>_xlfn.LET(
_xlpm.q,RawData!G468,
_xlpm.u,RawData!H468,
_xlpm.d,RawData!I468,
_xlpm.r,RawData!J468,
IF(AND(ISNUMBER(_xlpm.d),_xlpm.d&gt;=0,_xlpm.d&lt;1),_xlpm.d,
   IF(AND(ISNUMBER(_xlpm.q),_xlpm.q&gt;0,ISNUMBER(_xlpm.u),_xlpm.u&gt;0,ISNUMBER(_xlpm.r),_xlpm.r&gt;=0),
      1-(_xlpm.r/(_xlpm.q*_xlpm.u)),
      ""
   )
)
)</f>
        <v>0.2</v>
      </c>
      <c r="J468" s="4">
        <f>_xlfn.LET(
_xlpm.q,RawData!G468,
_xlpm.u,RawData!H468,
_xlpm.d,RawData!I468,
_xlpm.r,RawData!J468,
IF(AND(ISNUMBER(_xlpm.r),_xlpm.r&gt;=0),_xlpm.r,
   IF(AND(ISNUMBER(_xlpm.q),_xlpm.q&gt;0,ISNUMBER(_xlpm.u),_xlpm.u&gt;0,ISNUMBER(_xlpm.d),_xlpm.d&gt;=0,_xlpm.d&lt;1),
      _xlpm.q*_xlpm.u*(1-_xlpm.d),
      ""
   )
)
)</f>
        <v>1319.4</v>
      </c>
      <c r="K468" s="4">
        <f>_xlfn.LET(
_xlpm.c,RawData!K468,
_xlpm.r,RawData!J468,
_xlpm.p,RawData!L468,
IF(AND(ISNUMBER(_xlpm.c),_xlpm.c&gt;=0),_xlpm.c,
   IF(AND(ISNUMBER(_xlpm.r),ISNUMBER(_xlpm.p)),
      _xlpm.r-_xlpm.p,
      ""
   )
)
)</f>
        <v>912.94</v>
      </c>
      <c r="L468" s="4">
        <f>_xlfn.LET(
_xlpm.p,RawData!L468,
_xlpm.r,RawData!J468,
_xlpm.c,RawData!K468,
IF(ISNUMBER(_xlpm.p),_xlpm.p,
IF(AND(ISNUMBER(_xlpm.r),ISNUMBER(_xlpm.c)),
_xlpm.r-_xlpm.c,
""
)
))</f>
        <v>406.46</v>
      </c>
    </row>
    <row r="469" spans="1:12" x14ac:dyDescent="0.35">
      <c r="A469" t="s">
        <v>510</v>
      </c>
      <c r="B469" s="7">
        <v>45830</v>
      </c>
      <c r="C469" t="str">
        <f>IF(RawData!C469="","Unknown",PROPER(TRIM(CLEAN(SUBSTITUTE(RawData!C469,CHAR(160)," ")))))</f>
        <v>East</v>
      </c>
      <c r="D469" t="str">
        <f>IF(RawData!D469="","Unknown",PROPER(TRIM(CLEAN(SUBSTITUTE(RawData!D469,CHAR(160)," ")))))</f>
        <v>Kolkata</v>
      </c>
      <c r="E469" t="str">
        <f>IF(RawData!E469="","Unknown",PROPER(TRIM(CLEAN(SUBSTITUTE(RawData!E469,CHAR(160)," ")))))</f>
        <v>Printer</v>
      </c>
      <c r="F469" t="str">
        <f>IF(RawData!F469="","Unknown",PROPER(TRIM(CLEAN(SUBSTITUTE(RawData!F469,CHAR(160)," ")))))</f>
        <v>Office Supplies</v>
      </c>
      <c r="G469">
        <f>_xlfn.LET(
_xlpm.q,RawData!G469,
_xlpm.u,RawData!H469,
_xlpm.d,RawData!I469,
_xlpm.r,RawData!J469,
IF(AND(ISNUMBER(_xlpm.q),_xlpm.q&gt;0),_xlpm.q,
   IF(AND(ISNUMBER(_xlpm.r),ISNUMBER(_xlpm.u),_xlpm.u&gt;0,ISNUMBER(_xlpm.d),_xlpm.d&gt;=0,_xlpm.d&lt;1),
      ROUND(_xlpm.r/(_xlpm.u*(1-_xlpm.d)),0),
      ""
   )
)
)</f>
        <v>8</v>
      </c>
      <c r="H469" s="4">
        <f>_xlfn.LET(
_xlpm.q,RawData!G469,
_xlpm.u,RawData!H469,
_xlpm.d,RawData!I469,
_xlpm.r,RawData!J469,
IF(AND(ISNUMBER(_xlpm.u),_xlpm.u&gt;0),_xlpm.u,
   IF(AND(ISNUMBER(_xlpm.q),_xlpm.q&gt;0,ISNUMBER(_xlpm.r),ISNUMBER(_xlpm.d),_xlpm.d&gt;=0,_xlpm.d&lt;1),
      _xlpm.r/(_xlpm.q*(1-_xlpm.d)),
      ""
   )
)
)</f>
        <v>144.24</v>
      </c>
      <c r="I469" s="5">
        <f>_xlfn.LET(
_xlpm.q,RawData!G469,
_xlpm.u,RawData!H469,
_xlpm.d,RawData!I469,
_xlpm.r,RawData!J469,
IF(AND(ISNUMBER(_xlpm.d),_xlpm.d&gt;=0,_xlpm.d&lt;1),_xlpm.d,
   IF(AND(ISNUMBER(_xlpm.q),_xlpm.q&gt;0,ISNUMBER(_xlpm.u),_xlpm.u&gt;0,ISNUMBER(_xlpm.r),_xlpm.r&gt;=0),
      1-(_xlpm.r/(_xlpm.q*_xlpm.u)),
      ""
   )
)
)</f>
        <v>0.1</v>
      </c>
      <c r="J469" s="4">
        <f>_xlfn.LET(
_xlpm.q,RawData!G469,
_xlpm.u,RawData!H469,
_xlpm.d,RawData!I469,
_xlpm.r,RawData!J469,
IF(AND(ISNUMBER(_xlpm.r),_xlpm.r&gt;=0),_xlpm.r,
   IF(AND(ISNUMBER(_xlpm.q),_xlpm.q&gt;0,ISNUMBER(_xlpm.u),_xlpm.u&gt;0,ISNUMBER(_xlpm.d),_xlpm.d&gt;=0,_xlpm.d&lt;1),
      _xlpm.q*_xlpm.u*(1-_xlpm.d),
      ""
   )
)
)</f>
        <v>1038.53</v>
      </c>
      <c r="K469" s="4">
        <f>_xlfn.LET(
_xlpm.c,RawData!K469,
_xlpm.r,RawData!J469,
_xlpm.p,RawData!L469,
IF(AND(ISNUMBER(_xlpm.c),_xlpm.c&gt;=0),_xlpm.c,
   IF(AND(ISNUMBER(_xlpm.r),ISNUMBER(_xlpm.p)),
      _xlpm.r-_xlpm.p,
      ""
   )
)
)</f>
        <v>647.54999999999995</v>
      </c>
      <c r="L469" s="4">
        <f>_xlfn.LET(
_xlpm.p,RawData!L469,
_xlpm.r,RawData!J469,
_xlpm.c,RawData!K469,
IF(ISNUMBER(_xlpm.p),_xlpm.p,
IF(AND(ISNUMBER(_xlpm.r),ISNUMBER(_xlpm.c)),
_xlpm.r-_xlpm.c,
""
)
))</f>
        <v>390.98</v>
      </c>
    </row>
    <row r="470" spans="1:12" x14ac:dyDescent="0.35">
      <c r="A470" t="s">
        <v>511</v>
      </c>
      <c r="B470" s="7">
        <v>45838</v>
      </c>
      <c r="C470" t="str">
        <f>IF(RawData!C470="","Unknown",PROPER(TRIM(CLEAN(SUBSTITUTE(RawData!C470,CHAR(160)," ")))))</f>
        <v>South</v>
      </c>
      <c r="D470" t="str">
        <f>IF(RawData!D470="","Unknown",PROPER(TRIM(CLEAN(SUBSTITUTE(RawData!D470,CHAR(160)," ")))))</f>
        <v>Hyderabad</v>
      </c>
      <c r="E470" t="str">
        <f>IF(RawData!E470="","Unknown",PROPER(TRIM(CLEAN(SUBSTITUTE(RawData!E470,CHAR(160)," ")))))</f>
        <v>Headphones</v>
      </c>
      <c r="F470" t="str">
        <f>IF(RawData!F470="","Unknown",PROPER(TRIM(CLEAN(SUBSTITUTE(RawData!F470,CHAR(160)," ")))))</f>
        <v>Electronics</v>
      </c>
      <c r="G470">
        <f>_xlfn.LET(
_xlpm.q,RawData!G470,
_xlpm.u,RawData!H470,
_xlpm.d,RawData!I470,
_xlpm.r,RawData!J470,
IF(AND(ISNUMBER(_xlpm.q),_xlpm.q&gt;0),_xlpm.q,
   IF(AND(ISNUMBER(_xlpm.r),ISNUMBER(_xlpm.u),_xlpm.u&gt;0,ISNUMBER(_xlpm.d),_xlpm.d&gt;=0,_xlpm.d&lt;1),
      ROUND(_xlpm.r/(_xlpm.u*(1-_xlpm.d)),0),
      ""
   )
)
)</f>
        <v>9</v>
      </c>
      <c r="H470" s="4">
        <f>_xlfn.LET(
_xlpm.q,RawData!G470,
_xlpm.u,RawData!H470,
_xlpm.d,RawData!I470,
_xlpm.r,RawData!J470,
IF(AND(ISNUMBER(_xlpm.u),_xlpm.u&gt;0),_xlpm.u,
   IF(AND(ISNUMBER(_xlpm.q),_xlpm.q&gt;0,ISNUMBER(_xlpm.r),ISNUMBER(_xlpm.d),_xlpm.d&gt;=0,_xlpm.d&lt;1),
      _xlpm.r/(_xlpm.q*(1-_xlpm.d)),
      ""
   )
)
)</f>
        <v>68.44</v>
      </c>
      <c r="I470" s="5">
        <f>_xlfn.LET(
_xlpm.q,RawData!G470,
_xlpm.u,RawData!H470,
_xlpm.d,RawData!I470,
_xlpm.r,RawData!J470,
IF(AND(ISNUMBER(_xlpm.d),_xlpm.d&gt;=0,_xlpm.d&lt;1),_xlpm.d,
   IF(AND(ISNUMBER(_xlpm.q),_xlpm.q&gt;0,ISNUMBER(_xlpm.u),_xlpm.u&gt;0,ISNUMBER(_xlpm.r),_xlpm.r&gt;=0),
      1-(_xlpm.r/(_xlpm.q*_xlpm.u)),
      ""
   )
)
)</f>
        <v>0.1</v>
      </c>
      <c r="J470" s="4">
        <f>_xlfn.LET(
_xlpm.q,RawData!G470,
_xlpm.u,RawData!H470,
_xlpm.d,RawData!I470,
_xlpm.r,RawData!J470,
IF(AND(ISNUMBER(_xlpm.r),_xlpm.r&gt;=0),_xlpm.r,
   IF(AND(ISNUMBER(_xlpm.q),_xlpm.q&gt;0,ISNUMBER(_xlpm.u),_xlpm.u&gt;0,ISNUMBER(_xlpm.d),_xlpm.d&gt;=0,_xlpm.d&lt;1),
      _xlpm.q*_xlpm.u*(1-_xlpm.d),
      ""
   )
)
)</f>
        <v>554.36</v>
      </c>
      <c r="K470" s="4">
        <f>_xlfn.LET(
_xlpm.c,RawData!K470,
_xlpm.r,RawData!J470,
_xlpm.p,RawData!L470,
IF(AND(ISNUMBER(_xlpm.c),_xlpm.c&gt;=0),_xlpm.c,
   IF(AND(ISNUMBER(_xlpm.r),ISNUMBER(_xlpm.p)),
      _xlpm.r-_xlpm.p,
      ""
   )
)
)</f>
        <v>441.75</v>
      </c>
      <c r="L470" s="4">
        <f>_xlfn.LET(
_xlpm.p,RawData!L470,
_xlpm.r,RawData!J470,
_xlpm.c,RawData!K470,
IF(ISNUMBER(_xlpm.p),_xlpm.p,
IF(AND(ISNUMBER(_xlpm.r),ISNUMBER(_xlpm.c)),
_xlpm.r-_xlpm.c,
""
)
))</f>
        <v>112.61</v>
      </c>
    </row>
    <row r="471" spans="1:12" x14ac:dyDescent="0.35">
      <c r="A471" t="s">
        <v>512</v>
      </c>
      <c r="B471" s="7">
        <v>45935</v>
      </c>
      <c r="C471" t="str">
        <f>IF(RawData!C471="","Unknown",PROPER(TRIM(CLEAN(SUBSTITUTE(RawData!C471,CHAR(160)," ")))))</f>
        <v>North</v>
      </c>
      <c r="D471" t="str">
        <f>IF(RawData!D471="","Unknown",PROPER(TRIM(CLEAN(SUBSTITUTE(RawData!D471,CHAR(160)," ")))))</f>
        <v>Lucknow</v>
      </c>
      <c r="E471" t="str">
        <f>IF(RawData!E471="","Unknown",PROPER(TRIM(CLEAN(SUBSTITUTE(RawData!E471,CHAR(160)," ")))))</f>
        <v>Notebook</v>
      </c>
      <c r="F471" t="str">
        <f>IF(RawData!F471="","Unknown",PROPER(TRIM(CLEAN(SUBSTITUTE(RawData!F471,CHAR(160)," ")))))</f>
        <v>Office Supplies</v>
      </c>
      <c r="G471">
        <f>_xlfn.LET(
_xlpm.q,RawData!G471,
_xlpm.u,RawData!H471,
_xlpm.d,RawData!I471,
_xlpm.r,RawData!J471,
IF(AND(ISNUMBER(_xlpm.q),_xlpm.q&gt;0),_xlpm.q,
   IF(AND(ISNUMBER(_xlpm.r),ISNUMBER(_xlpm.u),_xlpm.u&gt;0,ISNUMBER(_xlpm.d),_xlpm.d&gt;=0,_xlpm.d&lt;1),
      ROUND(_xlpm.r/(_xlpm.u*(1-_xlpm.d)),0),
      ""
   )
)
)</f>
        <v>1</v>
      </c>
      <c r="H471" s="4">
        <f>_xlfn.LET(
_xlpm.q,RawData!G471,
_xlpm.u,RawData!H471,
_xlpm.d,RawData!I471,
_xlpm.r,RawData!J471,
IF(AND(ISNUMBER(_xlpm.u),_xlpm.u&gt;0),_xlpm.u,
   IF(AND(ISNUMBER(_xlpm.q),_xlpm.q&gt;0,ISNUMBER(_xlpm.r),ISNUMBER(_xlpm.d),_xlpm.d&gt;=0,_xlpm.d&lt;1),
      _xlpm.r/(_xlpm.q*(1-_xlpm.d)),
      ""
   )
)
)</f>
        <v>7.08</v>
      </c>
      <c r="I471" s="5">
        <f>_xlfn.LET(
_xlpm.q,RawData!G471,
_xlpm.u,RawData!H471,
_xlpm.d,RawData!I471,
_xlpm.r,RawData!J471,
IF(AND(ISNUMBER(_xlpm.d),_xlpm.d&gt;=0,_xlpm.d&lt;1),_xlpm.d,
   IF(AND(ISNUMBER(_xlpm.q),_xlpm.q&gt;0,ISNUMBER(_xlpm.u),_xlpm.u&gt;0,ISNUMBER(_xlpm.r),_xlpm.r&gt;=0),
      1-(_xlpm.r/(_xlpm.q*_xlpm.u)),
      ""
   )
)
)</f>
        <v>0</v>
      </c>
      <c r="J471" s="4">
        <f>_xlfn.LET(
_xlpm.q,RawData!G471,
_xlpm.u,RawData!H471,
_xlpm.d,RawData!I471,
_xlpm.r,RawData!J471,
IF(AND(ISNUMBER(_xlpm.r),_xlpm.r&gt;=0),_xlpm.r,
   IF(AND(ISNUMBER(_xlpm.q),_xlpm.q&gt;0,ISNUMBER(_xlpm.u),_xlpm.u&gt;0,ISNUMBER(_xlpm.d),_xlpm.d&gt;=0,_xlpm.d&lt;1),
      _xlpm.q*_xlpm.u*(1-_xlpm.d),
      ""
   )
)
)</f>
        <v>7.08</v>
      </c>
      <c r="K471" s="4">
        <f>_xlfn.LET(
_xlpm.c,RawData!K471,
_xlpm.r,RawData!J471,
_xlpm.p,RawData!L471,
IF(AND(ISNUMBER(_xlpm.c),_xlpm.c&gt;=0),_xlpm.c,
   IF(AND(ISNUMBER(_xlpm.r),ISNUMBER(_xlpm.p)),
      _xlpm.r-_xlpm.p,
      ""
   )
)
)</f>
        <v>5</v>
      </c>
      <c r="L471" s="4">
        <f>_xlfn.LET(
_xlpm.p,RawData!L471,
_xlpm.r,RawData!J471,
_xlpm.c,RawData!K471,
IF(ISNUMBER(_xlpm.p),_xlpm.p,
IF(AND(ISNUMBER(_xlpm.r),ISNUMBER(_xlpm.c)),
_xlpm.r-_xlpm.c,
""
)
))</f>
        <v>2.08</v>
      </c>
    </row>
    <row r="472" spans="1:12" x14ac:dyDescent="0.35">
      <c r="A472" t="s">
        <v>513</v>
      </c>
      <c r="B472" s="7">
        <v>45682</v>
      </c>
      <c r="C472" t="str">
        <f>IF(RawData!C472="","Unknown",PROPER(TRIM(CLEAN(SUBSTITUTE(RawData!C472,CHAR(160)," ")))))</f>
        <v>North</v>
      </c>
      <c r="D472" t="str">
        <f>IF(RawData!D472="","Unknown",PROPER(TRIM(CLEAN(SUBSTITUTE(RawData!D472,CHAR(160)," ")))))</f>
        <v>Delhi</v>
      </c>
      <c r="E472" t="str">
        <f>IF(RawData!E472="","Unknown",PROPER(TRIM(CLEAN(SUBSTITUTE(RawData!E472,CHAR(160)," ")))))</f>
        <v>Bookshelf</v>
      </c>
      <c r="F472" t="str">
        <f>IF(RawData!F472="","Unknown",PROPER(TRIM(CLEAN(SUBSTITUTE(RawData!F472,CHAR(160)," ")))))</f>
        <v>Furniture</v>
      </c>
      <c r="G472">
        <f>_xlfn.LET(
_xlpm.q,RawData!G472,
_xlpm.u,RawData!H472,
_xlpm.d,RawData!I472,
_xlpm.r,RawData!J472,
IF(AND(ISNUMBER(_xlpm.q),_xlpm.q&gt;0),_xlpm.q,
   IF(AND(ISNUMBER(_xlpm.r),ISNUMBER(_xlpm.u),_xlpm.u&gt;0,ISNUMBER(_xlpm.d),_xlpm.d&gt;=0,_xlpm.d&lt;1),
      ROUND(_xlpm.r/(_xlpm.u*(1-_xlpm.d)),0),
      ""
   )
)
)</f>
        <v>3</v>
      </c>
      <c r="H472" s="4">
        <f>_xlfn.LET(
_xlpm.q,RawData!G472,
_xlpm.u,RawData!H472,
_xlpm.d,RawData!I472,
_xlpm.r,RawData!J472,
IF(AND(ISNUMBER(_xlpm.u),_xlpm.u&gt;0),_xlpm.u,
   IF(AND(ISNUMBER(_xlpm.q),_xlpm.q&gt;0,ISNUMBER(_xlpm.r),ISNUMBER(_xlpm.d),_xlpm.d&gt;=0,_xlpm.d&lt;1),
      _xlpm.r/(_xlpm.q*(1-_xlpm.d)),
      ""
   )
)
)</f>
        <v>130.51</v>
      </c>
      <c r="I472" s="5">
        <f>_xlfn.LET(
_xlpm.q,RawData!G472,
_xlpm.u,RawData!H472,
_xlpm.d,RawData!I472,
_xlpm.r,RawData!J472,
IF(AND(ISNUMBER(_xlpm.d),_xlpm.d&gt;=0,_xlpm.d&lt;1),_xlpm.d,
   IF(AND(ISNUMBER(_xlpm.q),_xlpm.q&gt;0,ISNUMBER(_xlpm.u),_xlpm.u&gt;0,ISNUMBER(_xlpm.r),_xlpm.r&gt;=0),
      1-(_xlpm.r/(_xlpm.q*_xlpm.u)),
      ""
   )
)
)</f>
        <v>0.2</v>
      </c>
      <c r="J472" s="4">
        <f>_xlfn.LET(
_xlpm.q,RawData!G472,
_xlpm.u,RawData!H472,
_xlpm.d,RawData!I472,
_xlpm.r,RawData!J472,
IF(AND(ISNUMBER(_xlpm.r),_xlpm.r&gt;=0),_xlpm.r,
   IF(AND(ISNUMBER(_xlpm.q),_xlpm.q&gt;0,ISNUMBER(_xlpm.u),_xlpm.u&gt;0,ISNUMBER(_xlpm.d),_xlpm.d&gt;=0,_xlpm.d&lt;1),
      _xlpm.q*_xlpm.u*(1-_xlpm.d),
      ""
   )
)
)</f>
        <v>313.22000000000003</v>
      </c>
      <c r="K472" s="4">
        <f>_xlfn.LET(
_xlpm.c,RawData!K472,
_xlpm.r,RawData!J472,
_xlpm.p,RawData!L472,
IF(AND(ISNUMBER(_xlpm.c),_xlpm.c&gt;=0),_xlpm.c,
   IF(AND(ISNUMBER(_xlpm.r),ISNUMBER(_xlpm.p)),
      _xlpm.r-_xlpm.p,
      ""
   )
)
)</f>
        <v>219.14</v>
      </c>
      <c r="L472" s="4">
        <f>_xlfn.LET(
_xlpm.p,RawData!L472,
_xlpm.r,RawData!J472,
_xlpm.c,RawData!K472,
IF(ISNUMBER(_xlpm.p),_xlpm.p,
IF(AND(ISNUMBER(_xlpm.r),ISNUMBER(_xlpm.c)),
_xlpm.r-_xlpm.c,
""
)
))</f>
        <v>94.08</v>
      </c>
    </row>
    <row r="473" spans="1:12" x14ac:dyDescent="0.35">
      <c r="A473" t="s">
        <v>514</v>
      </c>
      <c r="B473" s="7">
        <v>45692</v>
      </c>
      <c r="C473" t="str">
        <f>IF(RawData!C473="","Unknown",PROPER(TRIM(CLEAN(SUBSTITUTE(RawData!C473,CHAR(160)," ")))))</f>
        <v>South</v>
      </c>
      <c r="D473" t="str">
        <f>IF(RawData!D473="","Unknown",PROPER(TRIM(CLEAN(SUBSTITUTE(RawData!D473,CHAR(160)," ")))))</f>
        <v>Chennai</v>
      </c>
      <c r="E473" t="str">
        <f>IF(RawData!E473="","Unknown",PROPER(TRIM(CLEAN(SUBSTITUTE(RawData!E473,CHAR(160)," ")))))</f>
        <v>Laptop</v>
      </c>
      <c r="F473" t="str">
        <f>IF(RawData!F473="","Unknown",PROPER(TRIM(CLEAN(SUBSTITUTE(RawData!F473,CHAR(160)," ")))))</f>
        <v>Electronics</v>
      </c>
      <c r="G473">
        <f>_xlfn.LET(
_xlpm.q,RawData!G473,
_xlpm.u,RawData!H473,
_xlpm.d,RawData!I473,
_xlpm.r,RawData!J473,
IF(AND(ISNUMBER(_xlpm.q),_xlpm.q&gt;0),_xlpm.q,
   IF(AND(ISNUMBER(_xlpm.r),ISNUMBER(_xlpm.u),_xlpm.u&gt;0,ISNUMBER(_xlpm.d),_xlpm.d&gt;=0,_xlpm.d&lt;1),
      ROUND(_xlpm.r/(_xlpm.u*(1-_xlpm.d)),0),
      ""
   )
)
)</f>
        <v>4</v>
      </c>
      <c r="H473" s="4">
        <f>_xlfn.LET(
_xlpm.q,RawData!G473,
_xlpm.u,RawData!H473,
_xlpm.d,RawData!I473,
_xlpm.r,RawData!J473,
IF(AND(ISNUMBER(_xlpm.u),_xlpm.u&gt;0),_xlpm.u,
   IF(AND(ISNUMBER(_xlpm.q),_xlpm.q&gt;0,ISNUMBER(_xlpm.r),ISNUMBER(_xlpm.d),_xlpm.d&gt;=0,_xlpm.d&lt;1),
      _xlpm.r/(_xlpm.q*(1-_xlpm.d)),
      ""
   )
)
)</f>
        <v>888.61</v>
      </c>
      <c r="I473" s="5">
        <f>_xlfn.LET(
_xlpm.q,RawData!G473,
_xlpm.u,RawData!H473,
_xlpm.d,RawData!I473,
_xlpm.r,RawData!J473,
IF(AND(ISNUMBER(_xlpm.d),_xlpm.d&gt;=0,_xlpm.d&lt;1),_xlpm.d,
   IF(AND(ISNUMBER(_xlpm.q),_xlpm.q&gt;0,ISNUMBER(_xlpm.u),_xlpm.u&gt;0,ISNUMBER(_xlpm.r),_xlpm.r&gt;=0),
      1-(_xlpm.r/(_xlpm.q*_xlpm.u)),
      ""
   )
)
)</f>
        <v>0.15</v>
      </c>
      <c r="J473" s="4">
        <f>_xlfn.LET(
_xlpm.q,RawData!G473,
_xlpm.u,RawData!H473,
_xlpm.d,RawData!I473,
_xlpm.r,RawData!J473,
IF(AND(ISNUMBER(_xlpm.r),_xlpm.r&gt;=0),_xlpm.r,
   IF(AND(ISNUMBER(_xlpm.q),_xlpm.q&gt;0,ISNUMBER(_xlpm.u),_xlpm.u&gt;0,ISNUMBER(_xlpm.d),_xlpm.d&gt;=0,_xlpm.d&lt;1),
      _xlpm.q*_xlpm.u*(1-_xlpm.d),
      ""
   )
)
)</f>
        <v>3021.27</v>
      </c>
      <c r="K473" s="4">
        <f>_xlfn.LET(
_xlpm.c,RawData!K473,
_xlpm.r,RawData!J473,
_xlpm.p,RawData!L473,
IF(AND(ISNUMBER(_xlpm.c),_xlpm.c&gt;=0),_xlpm.c,
   IF(AND(ISNUMBER(_xlpm.r),ISNUMBER(_xlpm.p)),
      _xlpm.r-_xlpm.p,
      ""
   )
)
)</f>
        <v>2338.5500000000002</v>
      </c>
      <c r="L473" s="4">
        <f>_xlfn.LET(
_xlpm.p,RawData!L473,
_xlpm.r,RawData!J473,
_xlpm.c,RawData!K473,
IF(ISNUMBER(_xlpm.p),_xlpm.p,
IF(AND(ISNUMBER(_xlpm.r),ISNUMBER(_xlpm.c)),
_xlpm.r-_xlpm.c,
""
)
))</f>
        <v>682.72</v>
      </c>
    </row>
    <row r="474" spans="1:12" x14ac:dyDescent="0.35">
      <c r="A474" t="s">
        <v>515</v>
      </c>
      <c r="B474" s="7">
        <v>45849</v>
      </c>
      <c r="C474" t="str">
        <f>IF(RawData!C474="","Unknown",PROPER(TRIM(CLEAN(SUBSTITUTE(RawData!C474,CHAR(160)," ")))))</f>
        <v>North</v>
      </c>
      <c r="D474" t="str">
        <f>IF(RawData!D474="","Unknown",PROPER(TRIM(CLEAN(SUBSTITUTE(RawData!D474,CHAR(160)," ")))))</f>
        <v>Lucknow</v>
      </c>
      <c r="E474" t="str">
        <f>IF(RawData!E474="","Unknown",PROPER(TRIM(CLEAN(SUBSTITUTE(RawData!E474,CHAR(160)," ")))))</f>
        <v>Pen Set</v>
      </c>
      <c r="F474" t="str">
        <f>IF(RawData!F474="","Unknown",PROPER(TRIM(CLEAN(SUBSTITUTE(RawData!F474,CHAR(160)," ")))))</f>
        <v>Office Supplies</v>
      </c>
      <c r="G474">
        <f>_xlfn.LET(
_xlpm.q,RawData!G474,
_xlpm.u,RawData!H474,
_xlpm.d,RawData!I474,
_xlpm.r,RawData!J474,
IF(AND(ISNUMBER(_xlpm.q),_xlpm.q&gt;0),_xlpm.q,
   IF(AND(ISNUMBER(_xlpm.r),ISNUMBER(_xlpm.u),_xlpm.u&gt;0,ISNUMBER(_xlpm.d),_xlpm.d&gt;=0,_xlpm.d&lt;1),
      ROUND(_xlpm.r/(_xlpm.u*(1-_xlpm.d)),0),
      ""
   )
)
)</f>
        <v>10</v>
      </c>
      <c r="H474" s="4">
        <f>_xlfn.LET(
_xlpm.q,RawData!G474,
_xlpm.u,RawData!H474,
_xlpm.d,RawData!I474,
_xlpm.r,RawData!J474,
IF(AND(ISNUMBER(_xlpm.u),_xlpm.u&gt;0),_xlpm.u,
   IF(AND(ISNUMBER(_xlpm.q),_xlpm.q&gt;0,ISNUMBER(_xlpm.r),ISNUMBER(_xlpm.d),_xlpm.d&gt;=0,_xlpm.d&lt;1),
      _xlpm.r/(_xlpm.q*(1-_xlpm.d)),
      ""
   )
)
)</f>
        <v>10.94</v>
      </c>
      <c r="I474" s="5">
        <f>_xlfn.LET(
_xlpm.q,RawData!G474,
_xlpm.u,RawData!H474,
_xlpm.d,RawData!I474,
_xlpm.r,RawData!J474,
IF(AND(ISNUMBER(_xlpm.d),_xlpm.d&gt;=0,_xlpm.d&lt;1),_xlpm.d,
   IF(AND(ISNUMBER(_xlpm.q),_xlpm.q&gt;0,ISNUMBER(_xlpm.u),_xlpm.u&gt;0,ISNUMBER(_xlpm.r),_xlpm.r&gt;=0),
      1-(_xlpm.r/(_xlpm.q*_xlpm.u)),
      ""
   )
)
)</f>
        <v>0.1</v>
      </c>
      <c r="J474" s="4">
        <f>_xlfn.LET(
_xlpm.q,RawData!G474,
_xlpm.u,RawData!H474,
_xlpm.d,RawData!I474,
_xlpm.r,RawData!J474,
IF(AND(ISNUMBER(_xlpm.r),_xlpm.r&gt;=0),_xlpm.r,
   IF(AND(ISNUMBER(_xlpm.q),_xlpm.q&gt;0,ISNUMBER(_xlpm.u),_xlpm.u&gt;0,ISNUMBER(_xlpm.d),_xlpm.d&gt;=0,_xlpm.d&lt;1),
      _xlpm.q*_xlpm.u*(1-_xlpm.d),
      ""
   )
)
)</f>
        <v>98.46</v>
      </c>
      <c r="K474" s="4">
        <f>_xlfn.LET(
_xlpm.c,RawData!K474,
_xlpm.r,RawData!J474,
_xlpm.p,RawData!L474,
IF(AND(ISNUMBER(_xlpm.c),_xlpm.c&gt;=0),_xlpm.c,
   IF(AND(ISNUMBER(_xlpm.r),ISNUMBER(_xlpm.p)),
      _xlpm.r-_xlpm.p,
      ""
   )
)
)</f>
        <v>54.45</v>
      </c>
      <c r="L474" s="4">
        <f>_xlfn.LET(
_xlpm.p,RawData!L474,
_xlpm.r,RawData!J474,
_xlpm.c,RawData!K474,
IF(ISNUMBER(_xlpm.p),_xlpm.p,
IF(AND(ISNUMBER(_xlpm.r),ISNUMBER(_xlpm.c)),
_xlpm.r-_xlpm.c,
""
)
))</f>
        <v>44.01</v>
      </c>
    </row>
    <row r="475" spans="1:12" x14ac:dyDescent="0.35">
      <c r="A475" t="s">
        <v>516</v>
      </c>
      <c r="B475" s="7">
        <v>45907</v>
      </c>
      <c r="C475" t="str">
        <f>IF(RawData!C475="","Unknown",PROPER(TRIM(CLEAN(SUBSTITUTE(RawData!C475,CHAR(160)," ")))))</f>
        <v>North</v>
      </c>
      <c r="D475" t="str">
        <f>IF(RawData!D475="","Unknown",PROPER(TRIM(CLEAN(SUBSTITUTE(RawData!D475,CHAR(160)," ")))))</f>
        <v>Jaipur</v>
      </c>
      <c r="E475" t="str">
        <f>IF(RawData!E475="","Unknown",PROPER(TRIM(CLEAN(SUBSTITUTE(RawData!E475,CHAR(160)," ")))))</f>
        <v>Laptop</v>
      </c>
      <c r="F475" t="str">
        <f>IF(RawData!F475="","Unknown",PROPER(TRIM(CLEAN(SUBSTITUTE(RawData!F475,CHAR(160)," ")))))</f>
        <v>Electronics</v>
      </c>
      <c r="G475">
        <f>_xlfn.LET(
_xlpm.q,RawData!G475,
_xlpm.u,RawData!H475,
_xlpm.d,RawData!I475,
_xlpm.r,RawData!J475,
IF(AND(ISNUMBER(_xlpm.q),_xlpm.q&gt;0),_xlpm.q,
   IF(AND(ISNUMBER(_xlpm.r),ISNUMBER(_xlpm.u),_xlpm.u&gt;0,ISNUMBER(_xlpm.d),_xlpm.d&gt;=0,_xlpm.d&lt;1),
      ROUND(_xlpm.r/(_xlpm.u*(1-_xlpm.d)),0),
      ""
   )
)
)</f>
        <v>9</v>
      </c>
      <c r="H475" s="4">
        <f>_xlfn.LET(
_xlpm.q,RawData!G475,
_xlpm.u,RawData!H475,
_xlpm.d,RawData!I475,
_xlpm.r,RawData!J475,
IF(AND(ISNUMBER(_xlpm.u),_xlpm.u&gt;0),_xlpm.u,
   IF(AND(ISNUMBER(_xlpm.q),_xlpm.q&gt;0,ISNUMBER(_xlpm.r),ISNUMBER(_xlpm.d),_xlpm.d&gt;=0,_xlpm.d&lt;1),
      _xlpm.r/(_xlpm.q*(1-_xlpm.d)),
      ""
   )
)
)</f>
        <v>757.41</v>
      </c>
      <c r="I475" s="5">
        <f>_xlfn.LET(
_xlpm.q,RawData!G475,
_xlpm.u,RawData!H475,
_xlpm.d,RawData!I475,
_xlpm.r,RawData!J475,
IF(AND(ISNUMBER(_xlpm.d),_xlpm.d&gt;=0,_xlpm.d&lt;1),_xlpm.d,
   IF(AND(ISNUMBER(_xlpm.q),_xlpm.q&gt;0,ISNUMBER(_xlpm.u),_xlpm.u&gt;0,ISNUMBER(_xlpm.r),_xlpm.r&gt;=0),
      1-(_xlpm.r/(_xlpm.q*_xlpm.u)),
      ""
   )
)
)</f>
        <v>0.15</v>
      </c>
      <c r="J475" s="4">
        <f>_xlfn.LET(
_xlpm.q,RawData!G475,
_xlpm.u,RawData!H475,
_xlpm.d,RawData!I475,
_xlpm.r,RawData!J475,
IF(AND(ISNUMBER(_xlpm.r),_xlpm.r&gt;=0),_xlpm.r,
   IF(AND(ISNUMBER(_xlpm.q),_xlpm.q&gt;0,ISNUMBER(_xlpm.u),_xlpm.u&gt;0,ISNUMBER(_xlpm.d),_xlpm.d&gt;=0,_xlpm.d&lt;1),
      _xlpm.q*_xlpm.u*(1-_xlpm.d),
      ""
   )
)
)</f>
        <v>5794.19</v>
      </c>
      <c r="K475" s="4">
        <f>_xlfn.LET(
_xlpm.c,RawData!K475,
_xlpm.r,RawData!J475,
_xlpm.p,RawData!L475,
IF(AND(ISNUMBER(_xlpm.c),_xlpm.c&gt;=0),_xlpm.c,
   IF(AND(ISNUMBER(_xlpm.r),ISNUMBER(_xlpm.p)),
      _xlpm.r-_xlpm.p,
      ""
   )
)
)</f>
        <v>4594.82</v>
      </c>
      <c r="L475" s="4">
        <f>_xlfn.LET(
_xlpm.p,RawData!L475,
_xlpm.r,RawData!J475,
_xlpm.c,RawData!K475,
IF(ISNUMBER(_xlpm.p),_xlpm.p,
IF(AND(ISNUMBER(_xlpm.r),ISNUMBER(_xlpm.c)),
_xlpm.r-_xlpm.c,
""
)
))</f>
        <v>1199.3699999999999</v>
      </c>
    </row>
    <row r="476" spans="1:12" x14ac:dyDescent="0.35">
      <c r="A476" t="s">
        <v>517</v>
      </c>
      <c r="B476" s="7">
        <v>45664</v>
      </c>
      <c r="C476" t="str">
        <f>IF(RawData!C476="","Unknown",PROPER(TRIM(CLEAN(SUBSTITUTE(RawData!C476,CHAR(160)," ")))))</f>
        <v>North</v>
      </c>
      <c r="D476" t="str">
        <f>IF(RawData!D476="","Unknown",PROPER(TRIM(CLEAN(SUBSTITUTE(RawData!D476,CHAR(160)," ")))))</f>
        <v>Jaipur</v>
      </c>
      <c r="E476" t="str">
        <f>IF(RawData!E476="","Unknown",PROPER(TRIM(CLEAN(SUBSTITUTE(RawData!E476,CHAR(160)," ")))))</f>
        <v>Notebook</v>
      </c>
      <c r="F476" t="str">
        <f>IF(RawData!F476="","Unknown",PROPER(TRIM(CLEAN(SUBSTITUTE(RawData!F476,CHAR(160)," ")))))</f>
        <v>Office Supplies</v>
      </c>
      <c r="G476">
        <f>_xlfn.LET(
_xlpm.q,RawData!G476,
_xlpm.u,RawData!H476,
_xlpm.d,RawData!I476,
_xlpm.r,RawData!J476,
IF(AND(ISNUMBER(_xlpm.q),_xlpm.q&gt;0),_xlpm.q,
   IF(AND(ISNUMBER(_xlpm.r),ISNUMBER(_xlpm.u),_xlpm.u&gt;0,ISNUMBER(_xlpm.d),_xlpm.d&gt;=0,_xlpm.d&lt;1),
      ROUND(_xlpm.r/(_xlpm.u*(1-_xlpm.d)),0),
      ""
   )
)
)</f>
        <v>5</v>
      </c>
      <c r="H476" s="4">
        <f>_xlfn.LET(
_xlpm.q,RawData!G476,
_xlpm.u,RawData!H476,
_xlpm.d,RawData!I476,
_xlpm.r,RawData!J476,
IF(AND(ISNUMBER(_xlpm.u),_xlpm.u&gt;0),_xlpm.u,
   IF(AND(ISNUMBER(_xlpm.q),_xlpm.q&gt;0,ISNUMBER(_xlpm.r),ISNUMBER(_xlpm.d),_xlpm.d&gt;=0,_xlpm.d&lt;1),
      _xlpm.r/(_xlpm.q*(1-_xlpm.d)),
      ""
   )
)
)</f>
        <v>8.9</v>
      </c>
      <c r="I476" s="5">
        <f>_xlfn.LET(
_xlpm.q,RawData!G476,
_xlpm.u,RawData!H476,
_xlpm.d,RawData!I476,
_xlpm.r,RawData!J476,
IF(AND(ISNUMBER(_xlpm.d),_xlpm.d&gt;=0,_xlpm.d&lt;1),_xlpm.d,
   IF(AND(ISNUMBER(_xlpm.q),_xlpm.q&gt;0,ISNUMBER(_xlpm.u),_xlpm.u&gt;0,ISNUMBER(_xlpm.r),_xlpm.r&gt;=0),
      1-(_xlpm.r/(_xlpm.q*_xlpm.u)),
      ""
   )
)
)</f>
        <v>0.15</v>
      </c>
      <c r="J476" s="4">
        <f>_xlfn.LET(
_xlpm.q,RawData!G476,
_xlpm.u,RawData!H476,
_xlpm.d,RawData!I476,
_xlpm.r,RawData!J476,
IF(AND(ISNUMBER(_xlpm.r),_xlpm.r&gt;=0),_xlpm.r,
   IF(AND(ISNUMBER(_xlpm.q),_xlpm.q&gt;0,ISNUMBER(_xlpm.u),_xlpm.u&gt;0,ISNUMBER(_xlpm.d),_xlpm.d&gt;=0,_xlpm.d&lt;1),
      _xlpm.q*_xlpm.u*(1-_xlpm.d),
      ""
   )
)
)</f>
        <v>37.82</v>
      </c>
      <c r="K476" s="4">
        <f>_xlfn.LET(
_xlpm.c,RawData!K476,
_xlpm.r,RawData!J476,
_xlpm.p,RawData!L476,
IF(AND(ISNUMBER(_xlpm.c),_xlpm.c&gt;=0),_xlpm.c,
   IF(AND(ISNUMBER(_xlpm.r),ISNUMBER(_xlpm.p)),
      _xlpm.r-_xlpm.p,
      ""
   )
)
)</f>
        <v>26.9</v>
      </c>
      <c r="L476" s="4">
        <f>_xlfn.LET(
_xlpm.p,RawData!L476,
_xlpm.r,RawData!J476,
_xlpm.c,RawData!K476,
IF(ISNUMBER(_xlpm.p),_xlpm.p,
IF(AND(ISNUMBER(_xlpm.r),ISNUMBER(_xlpm.c)),
_xlpm.r-_xlpm.c,
""
)
))</f>
        <v>10.92</v>
      </c>
    </row>
    <row r="477" spans="1:12" x14ac:dyDescent="0.35">
      <c r="A477" t="s">
        <v>518</v>
      </c>
      <c r="B477" s="7">
        <v>45666</v>
      </c>
      <c r="C477" t="str">
        <f>IF(RawData!C477="","Unknown",PROPER(TRIM(CLEAN(SUBSTITUTE(RawData!C477,CHAR(160)," ")))))</f>
        <v>West</v>
      </c>
      <c r="D477" t="str">
        <f>IF(RawData!D477="","Unknown",PROPER(TRIM(CLEAN(SUBSTITUTE(RawData!D477,CHAR(160)," ")))))</f>
        <v>Ahmedabad</v>
      </c>
      <c r="E477" t="str">
        <f>IF(RawData!E477="","Unknown",PROPER(TRIM(CLEAN(SUBSTITUTE(RawData!E477,CHAR(160)," ")))))</f>
        <v>Headphones</v>
      </c>
      <c r="F477" t="str">
        <f>IF(RawData!F477="","Unknown",PROPER(TRIM(CLEAN(SUBSTITUTE(RawData!F477,CHAR(160)," ")))))</f>
        <v>Electronics</v>
      </c>
      <c r="G477">
        <f>_xlfn.LET(
_xlpm.q,RawData!G477,
_xlpm.u,RawData!H477,
_xlpm.d,RawData!I477,
_xlpm.r,RawData!J477,
IF(AND(ISNUMBER(_xlpm.q),_xlpm.q&gt;0),_xlpm.q,
   IF(AND(ISNUMBER(_xlpm.r),ISNUMBER(_xlpm.u),_xlpm.u&gt;0,ISNUMBER(_xlpm.d),_xlpm.d&gt;=0,_xlpm.d&lt;1),
      ROUND(_xlpm.r/(_xlpm.u*(1-_xlpm.d)),0),
      ""
   )
)
)</f>
        <v>2</v>
      </c>
      <c r="H477" s="4">
        <f>_xlfn.LET(
_xlpm.q,RawData!G477,
_xlpm.u,RawData!H477,
_xlpm.d,RawData!I477,
_xlpm.r,RawData!J477,
IF(AND(ISNUMBER(_xlpm.u),_xlpm.u&gt;0),_xlpm.u,
   IF(AND(ISNUMBER(_xlpm.q),_xlpm.q&gt;0,ISNUMBER(_xlpm.r),ISNUMBER(_xlpm.d),_xlpm.d&gt;=0,_xlpm.d&lt;1),
      _xlpm.r/(_xlpm.q*(1-_xlpm.d)),
      ""
   )
)
)</f>
        <v>82.41</v>
      </c>
      <c r="I477" s="5">
        <f>_xlfn.LET(
_xlpm.q,RawData!G477,
_xlpm.u,RawData!H477,
_xlpm.d,RawData!I477,
_xlpm.r,RawData!J477,
IF(AND(ISNUMBER(_xlpm.d),_xlpm.d&gt;=0,_xlpm.d&lt;1),_xlpm.d,
   IF(AND(ISNUMBER(_xlpm.q),_xlpm.q&gt;0,ISNUMBER(_xlpm.u),_xlpm.u&gt;0,ISNUMBER(_xlpm.r),_xlpm.r&gt;=0),
      1-(_xlpm.r/(_xlpm.q*_xlpm.u)),
      ""
   )
)
)</f>
        <v>0</v>
      </c>
      <c r="J477" s="4">
        <f>_xlfn.LET(
_xlpm.q,RawData!G477,
_xlpm.u,RawData!H477,
_xlpm.d,RawData!I477,
_xlpm.r,RawData!J477,
IF(AND(ISNUMBER(_xlpm.r),_xlpm.r&gt;=0),_xlpm.r,
   IF(AND(ISNUMBER(_xlpm.q),_xlpm.q&gt;0,ISNUMBER(_xlpm.u),_xlpm.u&gt;0,ISNUMBER(_xlpm.d),_xlpm.d&gt;=0,_xlpm.d&lt;1),
      _xlpm.q*_xlpm.u*(1-_xlpm.d),
      ""
   )
)
)</f>
        <v>164.82</v>
      </c>
      <c r="K477" s="4">
        <f>_xlfn.LET(
_xlpm.c,RawData!K477,
_xlpm.r,RawData!J477,
_xlpm.p,RawData!L477,
IF(AND(ISNUMBER(_xlpm.c),_xlpm.c&gt;=0),_xlpm.c,
   IF(AND(ISNUMBER(_xlpm.r),ISNUMBER(_xlpm.p)),
      _xlpm.r-_xlpm.p,
      ""
   )
)
)</f>
        <v>120.25</v>
      </c>
      <c r="L477" s="4">
        <f>_xlfn.LET(
_xlpm.p,RawData!L477,
_xlpm.r,RawData!J477,
_xlpm.c,RawData!K477,
IF(ISNUMBER(_xlpm.p),_xlpm.p,
IF(AND(ISNUMBER(_xlpm.r),ISNUMBER(_xlpm.c)),
_xlpm.r-_xlpm.c,
""
)
))</f>
        <v>44.57</v>
      </c>
    </row>
    <row r="478" spans="1:12" x14ac:dyDescent="0.35">
      <c r="A478" t="s">
        <v>519</v>
      </c>
      <c r="B478" s="7">
        <v>45734</v>
      </c>
      <c r="C478" t="str">
        <f>IF(RawData!C478="","Unknown",PROPER(TRIM(CLEAN(SUBSTITUTE(RawData!C478,CHAR(160)," ")))))</f>
        <v>South</v>
      </c>
      <c r="D478" t="str">
        <f>IF(RawData!D478="","Unknown",PROPER(TRIM(CLEAN(SUBSTITUTE(RawData!D478,CHAR(160)," ")))))</f>
        <v>Chennai</v>
      </c>
      <c r="E478" t="str">
        <f>IF(RawData!E478="","Unknown",PROPER(TRIM(CLEAN(SUBSTITUTE(RawData!E478,CHAR(160)," ")))))</f>
        <v>Monitor</v>
      </c>
      <c r="F478" t="str">
        <f>IF(RawData!F478="","Unknown",PROPER(TRIM(CLEAN(SUBSTITUTE(RawData!F478,CHAR(160)," ")))))</f>
        <v>Electronics</v>
      </c>
      <c r="G478">
        <f>_xlfn.LET(
_xlpm.q,RawData!G478,
_xlpm.u,RawData!H478,
_xlpm.d,RawData!I478,
_xlpm.r,RawData!J478,
IF(AND(ISNUMBER(_xlpm.q),_xlpm.q&gt;0),_xlpm.q,
   IF(AND(ISNUMBER(_xlpm.r),ISNUMBER(_xlpm.u),_xlpm.u&gt;0,ISNUMBER(_xlpm.d),_xlpm.d&gt;=0,_xlpm.d&lt;1),
      ROUND(_xlpm.r/(_xlpm.u*(1-_xlpm.d)),0),
      ""
   )
)
)</f>
        <v>10</v>
      </c>
      <c r="H478" s="4">
        <f>_xlfn.LET(
_xlpm.q,RawData!G478,
_xlpm.u,RawData!H478,
_xlpm.d,RawData!I478,
_xlpm.r,RawData!J478,
IF(AND(ISNUMBER(_xlpm.u),_xlpm.u&gt;0),_xlpm.u,
   IF(AND(ISNUMBER(_xlpm.q),_xlpm.q&gt;0,ISNUMBER(_xlpm.r),ISNUMBER(_xlpm.d),_xlpm.d&gt;=0,_xlpm.d&lt;1),
      _xlpm.r/(_xlpm.q*(1-_xlpm.d)),
      ""
   )
)
)</f>
        <v>198.57</v>
      </c>
      <c r="I478" s="5">
        <f>_xlfn.LET(
_xlpm.q,RawData!G478,
_xlpm.u,RawData!H478,
_xlpm.d,RawData!I478,
_xlpm.r,RawData!J478,
IF(AND(ISNUMBER(_xlpm.d),_xlpm.d&gt;=0,_xlpm.d&lt;1),_xlpm.d,
   IF(AND(ISNUMBER(_xlpm.q),_xlpm.q&gt;0,ISNUMBER(_xlpm.u),_xlpm.u&gt;0,ISNUMBER(_xlpm.r),_xlpm.r&gt;=0),
      1-(_xlpm.r/(_xlpm.q*_xlpm.u)),
      ""
   )
)
)</f>
        <v>0.15</v>
      </c>
      <c r="J478" s="4">
        <f>_xlfn.LET(
_xlpm.q,RawData!G478,
_xlpm.u,RawData!H478,
_xlpm.d,RawData!I478,
_xlpm.r,RawData!J478,
IF(AND(ISNUMBER(_xlpm.r),_xlpm.r&gt;=0),_xlpm.r,
   IF(AND(ISNUMBER(_xlpm.q),_xlpm.q&gt;0,ISNUMBER(_xlpm.u),_xlpm.u&gt;0,ISNUMBER(_xlpm.d),_xlpm.d&gt;=0,_xlpm.d&lt;1),
      _xlpm.q*_xlpm.u*(1-_xlpm.d),
      ""
   )
)
)</f>
        <v>1687.84</v>
      </c>
      <c r="K478" s="4">
        <f>_xlfn.LET(
_xlpm.c,RawData!K478,
_xlpm.r,RawData!J478,
_xlpm.p,RawData!L478,
IF(AND(ISNUMBER(_xlpm.c),_xlpm.c&gt;=0),_xlpm.c,
   IF(AND(ISNUMBER(_xlpm.r),ISNUMBER(_xlpm.p)),
      _xlpm.r-_xlpm.p,
      ""
   )
)
)</f>
        <v>1345.02</v>
      </c>
      <c r="L478" s="4">
        <f>_xlfn.LET(
_xlpm.p,RawData!L478,
_xlpm.r,RawData!J478,
_xlpm.c,RawData!K478,
IF(ISNUMBER(_xlpm.p),_xlpm.p,
IF(AND(ISNUMBER(_xlpm.r),ISNUMBER(_xlpm.c)),
_xlpm.r-_xlpm.c,
""
)
))</f>
        <v>342.82</v>
      </c>
    </row>
    <row r="479" spans="1:12" x14ac:dyDescent="0.35">
      <c r="A479" t="s">
        <v>520</v>
      </c>
      <c r="B479" s="7">
        <v>45839</v>
      </c>
      <c r="C479" t="str">
        <f>IF(RawData!C479="","Unknown",PROPER(TRIM(CLEAN(SUBSTITUTE(RawData!C479,CHAR(160)," ")))))</f>
        <v>East</v>
      </c>
      <c r="D479" t="str">
        <f>IF(RawData!D479="","Unknown",PROPER(TRIM(CLEAN(SUBSTITUTE(RawData!D479,CHAR(160)," ")))))</f>
        <v>Bhubaneswar</v>
      </c>
      <c r="E479" t="str">
        <f>IF(RawData!E479="","Unknown",PROPER(TRIM(CLEAN(SUBSTITUTE(RawData!E479,CHAR(160)," ")))))</f>
        <v>Bookshelf</v>
      </c>
      <c r="F479" t="str">
        <f>IF(RawData!F479="","Unknown",PROPER(TRIM(CLEAN(SUBSTITUTE(RawData!F479,CHAR(160)," ")))))</f>
        <v>Furniture</v>
      </c>
      <c r="G479">
        <f>_xlfn.LET(
_xlpm.q,RawData!G479,
_xlpm.u,RawData!H479,
_xlpm.d,RawData!I479,
_xlpm.r,RawData!J479,
IF(AND(ISNUMBER(_xlpm.q),_xlpm.q&gt;0),_xlpm.q,
   IF(AND(ISNUMBER(_xlpm.r),ISNUMBER(_xlpm.u),_xlpm.u&gt;0,ISNUMBER(_xlpm.d),_xlpm.d&gt;=0,_xlpm.d&lt;1),
      ROUND(_xlpm.r/(_xlpm.u*(1-_xlpm.d)),0),
      ""
   )
)
)</f>
        <v>2</v>
      </c>
      <c r="H479" s="4">
        <f>_xlfn.LET(
_xlpm.q,RawData!G479,
_xlpm.u,RawData!H479,
_xlpm.d,RawData!I479,
_xlpm.r,RawData!J479,
IF(AND(ISNUMBER(_xlpm.u),_xlpm.u&gt;0),_xlpm.u,
   IF(AND(ISNUMBER(_xlpm.q),_xlpm.q&gt;0,ISNUMBER(_xlpm.r),ISNUMBER(_xlpm.d),_xlpm.d&gt;=0,_xlpm.d&lt;1),
      _xlpm.r/(_xlpm.q*(1-_xlpm.d)),
      ""
   )
)
)</f>
        <v>136.59</v>
      </c>
      <c r="I479" s="5">
        <f>_xlfn.LET(
_xlpm.q,RawData!G479,
_xlpm.u,RawData!H479,
_xlpm.d,RawData!I479,
_xlpm.r,RawData!J479,
IF(AND(ISNUMBER(_xlpm.d),_xlpm.d&gt;=0,_xlpm.d&lt;1),_xlpm.d,
   IF(AND(ISNUMBER(_xlpm.q),_xlpm.q&gt;0,ISNUMBER(_xlpm.u),_xlpm.u&gt;0,ISNUMBER(_xlpm.r),_xlpm.r&gt;=0),
      1-(_xlpm.r/(_xlpm.q*_xlpm.u)),
      ""
   )
)
)</f>
        <v>0.05</v>
      </c>
      <c r="J479" s="4">
        <f>_xlfn.LET(
_xlpm.q,RawData!G479,
_xlpm.u,RawData!H479,
_xlpm.d,RawData!I479,
_xlpm.r,RawData!J479,
IF(AND(ISNUMBER(_xlpm.r),_xlpm.r&gt;=0),_xlpm.r,
   IF(AND(ISNUMBER(_xlpm.q),_xlpm.q&gt;0,ISNUMBER(_xlpm.u),_xlpm.u&gt;0,ISNUMBER(_xlpm.d),_xlpm.d&gt;=0,_xlpm.d&lt;1),
      _xlpm.q*_xlpm.u*(1-_xlpm.d),
      ""
   )
)
)</f>
        <v>259.52</v>
      </c>
      <c r="K479" s="4">
        <f>_xlfn.LET(
_xlpm.c,RawData!K479,
_xlpm.r,RawData!J479,
_xlpm.p,RawData!L479,
IF(AND(ISNUMBER(_xlpm.c),_xlpm.c&gt;=0),_xlpm.c,
   IF(AND(ISNUMBER(_xlpm.r),ISNUMBER(_xlpm.p)),
      _xlpm.r-_xlpm.p,
      ""
   )
)
)</f>
        <v>169.58</v>
      </c>
      <c r="L479" s="4">
        <f>_xlfn.LET(
_xlpm.p,RawData!L479,
_xlpm.r,RawData!J479,
_xlpm.c,RawData!K479,
IF(ISNUMBER(_xlpm.p),_xlpm.p,
IF(AND(ISNUMBER(_xlpm.r),ISNUMBER(_xlpm.c)),
_xlpm.r-_xlpm.c,
""
)
))</f>
        <v>89.94</v>
      </c>
    </row>
    <row r="480" spans="1:12" x14ac:dyDescent="0.35">
      <c r="A480" t="s">
        <v>521</v>
      </c>
      <c r="B480" s="7">
        <v>45893</v>
      </c>
      <c r="C480" t="str">
        <f>IF(RawData!C480="","Unknown",PROPER(TRIM(CLEAN(SUBSTITUTE(RawData!C480,CHAR(160)," ")))))</f>
        <v>South</v>
      </c>
      <c r="D480" t="str">
        <f>IF(RawData!D480="","Unknown",PROPER(TRIM(CLEAN(SUBSTITUTE(RawData!D480,CHAR(160)," ")))))</f>
        <v>Bengaluru</v>
      </c>
      <c r="E480" t="str">
        <f>IF(RawData!E480="","Unknown",PROPER(TRIM(CLEAN(SUBSTITUTE(RawData!E480,CHAR(160)," ")))))</f>
        <v>Keyboard</v>
      </c>
      <c r="F480" t="str">
        <f>IF(RawData!F480="","Unknown",PROPER(TRIM(CLEAN(SUBSTITUTE(RawData!F480,CHAR(160)," ")))))</f>
        <v>Accessories</v>
      </c>
      <c r="G480">
        <f>_xlfn.LET(
_xlpm.q,RawData!G480,
_xlpm.u,RawData!H480,
_xlpm.d,RawData!I480,
_xlpm.r,RawData!J480,
IF(AND(ISNUMBER(_xlpm.q),_xlpm.q&gt;0),_xlpm.q,
   IF(AND(ISNUMBER(_xlpm.r),ISNUMBER(_xlpm.u),_xlpm.u&gt;0,ISNUMBER(_xlpm.d),_xlpm.d&gt;=0,_xlpm.d&lt;1),
      ROUND(_xlpm.r/(_xlpm.u*(1-_xlpm.d)),0),
      ""
   )
)
)</f>
        <v>4</v>
      </c>
      <c r="H480" s="4">
        <f>_xlfn.LET(
_xlpm.q,RawData!G480,
_xlpm.u,RawData!H480,
_xlpm.d,RawData!I480,
_xlpm.r,RawData!J480,
IF(AND(ISNUMBER(_xlpm.u),_xlpm.u&gt;0),_xlpm.u,
   IF(AND(ISNUMBER(_xlpm.q),_xlpm.q&gt;0,ISNUMBER(_xlpm.r),ISNUMBER(_xlpm.d),_xlpm.d&gt;=0,_xlpm.d&lt;1),
      _xlpm.r/(_xlpm.q*(1-_xlpm.d)),
      ""
   )
)
)</f>
        <v>35.200000000000003</v>
      </c>
      <c r="I480" s="5">
        <f>_xlfn.LET(
_xlpm.q,RawData!G480,
_xlpm.u,RawData!H480,
_xlpm.d,RawData!I480,
_xlpm.r,RawData!J480,
IF(AND(ISNUMBER(_xlpm.d),_xlpm.d&gt;=0,_xlpm.d&lt;1),_xlpm.d,
   IF(AND(ISNUMBER(_xlpm.q),_xlpm.q&gt;0,ISNUMBER(_xlpm.u),_xlpm.u&gt;0,ISNUMBER(_xlpm.r),_xlpm.r&gt;=0),
      1-(_xlpm.r/(_xlpm.q*_xlpm.u)),
      ""
   )
)
)</f>
        <v>0.05</v>
      </c>
      <c r="J480" s="4">
        <f>_xlfn.LET(
_xlpm.q,RawData!G480,
_xlpm.u,RawData!H480,
_xlpm.d,RawData!I480,
_xlpm.r,RawData!J480,
IF(AND(ISNUMBER(_xlpm.r),_xlpm.r&gt;=0),_xlpm.r,
   IF(AND(ISNUMBER(_xlpm.q),_xlpm.q&gt;0,ISNUMBER(_xlpm.u),_xlpm.u&gt;0,ISNUMBER(_xlpm.d),_xlpm.d&gt;=0,_xlpm.d&lt;1),
      _xlpm.q*_xlpm.u*(1-_xlpm.d),
      ""
   )
)
)</f>
        <v>133.76</v>
      </c>
      <c r="K480" s="4">
        <f>_xlfn.LET(
_xlpm.c,RawData!K480,
_xlpm.r,RawData!J480,
_xlpm.p,RawData!L480,
IF(AND(ISNUMBER(_xlpm.c),_xlpm.c&gt;=0),_xlpm.c,
   IF(AND(ISNUMBER(_xlpm.r),ISNUMBER(_xlpm.p)),
      _xlpm.r-_xlpm.p,
      ""
   )
)
)</f>
        <v>75.260000000000005</v>
      </c>
      <c r="L480" s="4">
        <f>_xlfn.LET(
_xlpm.p,RawData!L480,
_xlpm.r,RawData!J480,
_xlpm.c,RawData!K480,
IF(ISNUMBER(_xlpm.p),_xlpm.p,
IF(AND(ISNUMBER(_xlpm.r),ISNUMBER(_xlpm.c)),
_xlpm.r-_xlpm.c,
""
)
))</f>
        <v>58.5</v>
      </c>
    </row>
    <row r="481" spans="1:12" x14ac:dyDescent="0.35">
      <c r="A481" t="s">
        <v>522</v>
      </c>
      <c r="B481" s="7">
        <v>45699</v>
      </c>
      <c r="C481" t="str">
        <f>IF(RawData!C481="","Unknown",PROPER(TRIM(CLEAN(SUBSTITUTE(RawData!C481,CHAR(160)," ")))))</f>
        <v>North</v>
      </c>
      <c r="D481" t="str">
        <f>IF(RawData!D481="","Unknown",PROPER(TRIM(CLEAN(SUBSTITUTE(RawData!D481,CHAR(160)," ")))))</f>
        <v>Jaipur</v>
      </c>
      <c r="E481" t="str">
        <f>IF(RawData!E481="","Unknown",PROPER(TRIM(CLEAN(SUBSTITUTE(RawData!E481,CHAR(160)," ")))))</f>
        <v>Smartphone</v>
      </c>
      <c r="F481" t="str">
        <f>IF(RawData!F481="","Unknown",PROPER(TRIM(CLEAN(SUBSTITUTE(RawData!F481,CHAR(160)," ")))))</f>
        <v>Electronics</v>
      </c>
      <c r="G481">
        <f>_xlfn.LET(
_xlpm.q,RawData!G481,
_xlpm.u,RawData!H481,
_xlpm.d,RawData!I481,
_xlpm.r,RawData!J481,
IF(AND(ISNUMBER(_xlpm.q),_xlpm.q&gt;0),_xlpm.q,
   IF(AND(ISNUMBER(_xlpm.r),ISNUMBER(_xlpm.u),_xlpm.u&gt;0,ISNUMBER(_xlpm.d),_xlpm.d&gt;=0,_xlpm.d&lt;1),
      ROUND(_xlpm.r/(_xlpm.u*(1-_xlpm.d)),0),
      ""
   )
)
)</f>
        <v>7</v>
      </c>
      <c r="H481" s="4">
        <f>_xlfn.LET(
_xlpm.q,RawData!G481,
_xlpm.u,RawData!H481,
_xlpm.d,RawData!I481,
_xlpm.r,RawData!J481,
IF(AND(ISNUMBER(_xlpm.u),_xlpm.u&gt;0),_xlpm.u,
   IF(AND(ISNUMBER(_xlpm.q),_xlpm.q&gt;0,ISNUMBER(_xlpm.r),ISNUMBER(_xlpm.d),_xlpm.d&gt;=0,_xlpm.d&lt;1),
      _xlpm.r/(_xlpm.q*(1-_xlpm.d)),
      ""
   )
)
)</f>
        <v>494.94</v>
      </c>
      <c r="I481" s="5">
        <f>_xlfn.LET(
_xlpm.q,RawData!G481,
_xlpm.u,RawData!H481,
_xlpm.d,RawData!I481,
_xlpm.r,RawData!J481,
IF(AND(ISNUMBER(_xlpm.d),_xlpm.d&gt;=0,_xlpm.d&lt;1),_xlpm.d,
   IF(AND(ISNUMBER(_xlpm.q),_xlpm.q&gt;0,ISNUMBER(_xlpm.u),_xlpm.u&gt;0,ISNUMBER(_xlpm.r),_xlpm.r&gt;=0),
      1-(_xlpm.r/(_xlpm.q*_xlpm.u)),
      ""
   )
)
)</f>
        <v>0.1</v>
      </c>
      <c r="J481" s="4">
        <f>_xlfn.LET(
_xlpm.q,RawData!G481,
_xlpm.u,RawData!H481,
_xlpm.d,RawData!I481,
_xlpm.r,RawData!J481,
IF(AND(ISNUMBER(_xlpm.r),_xlpm.r&gt;=0),_xlpm.r,
   IF(AND(ISNUMBER(_xlpm.q),_xlpm.q&gt;0,ISNUMBER(_xlpm.u),_xlpm.u&gt;0,ISNUMBER(_xlpm.d),_xlpm.d&gt;=0,_xlpm.d&lt;1),
      _xlpm.q*_xlpm.u*(1-_xlpm.d),
      ""
   )
)
)</f>
        <v>3118.12</v>
      </c>
      <c r="K481" s="4">
        <f>_xlfn.LET(
_xlpm.c,RawData!K481,
_xlpm.r,RawData!J481,
_xlpm.p,RawData!L481,
IF(AND(ISNUMBER(_xlpm.c),_xlpm.c&gt;=0),_xlpm.c,
   IF(AND(ISNUMBER(_xlpm.r),ISNUMBER(_xlpm.p)),
      _xlpm.r-_xlpm.p,
      ""
   )
)
)</f>
        <v>2336.31</v>
      </c>
      <c r="L481" s="4">
        <f>_xlfn.LET(
_xlpm.p,RawData!L481,
_xlpm.r,RawData!J481,
_xlpm.c,RawData!K481,
IF(ISNUMBER(_xlpm.p),_xlpm.p,
IF(AND(ISNUMBER(_xlpm.r),ISNUMBER(_xlpm.c)),
_xlpm.r-_xlpm.c,
""
)
))</f>
        <v>781.81</v>
      </c>
    </row>
    <row r="482" spans="1:12" x14ac:dyDescent="0.35">
      <c r="A482" t="s">
        <v>523</v>
      </c>
      <c r="B482" s="7">
        <v>45940</v>
      </c>
      <c r="C482" t="str">
        <f>IF(RawData!C482="","Unknown",PROPER(TRIM(CLEAN(SUBSTITUTE(RawData!C482,CHAR(160)," ")))))</f>
        <v>West</v>
      </c>
      <c r="D482" t="str">
        <f>IF(RawData!D482="","Unknown",PROPER(TRIM(CLEAN(SUBSTITUTE(RawData!D482,CHAR(160)," ")))))</f>
        <v>Mumbai</v>
      </c>
      <c r="E482" t="str">
        <f>IF(RawData!E482="","Unknown",PROPER(TRIM(CLEAN(SUBSTITUTE(RawData!E482,CHAR(160)," ")))))</f>
        <v>Laptop</v>
      </c>
      <c r="F482" t="str">
        <f>IF(RawData!F482="","Unknown",PROPER(TRIM(CLEAN(SUBSTITUTE(RawData!F482,CHAR(160)," ")))))</f>
        <v>Electronics</v>
      </c>
      <c r="G482">
        <f>_xlfn.LET(
_xlpm.q,RawData!G482,
_xlpm.u,RawData!H482,
_xlpm.d,RawData!I482,
_xlpm.r,RawData!J482,
IF(AND(ISNUMBER(_xlpm.q),_xlpm.q&gt;0),_xlpm.q,
   IF(AND(ISNUMBER(_xlpm.r),ISNUMBER(_xlpm.u),_xlpm.u&gt;0,ISNUMBER(_xlpm.d),_xlpm.d&gt;=0,_xlpm.d&lt;1),
      ROUND(_xlpm.r/(_xlpm.u*(1-_xlpm.d)),0),
      ""
   )
)
)</f>
        <v>1</v>
      </c>
      <c r="H482" s="4">
        <f>_xlfn.LET(
_xlpm.q,RawData!G482,
_xlpm.u,RawData!H482,
_xlpm.d,RawData!I482,
_xlpm.r,RawData!J482,
IF(AND(ISNUMBER(_xlpm.u),_xlpm.u&gt;0),_xlpm.u,
   IF(AND(ISNUMBER(_xlpm.q),_xlpm.q&gt;0,ISNUMBER(_xlpm.r),ISNUMBER(_xlpm.d),_xlpm.d&gt;=0,_xlpm.d&lt;1),
      _xlpm.r/(_xlpm.q*(1-_xlpm.d)),
      ""
   )
)
)</f>
        <v>743.61</v>
      </c>
      <c r="I482" s="5">
        <f>_xlfn.LET(
_xlpm.q,RawData!G482,
_xlpm.u,RawData!H482,
_xlpm.d,RawData!I482,
_xlpm.r,RawData!J482,
IF(AND(ISNUMBER(_xlpm.d),_xlpm.d&gt;=0,_xlpm.d&lt;1),_xlpm.d,
   IF(AND(ISNUMBER(_xlpm.q),_xlpm.q&gt;0,ISNUMBER(_xlpm.u),_xlpm.u&gt;0,ISNUMBER(_xlpm.r),_xlpm.r&gt;=0),
      1-(_xlpm.r/(_xlpm.q*_xlpm.u)),
      ""
   )
)
)</f>
        <v>0.2</v>
      </c>
      <c r="J482" s="4">
        <f>_xlfn.LET(
_xlpm.q,RawData!G482,
_xlpm.u,RawData!H482,
_xlpm.d,RawData!I482,
_xlpm.r,RawData!J482,
IF(AND(ISNUMBER(_xlpm.r),_xlpm.r&gt;=0),_xlpm.r,
   IF(AND(ISNUMBER(_xlpm.q),_xlpm.q&gt;0,ISNUMBER(_xlpm.u),_xlpm.u&gt;0,ISNUMBER(_xlpm.d),_xlpm.d&gt;=0,_xlpm.d&lt;1),
      _xlpm.q*_xlpm.u*(1-_xlpm.d),
      ""
   )
)
)</f>
        <v>594.89</v>
      </c>
      <c r="K482" s="4">
        <f>_xlfn.LET(
_xlpm.c,RawData!K482,
_xlpm.r,RawData!J482,
_xlpm.p,RawData!L482,
IF(AND(ISNUMBER(_xlpm.c),_xlpm.c&gt;=0),_xlpm.c,
   IF(AND(ISNUMBER(_xlpm.r),ISNUMBER(_xlpm.p)),
      _xlpm.r-_xlpm.p,
      ""
   )
)
)</f>
        <v>424.07</v>
      </c>
      <c r="L482" s="4">
        <f>_xlfn.LET(
_xlpm.p,RawData!L482,
_xlpm.r,RawData!J482,
_xlpm.c,RawData!K482,
IF(ISNUMBER(_xlpm.p),_xlpm.p,
IF(AND(ISNUMBER(_xlpm.r),ISNUMBER(_xlpm.c)),
_xlpm.r-_xlpm.c,
""
)
))</f>
        <v>170.82</v>
      </c>
    </row>
    <row r="483" spans="1:12" x14ac:dyDescent="0.35">
      <c r="A483" t="s">
        <v>524</v>
      </c>
      <c r="B483" s="7">
        <v>45700</v>
      </c>
      <c r="C483" t="str">
        <f>IF(RawData!C483="","Unknown",PROPER(TRIM(CLEAN(SUBSTITUTE(RawData!C483,CHAR(160)," ")))))</f>
        <v>West</v>
      </c>
      <c r="D483" t="str">
        <f>IF(RawData!D483="","Unknown",PROPER(TRIM(CLEAN(SUBSTITUTE(RawData!D483,CHAR(160)," ")))))</f>
        <v>Mumbai</v>
      </c>
      <c r="E483" t="str">
        <f>IF(RawData!E483="","Unknown",PROPER(TRIM(CLEAN(SUBSTITUTE(RawData!E483,CHAR(160)," ")))))</f>
        <v>Bookshelf</v>
      </c>
      <c r="F483" t="str">
        <f>IF(RawData!F483="","Unknown",PROPER(TRIM(CLEAN(SUBSTITUTE(RawData!F483,CHAR(160)," ")))))</f>
        <v>Furniture</v>
      </c>
      <c r="G483">
        <f>_xlfn.LET(
_xlpm.q,RawData!G483,
_xlpm.u,RawData!H483,
_xlpm.d,RawData!I483,
_xlpm.r,RawData!J483,
IF(AND(ISNUMBER(_xlpm.q),_xlpm.q&gt;0),_xlpm.q,
   IF(AND(ISNUMBER(_xlpm.r),ISNUMBER(_xlpm.u),_xlpm.u&gt;0,ISNUMBER(_xlpm.d),_xlpm.d&gt;=0,_xlpm.d&lt;1),
      ROUND(_xlpm.r/(_xlpm.u*(1-_xlpm.d)),0),
      ""
   )
)
)</f>
        <v>6</v>
      </c>
      <c r="H483" s="4">
        <f>_xlfn.LET(
_xlpm.q,RawData!G483,
_xlpm.u,RawData!H483,
_xlpm.d,RawData!I483,
_xlpm.r,RawData!J483,
IF(AND(ISNUMBER(_xlpm.u),_xlpm.u&gt;0),_xlpm.u,
   IF(AND(ISNUMBER(_xlpm.q),_xlpm.q&gt;0,ISNUMBER(_xlpm.r),ISNUMBER(_xlpm.d),_xlpm.d&gt;=0,_xlpm.d&lt;1),
      _xlpm.r/(_xlpm.q*(1-_xlpm.d)),
      ""
   )
)
)</f>
        <v>129.30000000000001</v>
      </c>
      <c r="I483" s="5">
        <f>_xlfn.LET(
_xlpm.q,RawData!G483,
_xlpm.u,RawData!H483,
_xlpm.d,RawData!I483,
_xlpm.r,RawData!J483,
IF(AND(ISNUMBER(_xlpm.d),_xlpm.d&gt;=0,_xlpm.d&lt;1),_xlpm.d,
   IF(AND(ISNUMBER(_xlpm.q),_xlpm.q&gt;0,ISNUMBER(_xlpm.u),_xlpm.u&gt;0,ISNUMBER(_xlpm.r),_xlpm.r&gt;=0),
      1-(_xlpm.r/(_xlpm.q*_xlpm.u)),
      ""
   )
)
)</f>
        <v>0.15</v>
      </c>
      <c r="J483" s="4">
        <f>_xlfn.LET(
_xlpm.q,RawData!G483,
_xlpm.u,RawData!H483,
_xlpm.d,RawData!I483,
_xlpm.r,RawData!J483,
IF(AND(ISNUMBER(_xlpm.r),_xlpm.r&gt;=0),_xlpm.r,
   IF(AND(ISNUMBER(_xlpm.q),_xlpm.q&gt;0,ISNUMBER(_xlpm.u),_xlpm.u&gt;0,ISNUMBER(_xlpm.d),_xlpm.d&gt;=0,_xlpm.d&lt;1),
      _xlpm.q*_xlpm.u*(1-_xlpm.d),
      ""
   )
)
)</f>
        <v>659.43</v>
      </c>
      <c r="K483" s="4">
        <f>_xlfn.LET(
_xlpm.c,RawData!K483,
_xlpm.r,RawData!J483,
_xlpm.p,RawData!L483,
IF(AND(ISNUMBER(_xlpm.c),_xlpm.c&gt;=0),_xlpm.c,
   IF(AND(ISNUMBER(_xlpm.r),ISNUMBER(_xlpm.p)),
      _xlpm.r-_xlpm.p,
      ""
   )
)
)</f>
        <v>432</v>
      </c>
      <c r="L483" s="4">
        <f>_xlfn.LET(
_xlpm.p,RawData!L483,
_xlpm.r,RawData!J483,
_xlpm.c,RawData!K483,
IF(ISNUMBER(_xlpm.p),_xlpm.p,
IF(AND(ISNUMBER(_xlpm.r),ISNUMBER(_xlpm.c)),
_xlpm.r-_xlpm.c,
""
)
))</f>
        <v>227.43</v>
      </c>
    </row>
    <row r="484" spans="1:12" x14ac:dyDescent="0.35">
      <c r="A484" t="s">
        <v>525</v>
      </c>
      <c r="B484" s="7">
        <v>45928</v>
      </c>
      <c r="C484" t="str">
        <f>IF(RawData!C484="","Unknown",PROPER(TRIM(CLEAN(SUBSTITUTE(RawData!C484,CHAR(160)," ")))))</f>
        <v>North</v>
      </c>
      <c r="D484" t="str">
        <f>IF(RawData!D484="","Unknown",PROPER(TRIM(CLEAN(SUBSTITUTE(RawData!D484,CHAR(160)," ")))))</f>
        <v>Lucknow</v>
      </c>
      <c r="E484" t="str">
        <f>IF(RawData!E484="","Unknown",PROPER(TRIM(CLEAN(SUBSTITUTE(RawData!E484,CHAR(160)," ")))))</f>
        <v>Monitor</v>
      </c>
      <c r="F484" t="str">
        <f>IF(RawData!F484="","Unknown",PROPER(TRIM(CLEAN(SUBSTITUTE(RawData!F484,CHAR(160)," ")))))</f>
        <v>Electronics</v>
      </c>
      <c r="G484">
        <f>_xlfn.LET(
_xlpm.q,RawData!G484,
_xlpm.u,RawData!H484,
_xlpm.d,RawData!I484,
_xlpm.r,RawData!J484,
IF(AND(ISNUMBER(_xlpm.q),_xlpm.q&gt;0),_xlpm.q,
   IF(AND(ISNUMBER(_xlpm.r),ISNUMBER(_xlpm.u),_xlpm.u&gt;0,ISNUMBER(_xlpm.d),_xlpm.d&gt;=0,_xlpm.d&lt;1),
      ROUND(_xlpm.r/(_xlpm.u*(1-_xlpm.d)),0),
      ""
   )
)
)</f>
        <v>4</v>
      </c>
      <c r="H484" s="4">
        <f>_xlfn.LET(
_xlpm.q,RawData!G484,
_xlpm.u,RawData!H484,
_xlpm.d,RawData!I484,
_xlpm.r,RawData!J484,
IF(AND(ISNUMBER(_xlpm.u),_xlpm.u&gt;0),_xlpm.u,
   IF(AND(ISNUMBER(_xlpm.q),_xlpm.q&gt;0,ISNUMBER(_xlpm.r),ISNUMBER(_xlpm.d),_xlpm.d&gt;=0,_xlpm.d&lt;1),
      _xlpm.r/(_xlpm.q*(1-_xlpm.d)),
      ""
   )
)
)</f>
        <v>206.05</v>
      </c>
      <c r="I484" s="5">
        <f>_xlfn.LET(
_xlpm.q,RawData!G484,
_xlpm.u,RawData!H484,
_xlpm.d,RawData!I484,
_xlpm.r,RawData!J484,
IF(AND(ISNUMBER(_xlpm.d),_xlpm.d&gt;=0,_xlpm.d&lt;1),_xlpm.d,
   IF(AND(ISNUMBER(_xlpm.q),_xlpm.q&gt;0,ISNUMBER(_xlpm.u),_xlpm.u&gt;0,ISNUMBER(_xlpm.r),_xlpm.r&gt;=0),
      1-(_xlpm.r/(_xlpm.q*_xlpm.u)),
      ""
   )
)
)</f>
        <v>0.2</v>
      </c>
      <c r="J484" s="4">
        <f>_xlfn.LET(
_xlpm.q,RawData!G484,
_xlpm.u,RawData!H484,
_xlpm.d,RawData!I484,
_xlpm.r,RawData!J484,
IF(AND(ISNUMBER(_xlpm.r),_xlpm.r&gt;=0),_xlpm.r,
   IF(AND(ISNUMBER(_xlpm.q),_xlpm.q&gt;0,ISNUMBER(_xlpm.u),_xlpm.u&gt;0,ISNUMBER(_xlpm.d),_xlpm.d&gt;=0,_xlpm.d&lt;1),
      _xlpm.q*_xlpm.u*(1-_xlpm.d),
      ""
   )
)
)</f>
        <v>659.36</v>
      </c>
      <c r="K484" s="4">
        <f>_xlfn.LET(
_xlpm.c,RawData!K484,
_xlpm.r,RawData!J484,
_xlpm.p,RawData!L484,
IF(AND(ISNUMBER(_xlpm.c),_xlpm.c&gt;=0),_xlpm.c,
   IF(AND(ISNUMBER(_xlpm.r),ISNUMBER(_xlpm.p)),
      _xlpm.r-_xlpm.p,
      ""
   )
)
)</f>
        <v>425.97</v>
      </c>
      <c r="L484" s="4">
        <f>_xlfn.LET(
_xlpm.p,RawData!L484,
_xlpm.r,RawData!J484,
_xlpm.c,RawData!K484,
IF(ISNUMBER(_xlpm.p),_xlpm.p,
IF(AND(ISNUMBER(_xlpm.r),ISNUMBER(_xlpm.c)),
_xlpm.r-_xlpm.c,
""
)
))</f>
        <v>233.39</v>
      </c>
    </row>
    <row r="485" spans="1:12" x14ac:dyDescent="0.35">
      <c r="A485" t="s">
        <v>526</v>
      </c>
      <c r="B485" s="7">
        <v>45901</v>
      </c>
      <c r="C485" t="str">
        <f>IF(RawData!C485="","Unknown",PROPER(TRIM(CLEAN(SUBSTITUTE(RawData!C485,CHAR(160)," ")))))</f>
        <v>East</v>
      </c>
      <c r="D485" t="str">
        <f>IF(RawData!D485="","Unknown",PROPER(TRIM(CLEAN(SUBSTITUTE(RawData!D485,CHAR(160)," ")))))</f>
        <v>Bhubaneswar</v>
      </c>
      <c r="E485" t="str">
        <f>IF(RawData!E485="","Unknown",PROPER(TRIM(CLEAN(SUBSTITUTE(RawData!E485,CHAR(160)," ")))))</f>
        <v>Laptop</v>
      </c>
      <c r="F485" t="str">
        <f>IF(RawData!F485="","Unknown",PROPER(TRIM(CLEAN(SUBSTITUTE(RawData!F485,CHAR(160)," ")))))</f>
        <v>Electronics</v>
      </c>
      <c r="G485">
        <f>_xlfn.LET(
_xlpm.q,RawData!G485,
_xlpm.u,RawData!H485,
_xlpm.d,RawData!I485,
_xlpm.r,RawData!J485,
IF(AND(ISNUMBER(_xlpm.q),_xlpm.q&gt;0),_xlpm.q,
   IF(AND(ISNUMBER(_xlpm.r),ISNUMBER(_xlpm.u),_xlpm.u&gt;0,ISNUMBER(_xlpm.d),_xlpm.d&gt;=0,_xlpm.d&lt;1),
      ROUND(_xlpm.r/(_xlpm.u*(1-_xlpm.d)),0),
      ""
   )
)
)</f>
        <v>2</v>
      </c>
      <c r="H485" s="4">
        <f>_xlfn.LET(
_xlpm.q,RawData!G485,
_xlpm.u,RawData!H485,
_xlpm.d,RawData!I485,
_xlpm.r,RawData!J485,
IF(AND(ISNUMBER(_xlpm.u),_xlpm.u&gt;0),_xlpm.u,
   IF(AND(ISNUMBER(_xlpm.q),_xlpm.q&gt;0,ISNUMBER(_xlpm.r),ISNUMBER(_xlpm.d),_xlpm.d&gt;=0,_xlpm.d&lt;1),
      _xlpm.r/(_xlpm.q*(1-_xlpm.d)),
      ""
   )
)
)</f>
        <v>905.86</v>
      </c>
      <c r="I485" s="5">
        <f>_xlfn.LET(
_xlpm.q,RawData!G485,
_xlpm.u,RawData!H485,
_xlpm.d,RawData!I485,
_xlpm.r,RawData!J485,
IF(AND(ISNUMBER(_xlpm.d),_xlpm.d&gt;=0,_xlpm.d&lt;1),_xlpm.d,
   IF(AND(ISNUMBER(_xlpm.q),_xlpm.q&gt;0,ISNUMBER(_xlpm.u),_xlpm.u&gt;0,ISNUMBER(_xlpm.r),_xlpm.r&gt;=0),
      1-(_xlpm.r/(_xlpm.q*_xlpm.u)),
      ""
   )
)
)</f>
        <v>0.2</v>
      </c>
      <c r="J485" s="4">
        <f>_xlfn.LET(
_xlpm.q,RawData!G485,
_xlpm.u,RawData!H485,
_xlpm.d,RawData!I485,
_xlpm.r,RawData!J485,
IF(AND(ISNUMBER(_xlpm.r),_xlpm.r&gt;=0),_xlpm.r,
   IF(AND(ISNUMBER(_xlpm.q),_xlpm.q&gt;0,ISNUMBER(_xlpm.u),_xlpm.u&gt;0,ISNUMBER(_xlpm.d),_xlpm.d&gt;=0,_xlpm.d&lt;1),
      _xlpm.q*_xlpm.u*(1-_xlpm.d),
      ""
   )
)
)</f>
        <v>1449.38</v>
      </c>
      <c r="K485" s="4">
        <f>_xlfn.LET(
_xlpm.c,RawData!K485,
_xlpm.r,RawData!J485,
_xlpm.p,RawData!L485,
IF(AND(ISNUMBER(_xlpm.c),_xlpm.c&gt;=0),_xlpm.c,
   IF(AND(ISNUMBER(_xlpm.r),ISNUMBER(_xlpm.p)),
      _xlpm.r-_xlpm.p,
      ""
   )
)
)</f>
        <v>913.43</v>
      </c>
      <c r="L485" s="4">
        <f>_xlfn.LET(
_xlpm.p,RawData!L485,
_xlpm.r,RawData!J485,
_xlpm.c,RawData!K485,
IF(ISNUMBER(_xlpm.p),_xlpm.p,
IF(AND(ISNUMBER(_xlpm.r),ISNUMBER(_xlpm.c)),
_xlpm.r-_xlpm.c,
""
)
))</f>
        <v>535.95000000000005</v>
      </c>
    </row>
    <row r="486" spans="1:12" x14ac:dyDescent="0.35">
      <c r="A486" t="s">
        <v>527</v>
      </c>
      <c r="B486" s="7">
        <v>45936</v>
      </c>
      <c r="C486" t="str">
        <f>IF(RawData!C486="","Unknown",PROPER(TRIM(CLEAN(SUBSTITUTE(RawData!C486,CHAR(160)," ")))))</f>
        <v>North</v>
      </c>
      <c r="D486" t="str">
        <f>IF(RawData!D486="","Unknown",PROPER(TRIM(CLEAN(SUBSTITUTE(RawData!D486,CHAR(160)," ")))))</f>
        <v>Delhi</v>
      </c>
      <c r="E486" t="str">
        <f>IF(RawData!E486="","Unknown",PROPER(TRIM(CLEAN(SUBSTITUTE(RawData!E486,CHAR(160)," ")))))</f>
        <v>Headphones</v>
      </c>
      <c r="F486" t="str">
        <f>IF(RawData!F486="","Unknown",PROPER(TRIM(CLEAN(SUBSTITUTE(RawData!F486,CHAR(160)," ")))))</f>
        <v>Electronics</v>
      </c>
      <c r="G486">
        <f>_xlfn.LET(
_xlpm.q,RawData!G486,
_xlpm.u,RawData!H486,
_xlpm.d,RawData!I486,
_xlpm.r,RawData!J486,
IF(AND(ISNUMBER(_xlpm.q),_xlpm.q&gt;0),_xlpm.q,
   IF(AND(ISNUMBER(_xlpm.r),ISNUMBER(_xlpm.u),_xlpm.u&gt;0,ISNUMBER(_xlpm.d),_xlpm.d&gt;=0,_xlpm.d&lt;1),
      ROUND(_xlpm.r/(_xlpm.u*(1-_xlpm.d)),0),
      ""
   )
)
)</f>
        <v>6</v>
      </c>
      <c r="H486" s="4">
        <f>_xlfn.LET(
_xlpm.q,RawData!G486,
_xlpm.u,RawData!H486,
_xlpm.d,RawData!I486,
_xlpm.r,RawData!J486,
IF(AND(ISNUMBER(_xlpm.u),_xlpm.u&gt;0),_xlpm.u,
   IF(AND(ISNUMBER(_xlpm.q),_xlpm.q&gt;0,ISNUMBER(_xlpm.r),ISNUMBER(_xlpm.d),_xlpm.d&gt;=0,_xlpm.d&lt;1),
      _xlpm.r/(_xlpm.q*(1-_xlpm.d)),
      ""
   )
)
)</f>
        <v>81.59</v>
      </c>
      <c r="I486" s="5">
        <f>_xlfn.LET(
_xlpm.q,RawData!G486,
_xlpm.u,RawData!H486,
_xlpm.d,RawData!I486,
_xlpm.r,RawData!J486,
IF(AND(ISNUMBER(_xlpm.d),_xlpm.d&gt;=0,_xlpm.d&lt;1),_xlpm.d,
   IF(AND(ISNUMBER(_xlpm.q),_xlpm.q&gt;0,ISNUMBER(_xlpm.u),_xlpm.u&gt;0,ISNUMBER(_xlpm.r),_xlpm.r&gt;=0),
      1-(_xlpm.r/(_xlpm.q*_xlpm.u)),
      ""
   )
)
)</f>
        <v>0</v>
      </c>
      <c r="J486" s="4">
        <f>_xlfn.LET(
_xlpm.q,RawData!G486,
_xlpm.u,RawData!H486,
_xlpm.d,RawData!I486,
_xlpm.r,RawData!J486,
IF(AND(ISNUMBER(_xlpm.r),_xlpm.r&gt;=0),_xlpm.r,
   IF(AND(ISNUMBER(_xlpm.q),_xlpm.q&gt;0,ISNUMBER(_xlpm.u),_xlpm.u&gt;0,ISNUMBER(_xlpm.d),_xlpm.d&gt;=0,_xlpm.d&lt;1),
      _xlpm.q*_xlpm.u*(1-_xlpm.d),
      ""
   )
)
)</f>
        <v>489.54</v>
      </c>
      <c r="K486" s="4">
        <f>_xlfn.LET(
_xlpm.c,RawData!K486,
_xlpm.r,RawData!J486,
_xlpm.p,RawData!L486,
IF(AND(ISNUMBER(_xlpm.c),_xlpm.c&gt;=0),_xlpm.c,
   IF(AND(ISNUMBER(_xlpm.r),ISNUMBER(_xlpm.p)),
      _xlpm.r-_xlpm.p,
      ""
   )
)
)</f>
        <v>332.17</v>
      </c>
      <c r="L486" s="4">
        <f>_xlfn.LET(
_xlpm.p,RawData!L486,
_xlpm.r,RawData!J486,
_xlpm.c,RawData!K486,
IF(ISNUMBER(_xlpm.p),_xlpm.p,
IF(AND(ISNUMBER(_xlpm.r),ISNUMBER(_xlpm.c)),
_xlpm.r-_xlpm.c,
""
)
))</f>
        <v>157.37</v>
      </c>
    </row>
    <row r="487" spans="1:12" x14ac:dyDescent="0.35">
      <c r="A487" t="s">
        <v>528</v>
      </c>
      <c r="B487" s="7">
        <v>45958</v>
      </c>
      <c r="C487" t="str">
        <f>IF(RawData!C487="","Unknown",PROPER(TRIM(CLEAN(SUBSTITUTE(RawData!C487,CHAR(160)," ")))))</f>
        <v>South</v>
      </c>
      <c r="D487" t="str">
        <f>IF(RawData!D487="","Unknown",PROPER(TRIM(CLEAN(SUBSTITUTE(RawData!D487,CHAR(160)," ")))))</f>
        <v>Chennai</v>
      </c>
      <c r="E487" t="str">
        <f>IF(RawData!E487="","Unknown",PROPER(TRIM(CLEAN(SUBSTITUTE(RawData!E487,CHAR(160)," ")))))</f>
        <v>Keyboard</v>
      </c>
      <c r="F487" t="str">
        <f>IF(RawData!F487="","Unknown",PROPER(TRIM(CLEAN(SUBSTITUTE(RawData!F487,CHAR(160)," ")))))</f>
        <v>Accessories</v>
      </c>
      <c r="G487">
        <f>_xlfn.LET(
_xlpm.q,RawData!G487,
_xlpm.u,RawData!H487,
_xlpm.d,RawData!I487,
_xlpm.r,RawData!J487,
IF(AND(ISNUMBER(_xlpm.q),_xlpm.q&gt;0),_xlpm.q,
   IF(AND(ISNUMBER(_xlpm.r),ISNUMBER(_xlpm.u),_xlpm.u&gt;0,ISNUMBER(_xlpm.d),_xlpm.d&gt;=0,_xlpm.d&lt;1),
      ROUND(_xlpm.r/(_xlpm.u*(1-_xlpm.d)),0),
      ""
   )
)
)</f>
        <v>7</v>
      </c>
      <c r="H487" s="4">
        <f>_xlfn.LET(
_xlpm.q,RawData!G487,
_xlpm.u,RawData!H487,
_xlpm.d,RawData!I487,
_xlpm.r,RawData!J487,
IF(AND(ISNUMBER(_xlpm.u),_xlpm.u&gt;0),_xlpm.u,
   IF(AND(ISNUMBER(_xlpm.q),_xlpm.q&gt;0,ISNUMBER(_xlpm.r),ISNUMBER(_xlpm.d),_xlpm.d&gt;=0,_xlpm.d&lt;1),
      _xlpm.r/(_xlpm.q*(1-_xlpm.d)),
      ""
   )
)
)</f>
        <v>36.72</v>
      </c>
      <c r="I487" s="5">
        <f>_xlfn.LET(
_xlpm.q,RawData!G487,
_xlpm.u,RawData!H487,
_xlpm.d,RawData!I487,
_xlpm.r,RawData!J487,
IF(AND(ISNUMBER(_xlpm.d),_xlpm.d&gt;=0,_xlpm.d&lt;1),_xlpm.d,
   IF(AND(ISNUMBER(_xlpm.q),_xlpm.q&gt;0,ISNUMBER(_xlpm.u),_xlpm.u&gt;0,ISNUMBER(_xlpm.r),_xlpm.r&gt;=0),
      1-(_xlpm.r/(_xlpm.q*_xlpm.u)),
      ""
   )
)
)</f>
        <v>0</v>
      </c>
      <c r="J487" s="4">
        <f>_xlfn.LET(
_xlpm.q,RawData!G487,
_xlpm.u,RawData!H487,
_xlpm.d,RawData!I487,
_xlpm.r,RawData!J487,
IF(AND(ISNUMBER(_xlpm.r),_xlpm.r&gt;=0),_xlpm.r,
   IF(AND(ISNUMBER(_xlpm.q),_xlpm.q&gt;0,ISNUMBER(_xlpm.u),_xlpm.u&gt;0,ISNUMBER(_xlpm.d),_xlpm.d&gt;=0,_xlpm.d&lt;1),
      _xlpm.q*_xlpm.u*(1-_xlpm.d),
      ""
   )
)
)</f>
        <v>257.04000000000002</v>
      </c>
      <c r="K487" s="4">
        <f>_xlfn.LET(
_xlpm.c,RawData!K487,
_xlpm.r,RawData!J487,
_xlpm.p,RawData!L487,
IF(AND(ISNUMBER(_xlpm.c),_xlpm.c&gt;=0),_xlpm.c,
   IF(AND(ISNUMBER(_xlpm.r),ISNUMBER(_xlpm.p)),
      _xlpm.r-_xlpm.p,
      ""
   )
)
)</f>
        <v>206.39</v>
      </c>
      <c r="L487" s="4">
        <f>_xlfn.LET(
_xlpm.p,RawData!L487,
_xlpm.r,RawData!J487,
_xlpm.c,RawData!K487,
IF(ISNUMBER(_xlpm.p),_xlpm.p,
IF(AND(ISNUMBER(_xlpm.r),ISNUMBER(_xlpm.c)),
_xlpm.r-_xlpm.c,
""
)
))</f>
        <v>50.65</v>
      </c>
    </row>
    <row r="488" spans="1:12" x14ac:dyDescent="0.35">
      <c r="A488" t="s">
        <v>529</v>
      </c>
      <c r="B488" s="7">
        <v>45741</v>
      </c>
      <c r="C488" t="str">
        <f>IF(RawData!C488="","Unknown",PROPER(TRIM(CLEAN(SUBSTITUTE(RawData!C488,CHAR(160)," ")))))</f>
        <v>South</v>
      </c>
      <c r="D488" t="str">
        <f>IF(RawData!D488="","Unknown",PROPER(TRIM(CLEAN(SUBSTITUTE(RawData!D488,CHAR(160)," ")))))</f>
        <v>Bengaluru</v>
      </c>
      <c r="E488" t="str">
        <f>IF(RawData!E488="","Unknown",PROPER(TRIM(CLEAN(SUBSTITUTE(RawData!E488,CHAR(160)," ")))))</f>
        <v>Pen Set</v>
      </c>
      <c r="F488" t="str">
        <f>IF(RawData!F488="","Unknown",PROPER(TRIM(CLEAN(SUBSTITUTE(RawData!F488,CHAR(160)," ")))))</f>
        <v>Office Supplies</v>
      </c>
      <c r="G488">
        <f>_xlfn.LET(
_xlpm.q,RawData!G488,
_xlpm.u,RawData!H488,
_xlpm.d,RawData!I488,
_xlpm.r,RawData!J488,
IF(AND(ISNUMBER(_xlpm.q),_xlpm.q&gt;0),_xlpm.q,
   IF(AND(ISNUMBER(_xlpm.r),ISNUMBER(_xlpm.u),_xlpm.u&gt;0,ISNUMBER(_xlpm.d),_xlpm.d&gt;=0,_xlpm.d&lt;1),
      ROUND(_xlpm.r/(_xlpm.u*(1-_xlpm.d)),0),
      ""
   )
)
)</f>
        <v>7</v>
      </c>
      <c r="H488" s="4">
        <f>_xlfn.LET(
_xlpm.q,RawData!G488,
_xlpm.u,RawData!H488,
_xlpm.d,RawData!I488,
_xlpm.r,RawData!J488,
IF(AND(ISNUMBER(_xlpm.u),_xlpm.u&gt;0),_xlpm.u,
   IF(AND(ISNUMBER(_xlpm.q),_xlpm.q&gt;0,ISNUMBER(_xlpm.r),ISNUMBER(_xlpm.d),_xlpm.d&gt;=0,_xlpm.d&lt;1),
      _xlpm.r/(_xlpm.q*(1-_xlpm.d)),
      ""
   )
)
)</f>
        <v>12.84</v>
      </c>
      <c r="I488" s="5">
        <f>_xlfn.LET(
_xlpm.q,RawData!G488,
_xlpm.u,RawData!H488,
_xlpm.d,RawData!I488,
_xlpm.r,RawData!J488,
IF(AND(ISNUMBER(_xlpm.d),_xlpm.d&gt;=0,_xlpm.d&lt;1),_xlpm.d,
   IF(AND(ISNUMBER(_xlpm.q),_xlpm.q&gt;0,ISNUMBER(_xlpm.u),_xlpm.u&gt;0,ISNUMBER(_xlpm.r),_xlpm.r&gt;=0),
      1-(_xlpm.r/(_xlpm.q*_xlpm.u)),
      ""
   )
)
)</f>
        <v>0.2</v>
      </c>
      <c r="J488" s="4">
        <f>_xlfn.LET(
_xlpm.q,RawData!G488,
_xlpm.u,RawData!H488,
_xlpm.d,RawData!I488,
_xlpm.r,RawData!J488,
IF(AND(ISNUMBER(_xlpm.r),_xlpm.r&gt;=0),_xlpm.r,
   IF(AND(ISNUMBER(_xlpm.q),_xlpm.q&gt;0,ISNUMBER(_xlpm.u),_xlpm.u&gt;0,ISNUMBER(_xlpm.d),_xlpm.d&gt;=0,_xlpm.d&lt;1),
      _xlpm.q*_xlpm.u*(1-_xlpm.d),
      ""
   )
)
)</f>
        <v>71.900000000000006</v>
      </c>
      <c r="K488" s="4">
        <f>_xlfn.LET(
_xlpm.c,RawData!K488,
_xlpm.r,RawData!J488,
_xlpm.p,RawData!L488,
IF(AND(ISNUMBER(_xlpm.c),_xlpm.c&gt;=0),_xlpm.c,
   IF(AND(ISNUMBER(_xlpm.r),ISNUMBER(_xlpm.p)),
      _xlpm.r-_xlpm.p,
      ""
   )
)
)</f>
        <v>43.72</v>
      </c>
      <c r="L488" s="4">
        <f>_xlfn.LET(
_xlpm.p,RawData!L488,
_xlpm.r,RawData!J488,
_xlpm.c,RawData!K488,
IF(ISNUMBER(_xlpm.p),_xlpm.p,
IF(AND(ISNUMBER(_xlpm.r),ISNUMBER(_xlpm.c)),
_xlpm.r-_xlpm.c,
""
)
))</f>
        <v>28.18</v>
      </c>
    </row>
    <row r="489" spans="1:12" x14ac:dyDescent="0.35">
      <c r="A489" t="s">
        <v>530</v>
      </c>
      <c r="B489" s="7">
        <v>45827</v>
      </c>
      <c r="C489" t="str">
        <f>IF(RawData!C489="","Unknown",PROPER(TRIM(CLEAN(SUBSTITUTE(RawData!C489,CHAR(160)," ")))))</f>
        <v>West</v>
      </c>
      <c r="D489" t="str">
        <f>IF(RawData!D489="","Unknown",PROPER(TRIM(CLEAN(SUBSTITUTE(RawData!D489,CHAR(160)," ")))))</f>
        <v>Ahmedabad</v>
      </c>
      <c r="E489" t="str">
        <f>IF(RawData!E489="","Unknown",PROPER(TRIM(CLEAN(SUBSTITUTE(RawData!E489,CHAR(160)," ")))))</f>
        <v>Keyboard</v>
      </c>
      <c r="F489" t="str">
        <f>IF(RawData!F489="","Unknown",PROPER(TRIM(CLEAN(SUBSTITUTE(RawData!F489,CHAR(160)," ")))))</f>
        <v>Accessories</v>
      </c>
      <c r="G489">
        <f>_xlfn.LET(
_xlpm.q,RawData!G489,
_xlpm.u,RawData!H489,
_xlpm.d,RawData!I489,
_xlpm.r,RawData!J489,
IF(AND(ISNUMBER(_xlpm.q),_xlpm.q&gt;0),_xlpm.q,
   IF(AND(ISNUMBER(_xlpm.r),ISNUMBER(_xlpm.u),_xlpm.u&gt;0,ISNUMBER(_xlpm.d),_xlpm.d&gt;=0,_xlpm.d&lt;1),
      ROUND(_xlpm.r/(_xlpm.u*(1-_xlpm.d)),0),
      ""
   )
)
)</f>
        <v>3</v>
      </c>
      <c r="H489" s="4">
        <f>_xlfn.LET(
_xlpm.q,RawData!G489,
_xlpm.u,RawData!H489,
_xlpm.d,RawData!I489,
_xlpm.r,RawData!J489,
IF(AND(ISNUMBER(_xlpm.u),_xlpm.u&gt;0),_xlpm.u,
   IF(AND(ISNUMBER(_xlpm.q),_xlpm.q&gt;0,ISNUMBER(_xlpm.r),ISNUMBER(_xlpm.d),_xlpm.d&gt;=0,_xlpm.d&lt;1),
      _xlpm.r/(_xlpm.q*(1-_xlpm.d)),
      ""
   )
)
)</f>
        <v>30.08</v>
      </c>
      <c r="I489" s="5">
        <f>_xlfn.LET(
_xlpm.q,RawData!G489,
_xlpm.u,RawData!H489,
_xlpm.d,RawData!I489,
_xlpm.r,RawData!J489,
IF(AND(ISNUMBER(_xlpm.d),_xlpm.d&gt;=0,_xlpm.d&lt;1),_xlpm.d,
   IF(AND(ISNUMBER(_xlpm.q),_xlpm.q&gt;0,ISNUMBER(_xlpm.u),_xlpm.u&gt;0,ISNUMBER(_xlpm.r),_xlpm.r&gt;=0),
      1-(_xlpm.r/(_xlpm.q*_xlpm.u)),
      ""
   )
)
)</f>
        <v>0.2</v>
      </c>
      <c r="J489" s="4">
        <f>_xlfn.LET(
_xlpm.q,RawData!G489,
_xlpm.u,RawData!H489,
_xlpm.d,RawData!I489,
_xlpm.r,RawData!J489,
IF(AND(ISNUMBER(_xlpm.r),_xlpm.r&gt;=0),_xlpm.r,
   IF(AND(ISNUMBER(_xlpm.q),_xlpm.q&gt;0,ISNUMBER(_xlpm.u),_xlpm.u&gt;0,ISNUMBER(_xlpm.d),_xlpm.d&gt;=0,_xlpm.d&lt;1),
      _xlpm.q*_xlpm.u*(1-_xlpm.d),
      ""
   )
)
)</f>
        <v>72.19</v>
      </c>
      <c r="K489" s="4">
        <f>_xlfn.LET(
_xlpm.c,RawData!K489,
_xlpm.r,RawData!J489,
_xlpm.p,RawData!L489,
IF(AND(ISNUMBER(_xlpm.c),_xlpm.c&gt;=0),_xlpm.c,
   IF(AND(ISNUMBER(_xlpm.r),ISNUMBER(_xlpm.p)),
      _xlpm.r-_xlpm.p,
      ""
   )
)
)</f>
        <v>44.82</v>
      </c>
      <c r="L489" s="4">
        <f>_xlfn.LET(
_xlpm.p,RawData!L489,
_xlpm.r,RawData!J489,
_xlpm.c,RawData!K489,
IF(ISNUMBER(_xlpm.p),_xlpm.p,
IF(AND(ISNUMBER(_xlpm.r),ISNUMBER(_xlpm.c)),
_xlpm.r-_xlpm.c,
""
)
))</f>
        <v>27.37</v>
      </c>
    </row>
    <row r="490" spans="1:12" x14ac:dyDescent="0.35">
      <c r="A490" t="s">
        <v>531</v>
      </c>
      <c r="B490" s="7">
        <v>45698</v>
      </c>
      <c r="C490" t="str">
        <f>IF(RawData!C490="","Unknown",PROPER(TRIM(CLEAN(SUBSTITUTE(RawData!C490,CHAR(160)," ")))))</f>
        <v>East</v>
      </c>
      <c r="D490" t="str">
        <f>IF(RawData!D490="","Unknown",PROPER(TRIM(CLEAN(SUBSTITUTE(RawData!D490,CHAR(160)," ")))))</f>
        <v>Kolkata</v>
      </c>
      <c r="E490" t="str">
        <f>IF(RawData!E490="","Unknown",PROPER(TRIM(CLEAN(SUBSTITUTE(RawData!E490,CHAR(160)," ")))))</f>
        <v>Laptop</v>
      </c>
      <c r="F490" t="str">
        <f>IF(RawData!F490="","Unknown",PROPER(TRIM(CLEAN(SUBSTITUTE(RawData!F490,CHAR(160)," ")))))</f>
        <v>Electronics</v>
      </c>
      <c r="G490">
        <f>_xlfn.LET(
_xlpm.q,RawData!G490,
_xlpm.u,RawData!H490,
_xlpm.d,RawData!I490,
_xlpm.r,RawData!J490,
IF(AND(ISNUMBER(_xlpm.q),_xlpm.q&gt;0),_xlpm.q,
   IF(AND(ISNUMBER(_xlpm.r),ISNUMBER(_xlpm.u),_xlpm.u&gt;0,ISNUMBER(_xlpm.d),_xlpm.d&gt;=0,_xlpm.d&lt;1),
      ROUND(_xlpm.r/(_xlpm.u*(1-_xlpm.d)),0),
      ""
   )
)
)</f>
        <v>2</v>
      </c>
      <c r="H490" s="4">
        <f>_xlfn.LET(
_xlpm.q,RawData!G490,
_xlpm.u,RawData!H490,
_xlpm.d,RawData!I490,
_xlpm.r,RawData!J490,
IF(AND(ISNUMBER(_xlpm.u),_xlpm.u&gt;0),_xlpm.u,
   IF(AND(ISNUMBER(_xlpm.q),_xlpm.q&gt;0,ISNUMBER(_xlpm.r),ISNUMBER(_xlpm.d),_xlpm.d&gt;=0,_xlpm.d&lt;1),
      _xlpm.r/(_xlpm.q*(1-_xlpm.d)),
      ""
   )
)
)</f>
        <v>874.23888888888894</v>
      </c>
      <c r="I490" s="5">
        <f>_xlfn.LET(
_xlpm.q,RawData!G490,
_xlpm.u,RawData!H490,
_xlpm.d,RawData!I490,
_xlpm.r,RawData!J490,
IF(AND(ISNUMBER(_xlpm.d),_xlpm.d&gt;=0,_xlpm.d&lt;1),_xlpm.d,
   IF(AND(ISNUMBER(_xlpm.q),_xlpm.q&gt;0,ISNUMBER(_xlpm.u),_xlpm.u&gt;0,ISNUMBER(_xlpm.r),_xlpm.r&gt;=0),
      1-(_xlpm.r/(_xlpm.q*_xlpm.u)),
      ""
   )
)
)</f>
        <v>0.1</v>
      </c>
      <c r="J490" s="4">
        <f>_xlfn.LET(
_xlpm.q,RawData!G490,
_xlpm.u,RawData!H490,
_xlpm.d,RawData!I490,
_xlpm.r,RawData!J490,
IF(AND(ISNUMBER(_xlpm.r),_xlpm.r&gt;=0),_xlpm.r,
   IF(AND(ISNUMBER(_xlpm.q),_xlpm.q&gt;0,ISNUMBER(_xlpm.u),_xlpm.u&gt;0,ISNUMBER(_xlpm.d),_xlpm.d&gt;=0,_xlpm.d&lt;1),
      _xlpm.q*_xlpm.u*(1-_xlpm.d),
      ""
   )
)
)</f>
        <v>1573.63</v>
      </c>
      <c r="K490" s="4">
        <f>_xlfn.LET(
_xlpm.c,RawData!K490,
_xlpm.r,RawData!J490,
_xlpm.p,RawData!L490,
IF(AND(ISNUMBER(_xlpm.c),_xlpm.c&gt;=0),_xlpm.c,
   IF(AND(ISNUMBER(_xlpm.r),ISNUMBER(_xlpm.p)),
      _xlpm.r-_xlpm.p,
      ""
   )
)
)</f>
        <v>887.35</v>
      </c>
      <c r="L490" s="4">
        <f>_xlfn.LET(
_xlpm.p,RawData!L490,
_xlpm.r,RawData!J490,
_xlpm.c,RawData!K490,
IF(ISNUMBER(_xlpm.p),_xlpm.p,
IF(AND(ISNUMBER(_xlpm.r),ISNUMBER(_xlpm.c)),
_xlpm.r-_xlpm.c,
""
)
))</f>
        <v>686.28</v>
      </c>
    </row>
    <row r="491" spans="1:12" x14ac:dyDescent="0.35">
      <c r="A491" t="s">
        <v>532</v>
      </c>
      <c r="B491" s="7">
        <v>45696</v>
      </c>
      <c r="C491" t="str">
        <f>IF(RawData!C491="","Unknown",PROPER(TRIM(CLEAN(SUBSTITUTE(RawData!C491,CHAR(160)," ")))))</f>
        <v>East</v>
      </c>
      <c r="D491" t="str">
        <f>IF(RawData!D491="","Unknown",PROPER(TRIM(CLEAN(SUBSTITUTE(RawData!D491,CHAR(160)," ")))))</f>
        <v>Bhubaneswar</v>
      </c>
      <c r="E491" t="str">
        <f>IF(RawData!E491="","Unknown",PROPER(TRIM(CLEAN(SUBSTITUTE(RawData!E491,CHAR(160)," ")))))</f>
        <v>Pen Set</v>
      </c>
      <c r="F491" t="str">
        <f>IF(RawData!F491="","Unknown",PROPER(TRIM(CLEAN(SUBSTITUTE(RawData!F491,CHAR(160)," ")))))</f>
        <v>Office Supplies</v>
      </c>
      <c r="G491">
        <f>_xlfn.LET(
_xlpm.q,RawData!G491,
_xlpm.u,RawData!H491,
_xlpm.d,RawData!I491,
_xlpm.r,RawData!J491,
IF(AND(ISNUMBER(_xlpm.q),_xlpm.q&gt;0),_xlpm.q,
   IF(AND(ISNUMBER(_xlpm.r),ISNUMBER(_xlpm.u),_xlpm.u&gt;0,ISNUMBER(_xlpm.d),_xlpm.d&gt;=0,_xlpm.d&lt;1),
      ROUND(_xlpm.r/(_xlpm.u*(1-_xlpm.d)),0),
      ""
   )
)
)</f>
        <v>10</v>
      </c>
      <c r="H491" s="4">
        <f>_xlfn.LET(
_xlpm.q,RawData!G491,
_xlpm.u,RawData!H491,
_xlpm.d,RawData!I491,
_xlpm.r,RawData!J491,
IF(AND(ISNUMBER(_xlpm.u),_xlpm.u&gt;0),_xlpm.u,
   IF(AND(ISNUMBER(_xlpm.q),_xlpm.q&gt;0,ISNUMBER(_xlpm.r),ISNUMBER(_xlpm.d),_xlpm.d&gt;=0,_xlpm.d&lt;1),
      _xlpm.r/(_xlpm.q*(1-_xlpm.d)),
      ""
   )
)
)</f>
        <v>11.99</v>
      </c>
      <c r="I491" s="5">
        <f>_xlfn.LET(
_xlpm.q,RawData!G491,
_xlpm.u,RawData!H491,
_xlpm.d,RawData!I491,
_xlpm.r,RawData!J491,
IF(AND(ISNUMBER(_xlpm.d),_xlpm.d&gt;=0,_xlpm.d&lt;1),_xlpm.d,
   IF(AND(ISNUMBER(_xlpm.q),_xlpm.q&gt;0,ISNUMBER(_xlpm.u),_xlpm.u&gt;0,ISNUMBER(_xlpm.r),_xlpm.r&gt;=0),
      1-(_xlpm.r/(_xlpm.q*_xlpm.u)),
      ""
   )
)
)</f>
        <v>0.15</v>
      </c>
      <c r="J491" s="4">
        <f>_xlfn.LET(
_xlpm.q,RawData!G491,
_xlpm.u,RawData!H491,
_xlpm.d,RawData!I491,
_xlpm.r,RawData!J491,
IF(AND(ISNUMBER(_xlpm.r),_xlpm.r&gt;=0),_xlpm.r,
   IF(AND(ISNUMBER(_xlpm.q),_xlpm.q&gt;0,ISNUMBER(_xlpm.u),_xlpm.u&gt;0,ISNUMBER(_xlpm.d),_xlpm.d&gt;=0,_xlpm.d&lt;1),
      _xlpm.q*_xlpm.u*(1-_xlpm.d),
      ""
   )
)
)</f>
        <v>101.92</v>
      </c>
      <c r="K491" s="4">
        <f>_xlfn.LET(
_xlpm.c,RawData!K491,
_xlpm.r,RawData!J491,
_xlpm.p,RawData!L491,
IF(AND(ISNUMBER(_xlpm.c),_xlpm.c&gt;=0),_xlpm.c,
   IF(AND(ISNUMBER(_xlpm.r),ISNUMBER(_xlpm.p)),
      _xlpm.r-_xlpm.p,
      ""
   )
)
)</f>
        <v>72.48</v>
      </c>
      <c r="L491" s="4">
        <f>_xlfn.LET(
_xlpm.p,RawData!L491,
_xlpm.r,RawData!J491,
_xlpm.c,RawData!K491,
IF(ISNUMBER(_xlpm.p),_xlpm.p,
IF(AND(ISNUMBER(_xlpm.r),ISNUMBER(_xlpm.c)),
_xlpm.r-_xlpm.c,
""
)
))</f>
        <v>29.44</v>
      </c>
    </row>
    <row r="492" spans="1:12" x14ac:dyDescent="0.35">
      <c r="A492" t="s">
        <v>533</v>
      </c>
      <c r="B492" s="7">
        <v>45825</v>
      </c>
      <c r="C492" t="str">
        <f>IF(RawData!C492="","Unknown",PROPER(TRIM(CLEAN(SUBSTITUTE(RawData!C492,CHAR(160)," ")))))</f>
        <v>North</v>
      </c>
      <c r="D492" t="str">
        <f>IF(RawData!D492="","Unknown",PROPER(TRIM(CLEAN(SUBSTITUTE(RawData!D492,CHAR(160)," ")))))</f>
        <v>Jaipur</v>
      </c>
      <c r="E492" t="str">
        <f>IF(RawData!E492="","Unknown",PROPER(TRIM(CLEAN(SUBSTITUTE(RawData!E492,CHAR(160)," ")))))</f>
        <v>Backpack</v>
      </c>
      <c r="F492" t="str">
        <f>IF(RawData!F492="","Unknown",PROPER(TRIM(CLEAN(SUBSTITUTE(RawData!F492,CHAR(160)," ")))))</f>
        <v>Accessories</v>
      </c>
      <c r="G492">
        <f>_xlfn.LET(
_xlpm.q,RawData!G492,
_xlpm.u,RawData!H492,
_xlpm.d,RawData!I492,
_xlpm.r,RawData!J492,
IF(AND(ISNUMBER(_xlpm.q),_xlpm.q&gt;0),_xlpm.q,
   IF(AND(ISNUMBER(_xlpm.r),ISNUMBER(_xlpm.u),_xlpm.u&gt;0,ISNUMBER(_xlpm.d),_xlpm.d&gt;=0,_xlpm.d&lt;1),
      ROUND(_xlpm.r/(_xlpm.u*(1-_xlpm.d)),0),
      ""
   )
)
)</f>
        <v>5</v>
      </c>
      <c r="H492" s="4">
        <f>_xlfn.LET(
_xlpm.q,RawData!G492,
_xlpm.u,RawData!H492,
_xlpm.d,RawData!I492,
_xlpm.r,RawData!J492,
IF(AND(ISNUMBER(_xlpm.u),_xlpm.u&gt;0),_xlpm.u,
   IF(AND(ISNUMBER(_xlpm.q),_xlpm.q&gt;0,ISNUMBER(_xlpm.r),ISNUMBER(_xlpm.d),_xlpm.d&gt;=0,_xlpm.d&lt;1),
      _xlpm.r/(_xlpm.q*(1-_xlpm.d)),
      ""
   )
)
)</f>
        <v>42.76</v>
      </c>
      <c r="I492" s="5">
        <f>_xlfn.LET(
_xlpm.q,RawData!G492,
_xlpm.u,RawData!H492,
_xlpm.d,RawData!I492,
_xlpm.r,RawData!J492,
IF(AND(ISNUMBER(_xlpm.d),_xlpm.d&gt;=0,_xlpm.d&lt;1),_xlpm.d,
   IF(AND(ISNUMBER(_xlpm.q),_xlpm.q&gt;0,ISNUMBER(_xlpm.u),_xlpm.u&gt;0,ISNUMBER(_xlpm.r),_xlpm.r&gt;=0),
      1-(_xlpm.r/(_xlpm.q*_xlpm.u)),
      ""
   )
)
)</f>
        <v>0.1</v>
      </c>
      <c r="J492" s="4">
        <f>_xlfn.LET(
_xlpm.q,RawData!G492,
_xlpm.u,RawData!H492,
_xlpm.d,RawData!I492,
_xlpm.r,RawData!J492,
IF(AND(ISNUMBER(_xlpm.r),_xlpm.r&gt;=0),_xlpm.r,
   IF(AND(ISNUMBER(_xlpm.q),_xlpm.q&gt;0,ISNUMBER(_xlpm.u),_xlpm.u&gt;0,ISNUMBER(_xlpm.d),_xlpm.d&gt;=0,_xlpm.d&lt;1),
      _xlpm.q*_xlpm.u*(1-_xlpm.d),
      ""
   )
)
)</f>
        <v>192.42</v>
      </c>
      <c r="K492" s="4">
        <f>_xlfn.LET(
_xlpm.c,RawData!K492,
_xlpm.r,RawData!J492,
_xlpm.p,RawData!L492,
IF(AND(ISNUMBER(_xlpm.c),_xlpm.c&gt;=0),_xlpm.c,
   IF(AND(ISNUMBER(_xlpm.r),ISNUMBER(_xlpm.p)),
      _xlpm.r-_xlpm.p,
      ""
   )
)
)</f>
        <v>145.88</v>
      </c>
      <c r="L492" s="4">
        <f>_xlfn.LET(
_xlpm.p,RawData!L492,
_xlpm.r,RawData!J492,
_xlpm.c,RawData!K492,
IF(ISNUMBER(_xlpm.p),_xlpm.p,
IF(AND(ISNUMBER(_xlpm.r),ISNUMBER(_xlpm.c)),
_xlpm.r-_xlpm.c,
""
)
))</f>
        <v>46.54</v>
      </c>
    </row>
    <row r="493" spans="1:12" x14ac:dyDescent="0.35">
      <c r="A493" t="s">
        <v>534</v>
      </c>
      <c r="B493" s="7">
        <v>45774</v>
      </c>
      <c r="C493" t="str">
        <f>IF(RawData!C493="","Unknown",PROPER(TRIM(CLEAN(SUBSTITUTE(RawData!C493,CHAR(160)," ")))))</f>
        <v>East</v>
      </c>
      <c r="D493" t="str">
        <f>IF(RawData!D493="","Unknown",PROPER(TRIM(CLEAN(SUBSTITUTE(RawData!D493,CHAR(160)," ")))))</f>
        <v>Kolkata</v>
      </c>
      <c r="E493" t="str">
        <f>IF(RawData!E493="","Unknown",PROPER(TRIM(CLEAN(SUBSTITUTE(RawData!E493,CHAR(160)," ")))))</f>
        <v>Notebook</v>
      </c>
      <c r="F493" t="str">
        <f>IF(RawData!F493="","Unknown",PROPER(TRIM(CLEAN(SUBSTITUTE(RawData!F493,CHAR(160)," ")))))</f>
        <v>Office Supplies</v>
      </c>
      <c r="G493">
        <f>_xlfn.LET(
_xlpm.q,RawData!G493,
_xlpm.u,RawData!H493,
_xlpm.d,RawData!I493,
_xlpm.r,RawData!J493,
IF(AND(ISNUMBER(_xlpm.q),_xlpm.q&gt;0),_xlpm.q,
   IF(AND(ISNUMBER(_xlpm.r),ISNUMBER(_xlpm.u),_xlpm.u&gt;0,ISNUMBER(_xlpm.d),_xlpm.d&gt;=0,_xlpm.d&lt;1),
      ROUND(_xlpm.r/(_xlpm.u*(1-_xlpm.d)),0),
      ""
   )
)
)</f>
        <v>7</v>
      </c>
      <c r="H493" s="4">
        <f>_xlfn.LET(
_xlpm.q,RawData!G493,
_xlpm.u,RawData!H493,
_xlpm.d,RawData!I493,
_xlpm.r,RawData!J493,
IF(AND(ISNUMBER(_xlpm.u),_xlpm.u&gt;0),_xlpm.u,
   IF(AND(ISNUMBER(_xlpm.q),_xlpm.q&gt;0,ISNUMBER(_xlpm.r),ISNUMBER(_xlpm.d),_xlpm.d&gt;=0,_xlpm.d&lt;1),
      _xlpm.r/(_xlpm.q*(1-_xlpm.d)),
      ""
   )
)
)</f>
        <v>7.06</v>
      </c>
      <c r="I493" s="5">
        <f>_xlfn.LET(
_xlpm.q,RawData!G493,
_xlpm.u,RawData!H493,
_xlpm.d,RawData!I493,
_xlpm.r,RawData!J493,
IF(AND(ISNUMBER(_xlpm.d),_xlpm.d&gt;=0,_xlpm.d&lt;1),_xlpm.d,
   IF(AND(ISNUMBER(_xlpm.q),_xlpm.q&gt;0,ISNUMBER(_xlpm.u),_xlpm.u&gt;0,ISNUMBER(_xlpm.r),_xlpm.r&gt;=0),
      1-(_xlpm.r/(_xlpm.q*_xlpm.u)),
      ""
   )
)
)</f>
        <v>0.1</v>
      </c>
      <c r="J493" s="4">
        <f>_xlfn.LET(
_xlpm.q,RawData!G493,
_xlpm.u,RawData!H493,
_xlpm.d,RawData!I493,
_xlpm.r,RawData!J493,
IF(AND(ISNUMBER(_xlpm.r),_xlpm.r&gt;=0),_xlpm.r,
   IF(AND(ISNUMBER(_xlpm.q),_xlpm.q&gt;0,ISNUMBER(_xlpm.u),_xlpm.u&gt;0,ISNUMBER(_xlpm.d),_xlpm.d&gt;=0,_xlpm.d&lt;1),
      _xlpm.q*_xlpm.u*(1-_xlpm.d),
      ""
   )
)
)</f>
        <v>44.48</v>
      </c>
      <c r="K493" s="4">
        <f>_xlfn.LET(
_xlpm.c,RawData!K493,
_xlpm.r,RawData!J493,
_xlpm.p,RawData!L493,
IF(AND(ISNUMBER(_xlpm.c),_xlpm.c&gt;=0),_xlpm.c,
   IF(AND(ISNUMBER(_xlpm.r),ISNUMBER(_xlpm.p)),
      _xlpm.r-_xlpm.p,
      ""
   )
)
)</f>
        <v>25.37</v>
      </c>
      <c r="L493" s="4">
        <f>_xlfn.LET(
_xlpm.p,RawData!L493,
_xlpm.r,RawData!J493,
_xlpm.c,RawData!K493,
IF(ISNUMBER(_xlpm.p),_xlpm.p,
IF(AND(ISNUMBER(_xlpm.r),ISNUMBER(_xlpm.c)),
_xlpm.r-_xlpm.c,
""
)
))</f>
        <v>19.11</v>
      </c>
    </row>
    <row r="494" spans="1:12" x14ac:dyDescent="0.35">
      <c r="A494" t="s">
        <v>535</v>
      </c>
      <c r="B494" s="7">
        <v>46006</v>
      </c>
      <c r="C494" t="str">
        <f>IF(RawData!C494="","Unknown",PROPER(TRIM(CLEAN(SUBSTITUTE(RawData!C494,CHAR(160)," ")))))</f>
        <v>West</v>
      </c>
      <c r="D494" t="str">
        <f>IF(RawData!D494="","Unknown",PROPER(TRIM(CLEAN(SUBSTITUTE(RawData!D494,CHAR(160)," ")))))</f>
        <v>Mumbai</v>
      </c>
      <c r="E494" t="str">
        <f>IF(RawData!E494="","Unknown",PROPER(TRIM(CLEAN(SUBSTITUTE(RawData!E494,CHAR(160)," ")))))</f>
        <v>Smartphone</v>
      </c>
      <c r="F494" t="str">
        <f>IF(RawData!F494="","Unknown",PROPER(TRIM(CLEAN(SUBSTITUTE(RawData!F494,CHAR(160)," ")))))</f>
        <v>Electronics</v>
      </c>
      <c r="G494">
        <f>_xlfn.LET(
_xlpm.q,RawData!G494,
_xlpm.u,RawData!H494,
_xlpm.d,RawData!I494,
_xlpm.r,RawData!J494,
IF(AND(ISNUMBER(_xlpm.q),_xlpm.q&gt;0),_xlpm.q,
   IF(AND(ISNUMBER(_xlpm.r),ISNUMBER(_xlpm.u),_xlpm.u&gt;0,ISNUMBER(_xlpm.d),_xlpm.d&gt;=0,_xlpm.d&lt;1),
      ROUND(_xlpm.r/(_xlpm.u*(1-_xlpm.d)),0),
      ""
   )
)
)</f>
        <v>10</v>
      </c>
      <c r="H494" s="4">
        <f>_xlfn.LET(
_xlpm.q,RawData!G494,
_xlpm.u,RawData!H494,
_xlpm.d,RawData!I494,
_xlpm.r,RawData!J494,
IF(AND(ISNUMBER(_xlpm.u),_xlpm.u&gt;0),_xlpm.u,
   IF(AND(ISNUMBER(_xlpm.q),_xlpm.q&gt;0,ISNUMBER(_xlpm.r),ISNUMBER(_xlpm.d),_xlpm.d&gt;=0,_xlpm.d&lt;1),
      _xlpm.r/(_xlpm.q*(1-_xlpm.d)),
      ""
   )
)
)</f>
        <v>587.65</v>
      </c>
      <c r="I494" s="5">
        <f>_xlfn.LET(
_xlpm.q,RawData!G494,
_xlpm.u,RawData!H494,
_xlpm.d,RawData!I494,
_xlpm.r,RawData!J494,
IF(AND(ISNUMBER(_xlpm.d),_xlpm.d&gt;=0,_xlpm.d&lt;1),_xlpm.d,
   IF(AND(ISNUMBER(_xlpm.q),_xlpm.q&gt;0,ISNUMBER(_xlpm.u),_xlpm.u&gt;0,ISNUMBER(_xlpm.r),_xlpm.r&gt;=0),
      1-(_xlpm.r/(_xlpm.q*_xlpm.u)),
      ""
   )
)
)</f>
        <v>0.05</v>
      </c>
      <c r="J494" s="4">
        <f>_xlfn.LET(
_xlpm.q,RawData!G494,
_xlpm.u,RawData!H494,
_xlpm.d,RawData!I494,
_xlpm.r,RawData!J494,
IF(AND(ISNUMBER(_xlpm.r),_xlpm.r&gt;=0),_xlpm.r,
   IF(AND(ISNUMBER(_xlpm.q),_xlpm.q&gt;0,ISNUMBER(_xlpm.u),_xlpm.u&gt;0,ISNUMBER(_xlpm.d),_xlpm.d&gt;=0,_xlpm.d&lt;1),
      _xlpm.q*_xlpm.u*(1-_xlpm.d),
      ""
   )
)
)</f>
        <v>5582.68</v>
      </c>
      <c r="K494" s="4">
        <f>_xlfn.LET(
_xlpm.c,RawData!K494,
_xlpm.r,RawData!J494,
_xlpm.p,RawData!L494,
IF(AND(ISNUMBER(_xlpm.c),_xlpm.c&gt;=0),_xlpm.c,
   IF(AND(ISNUMBER(_xlpm.r),ISNUMBER(_xlpm.p)),
      _xlpm.r-_xlpm.p,
      ""
   )
)
)</f>
        <v>3817.34</v>
      </c>
      <c r="L494" s="4">
        <f>_xlfn.LET(
_xlpm.p,RawData!L494,
_xlpm.r,RawData!J494,
_xlpm.c,RawData!K494,
IF(ISNUMBER(_xlpm.p),_xlpm.p,
IF(AND(ISNUMBER(_xlpm.r),ISNUMBER(_xlpm.c)),
_xlpm.r-_xlpm.c,
""
)
))</f>
        <v>1765.34</v>
      </c>
    </row>
    <row r="495" spans="1:12" x14ac:dyDescent="0.35">
      <c r="A495" t="s">
        <v>536</v>
      </c>
      <c r="B495" s="7">
        <v>45695</v>
      </c>
      <c r="C495" t="str">
        <f>IF(RawData!C495="","Unknown",PROPER(TRIM(CLEAN(SUBSTITUTE(RawData!C495,CHAR(160)," ")))))</f>
        <v>North</v>
      </c>
      <c r="D495" t="str">
        <f>IF(RawData!D495="","Unknown",PROPER(TRIM(CLEAN(SUBSTITUTE(RawData!D495,CHAR(160)," ")))))</f>
        <v>Lucknow</v>
      </c>
      <c r="E495" t="str">
        <f>IF(RawData!E495="","Unknown",PROPER(TRIM(CLEAN(SUBSTITUTE(RawData!E495,CHAR(160)," ")))))</f>
        <v>Office Chair</v>
      </c>
      <c r="F495" t="str">
        <f>IF(RawData!F495="","Unknown",PROPER(TRIM(CLEAN(SUBSTITUTE(RawData!F495,CHAR(160)," ")))))</f>
        <v>Furniture</v>
      </c>
      <c r="G495">
        <f>_xlfn.LET(
_xlpm.q,RawData!G495,
_xlpm.u,RawData!H495,
_xlpm.d,RawData!I495,
_xlpm.r,RawData!J495,
IF(AND(ISNUMBER(_xlpm.q),_xlpm.q&gt;0),_xlpm.q,
   IF(AND(ISNUMBER(_xlpm.r),ISNUMBER(_xlpm.u),_xlpm.u&gt;0,ISNUMBER(_xlpm.d),_xlpm.d&gt;=0,_xlpm.d&lt;1),
      ROUND(_xlpm.r/(_xlpm.u*(1-_xlpm.d)),0),
      ""
   )
)
)</f>
        <v>3</v>
      </c>
      <c r="H495" s="4">
        <f>_xlfn.LET(
_xlpm.q,RawData!G495,
_xlpm.u,RawData!H495,
_xlpm.d,RawData!I495,
_xlpm.r,RawData!J495,
IF(AND(ISNUMBER(_xlpm.u),_xlpm.u&gt;0),_xlpm.u,
   IF(AND(ISNUMBER(_xlpm.q),_xlpm.q&gt;0,ISNUMBER(_xlpm.r),ISNUMBER(_xlpm.d),_xlpm.d&gt;=0,_xlpm.d&lt;1),
      _xlpm.r/(_xlpm.q*(1-_xlpm.d)),
      ""
   )
)
)</f>
        <v>190.17</v>
      </c>
      <c r="I495" s="5">
        <f>_xlfn.LET(
_xlpm.q,RawData!G495,
_xlpm.u,RawData!H495,
_xlpm.d,RawData!I495,
_xlpm.r,RawData!J495,
IF(AND(ISNUMBER(_xlpm.d),_xlpm.d&gt;=0,_xlpm.d&lt;1),_xlpm.d,
   IF(AND(ISNUMBER(_xlpm.q),_xlpm.q&gt;0,ISNUMBER(_xlpm.u),_xlpm.u&gt;0,ISNUMBER(_xlpm.r),_xlpm.r&gt;=0),
      1-(_xlpm.r/(_xlpm.q*_xlpm.u)),
      ""
   )
)
)</f>
        <v>0.1</v>
      </c>
      <c r="J495" s="4">
        <f>_xlfn.LET(
_xlpm.q,RawData!G495,
_xlpm.u,RawData!H495,
_xlpm.d,RawData!I495,
_xlpm.r,RawData!J495,
IF(AND(ISNUMBER(_xlpm.r),_xlpm.r&gt;=0),_xlpm.r,
   IF(AND(ISNUMBER(_xlpm.q),_xlpm.q&gt;0,ISNUMBER(_xlpm.u),_xlpm.u&gt;0,ISNUMBER(_xlpm.d),_xlpm.d&gt;=0,_xlpm.d&lt;1),
      _xlpm.q*_xlpm.u*(1-_xlpm.d),
      ""
   )
)
)</f>
        <v>513.46</v>
      </c>
      <c r="K495" s="4">
        <f>_xlfn.LET(
_xlpm.c,RawData!K495,
_xlpm.r,RawData!J495,
_xlpm.p,RawData!L495,
IF(AND(ISNUMBER(_xlpm.c),_xlpm.c&gt;=0),_xlpm.c,
   IF(AND(ISNUMBER(_xlpm.r),ISNUMBER(_xlpm.p)),
      _xlpm.r-_xlpm.p,
      ""
   )
)
)</f>
        <v>342.68</v>
      </c>
      <c r="L495" s="4">
        <f>_xlfn.LET(
_xlpm.p,RawData!L495,
_xlpm.r,RawData!J495,
_xlpm.c,RawData!K495,
IF(ISNUMBER(_xlpm.p),_xlpm.p,
IF(AND(ISNUMBER(_xlpm.r),ISNUMBER(_xlpm.c)),
_xlpm.r-_xlpm.c,
""
)
))</f>
        <v>170.78</v>
      </c>
    </row>
    <row r="496" spans="1:12" x14ac:dyDescent="0.35">
      <c r="A496" t="s">
        <v>537</v>
      </c>
      <c r="B496" s="7">
        <v>45982</v>
      </c>
      <c r="C496" t="str">
        <f>IF(RawData!C496="","Unknown",PROPER(TRIM(CLEAN(SUBSTITUTE(RawData!C496,CHAR(160)," ")))))</f>
        <v>South</v>
      </c>
      <c r="D496" t="str">
        <f>IF(RawData!D496="","Unknown",PROPER(TRIM(CLEAN(SUBSTITUTE(RawData!D496,CHAR(160)," ")))))</f>
        <v>Chennai</v>
      </c>
      <c r="E496" t="str">
        <f>IF(RawData!E496="","Unknown",PROPER(TRIM(CLEAN(SUBSTITUTE(RawData!E496,CHAR(160)," ")))))</f>
        <v>Keyboard</v>
      </c>
      <c r="F496" t="str">
        <f>IF(RawData!F496="","Unknown",PROPER(TRIM(CLEAN(SUBSTITUTE(RawData!F496,CHAR(160)," ")))))</f>
        <v>Accessories</v>
      </c>
      <c r="G496">
        <f>_xlfn.LET(
_xlpm.q,RawData!G496,
_xlpm.u,RawData!H496,
_xlpm.d,RawData!I496,
_xlpm.r,RawData!J496,
IF(AND(ISNUMBER(_xlpm.q),_xlpm.q&gt;0),_xlpm.q,
   IF(AND(ISNUMBER(_xlpm.r),ISNUMBER(_xlpm.u),_xlpm.u&gt;0,ISNUMBER(_xlpm.d),_xlpm.d&gt;=0,_xlpm.d&lt;1),
      ROUND(_xlpm.r/(_xlpm.u*(1-_xlpm.d)),0),
      ""
   )
)
)</f>
        <v>7</v>
      </c>
      <c r="H496" s="4">
        <f>_xlfn.LET(
_xlpm.q,RawData!G496,
_xlpm.u,RawData!H496,
_xlpm.d,RawData!I496,
_xlpm.r,RawData!J496,
IF(AND(ISNUMBER(_xlpm.u),_xlpm.u&gt;0),_xlpm.u,
   IF(AND(ISNUMBER(_xlpm.q),_xlpm.q&gt;0,ISNUMBER(_xlpm.r),ISNUMBER(_xlpm.d),_xlpm.d&gt;=0,_xlpm.d&lt;1),
      _xlpm.r/(_xlpm.q*(1-_xlpm.d)),
      ""
   )
)
)</f>
        <v>32.340000000000003</v>
      </c>
      <c r="I496" s="5">
        <f>_xlfn.LET(
_xlpm.q,RawData!G496,
_xlpm.u,RawData!H496,
_xlpm.d,RawData!I496,
_xlpm.r,RawData!J496,
IF(AND(ISNUMBER(_xlpm.d),_xlpm.d&gt;=0,_xlpm.d&lt;1),_xlpm.d,
   IF(AND(ISNUMBER(_xlpm.q),_xlpm.q&gt;0,ISNUMBER(_xlpm.u),_xlpm.u&gt;0,ISNUMBER(_xlpm.r),_xlpm.r&gt;=0),
      1-(_xlpm.r/(_xlpm.q*_xlpm.u)),
      ""
   )
)
)</f>
        <v>0.05</v>
      </c>
      <c r="J496" s="4">
        <f>_xlfn.LET(
_xlpm.q,RawData!G496,
_xlpm.u,RawData!H496,
_xlpm.d,RawData!I496,
_xlpm.r,RawData!J496,
IF(AND(ISNUMBER(_xlpm.r),_xlpm.r&gt;=0),_xlpm.r,
   IF(AND(ISNUMBER(_xlpm.q),_xlpm.q&gt;0,ISNUMBER(_xlpm.u),_xlpm.u&gt;0,ISNUMBER(_xlpm.d),_xlpm.d&gt;=0,_xlpm.d&lt;1),
      _xlpm.q*_xlpm.u*(1-_xlpm.d),
      ""
   )
)
)</f>
        <v>215.06</v>
      </c>
      <c r="K496" s="4">
        <f>_xlfn.LET(
_xlpm.c,RawData!K496,
_xlpm.r,RawData!J496,
_xlpm.p,RawData!L496,
IF(AND(ISNUMBER(_xlpm.c),_xlpm.c&gt;=0),_xlpm.c,
   IF(AND(ISNUMBER(_xlpm.r),ISNUMBER(_xlpm.p)),
      _xlpm.r-_xlpm.p,
      ""
   )
)
)</f>
        <v>165.85</v>
      </c>
      <c r="L496" s="4">
        <f>_xlfn.LET(
_xlpm.p,RawData!L496,
_xlpm.r,RawData!J496,
_xlpm.c,RawData!K496,
IF(ISNUMBER(_xlpm.p),_xlpm.p,
IF(AND(ISNUMBER(_xlpm.r),ISNUMBER(_xlpm.c)),
_xlpm.r-_xlpm.c,
""
)
))</f>
        <v>49.21</v>
      </c>
    </row>
    <row r="497" spans="1:12" x14ac:dyDescent="0.35">
      <c r="A497" t="s">
        <v>538</v>
      </c>
      <c r="B497" s="7">
        <v>45712</v>
      </c>
      <c r="C497" t="str">
        <f>IF(RawData!C497="","Unknown",PROPER(TRIM(CLEAN(SUBSTITUTE(RawData!C497,CHAR(160)," ")))))</f>
        <v>North</v>
      </c>
      <c r="D497" t="str">
        <f>IF(RawData!D497="","Unknown",PROPER(TRIM(CLEAN(SUBSTITUTE(RawData!D497,CHAR(160)," ")))))</f>
        <v>Jaipur</v>
      </c>
      <c r="E497" t="str">
        <f>IF(RawData!E497="","Unknown",PROPER(TRIM(CLEAN(SUBSTITUTE(RawData!E497,CHAR(160)," ")))))</f>
        <v>Laptop</v>
      </c>
      <c r="F497" t="str">
        <f>IF(RawData!F497="","Unknown",PROPER(TRIM(CLEAN(SUBSTITUTE(RawData!F497,CHAR(160)," ")))))</f>
        <v>Electronics</v>
      </c>
      <c r="G497">
        <f>_xlfn.LET(
_xlpm.q,RawData!G497,
_xlpm.u,RawData!H497,
_xlpm.d,RawData!I497,
_xlpm.r,RawData!J497,
IF(AND(ISNUMBER(_xlpm.q),_xlpm.q&gt;0),_xlpm.q,
   IF(AND(ISNUMBER(_xlpm.r),ISNUMBER(_xlpm.u),_xlpm.u&gt;0,ISNUMBER(_xlpm.d),_xlpm.d&gt;=0,_xlpm.d&lt;1),
      ROUND(_xlpm.r/(_xlpm.u*(1-_xlpm.d)),0),
      ""
   )
)
)</f>
        <v>5</v>
      </c>
      <c r="H497" s="4">
        <f>_xlfn.LET(
_xlpm.q,RawData!G497,
_xlpm.u,RawData!H497,
_xlpm.d,RawData!I497,
_xlpm.r,RawData!J497,
IF(AND(ISNUMBER(_xlpm.u),_xlpm.u&gt;0),_xlpm.u,
   IF(AND(ISNUMBER(_xlpm.q),_xlpm.q&gt;0,ISNUMBER(_xlpm.r),ISNUMBER(_xlpm.d),_xlpm.d&gt;=0,_xlpm.d&lt;1),
      _xlpm.r/(_xlpm.q*(1-_xlpm.d)),
      ""
   )
)
)</f>
        <v>926.35</v>
      </c>
      <c r="I497" s="5">
        <f>_xlfn.LET(
_xlpm.q,RawData!G497,
_xlpm.u,RawData!H497,
_xlpm.d,RawData!I497,
_xlpm.r,RawData!J497,
IF(AND(ISNUMBER(_xlpm.d),_xlpm.d&gt;=0,_xlpm.d&lt;1),_xlpm.d,
   IF(AND(ISNUMBER(_xlpm.q),_xlpm.q&gt;0,ISNUMBER(_xlpm.u),_xlpm.u&gt;0,ISNUMBER(_xlpm.r),_xlpm.r&gt;=0),
      1-(_xlpm.r/(_xlpm.q*_xlpm.u)),
      ""
   )
)
)</f>
        <v>0.1</v>
      </c>
      <c r="J497" s="4">
        <f>_xlfn.LET(
_xlpm.q,RawData!G497,
_xlpm.u,RawData!H497,
_xlpm.d,RawData!I497,
_xlpm.r,RawData!J497,
IF(AND(ISNUMBER(_xlpm.r),_xlpm.r&gt;=0),_xlpm.r,
   IF(AND(ISNUMBER(_xlpm.q),_xlpm.q&gt;0,ISNUMBER(_xlpm.u),_xlpm.u&gt;0,ISNUMBER(_xlpm.d),_xlpm.d&gt;=0,_xlpm.d&lt;1),
      _xlpm.q*_xlpm.u*(1-_xlpm.d),
      ""
   )
)
)</f>
        <v>4168.57</v>
      </c>
      <c r="K497" s="4">
        <f>_xlfn.LET(
_xlpm.c,RawData!K497,
_xlpm.r,RawData!J497,
_xlpm.p,RawData!L497,
IF(AND(ISNUMBER(_xlpm.c),_xlpm.c&gt;=0),_xlpm.c,
   IF(AND(ISNUMBER(_xlpm.r),ISNUMBER(_xlpm.p)),
      _xlpm.r-_xlpm.p,
      ""
   )
)
)</f>
        <v>3074.6</v>
      </c>
      <c r="L497" s="4">
        <f>_xlfn.LET(
_xlpm.p,RawData!L497,
_xlpm.r,RawData!J497,
_xlpm.c,RawData!K497,
IF(ISNUMBER(_xlpm.p),_xlpm.p,
IF(AND(ISNUMBER(_xlpm.r),ISNUMBER(_xlpm.c)),
_xlpm.r-_xlpm.c,
""
)
))</f>
        <v>1093.97</v>
      </c>
    </row>
    <row r="498" spans="1:12" x14ac:dyDescent="0.35">
      <c r="A498" t="s">
        <v>539</v>
      </c>
      <c r="B498" s="7">
        <v>45796</v>
      </c>
      <c r="C498" t="str">
        <f>IF(RawData!C498="","Unknown",PROPER(TRIM(CLEAN(SUBSTITUTE(RawData!C498,CHAR(160)," ")))))</f>
        <v>North</v>
      </c>
      <c r="D498" t="str">
        <f>IF(RawData!D498="","Unknown",PROPER(TRIM(CLEAN(SUBSTITUTE(RawData!D498,CHAR(160)," ")))))</f>
        <v>Jaipur</v>
      </c>
      <c r="E498" t="str">
        <f>IF(RawData!E498="","Unknown",PROPER(TRIM(CLEAN(SUBSTITUTE(RawData!E498,CHAR(160)," ")))))</f>
        <v>Headphones</v>
      </c>
      <c r="F498" t="str">
        <f>IF(RawData!F498="","Unknown",PROPER(TRIM(CLEAN(SUBSTITUTE(RawData!F498,CHAR(160)," ")))))</f>
        <v>Electronics</v>
      </c>
      <c r="G498">
        <f>_xlfn.LET(
_xlpm.q,RawData!G498,
_xlpm.u,RawData!H498,
_xlpm.d,RawData!I498,
_xlpm.r,RawData!J498,
IF(AND(ISNUMBER(_xlpm.q),_xlpm.q&gt;0),_xlpm.q,
   IF(AND(ISNUMBER(_xlpm.r),ISNUMBER(_xlpm.u),_xlpm.u&gt;0,ISNUMBER(_xlpm.d),_xlpm.d&gt;=0,_xlpm.d&lt;1),
      ROUND(_xlpm.r/(_xlpm.u*(1-_xlpm.d)),0),
      ""
   )
)
)</f>
        <v>2</v>
      </c>
      <c r="H498" s="4">
        <f>_xlfn.LET(
_xlpm.q,RawData!G498,
_xlpm.u,RawData!H498,
_xlpm.d,RawData!I498,
_xlpm.r,RawData!J498,
IF(AND(ISNUMBER(_xlpm.u),_xlpm.u&gt;0),_xlpm.u,
   IF(AND(ISNUMBER(_xlpm.q),_xlpm.q&gt;0,ISNUMBER(_xlpm.r),ISNUMBER(_xlpm.d),_xlpm.d&gt;=0,_xlpm.d&lt;1),
      _xlpm.r/(_xlpm.q*(1-_xlpm.d)),
      ""
   )
)
)</f>
        <v>74.53</v>
      </c>
      <c r="I498" s="5">
        <f>_xlfn.LET(
_xlpm.q,RawData!G498,
_xlpm.u,RawData!H498,
_xlpm.d,RawData!I498,
_xlpm.r,RawData!J498,
IF(AND(ISNUMBER(_xlpm.d),_xlpm.d&gt;=0,_xlpm.d&lt;1),_xlpm.d,
   IF(AND(ISNUMBER(_xlpm.q),_xlpm.q&gt;0,ISNUMBER(_xlpm.u),_xlpm.u&gt;0,ISNUMBER(_xlpm.r),_xlpm.r&gt;=0),
      1-(_xlpm.r/(_xlpm.q*_xlpm.u)),
      ""
   )
)
)</f>
        <v>0.02</v>
      </c>
      <c r="J498" s="4">
        <f>_xlfn.LET(
_xlpm.q,RawData!G498,
_xlpm.u,RawData!H498,
_xlpm.d,RawData!I498,
_xlpm.r,RawData!J498,
IF(AND(ISNUMBER(_xlpm.r),_xlpm.r&gt;=0),_xlpm.r,
   IF(AND(ISNUMBER(_xlpm.q),_xlpm.q&gt;0,ISNUMBER(_xlpm.u),_xlpm.u&gt;0,ISNUMBER(_xlpm.d),_xlpm.d&gt;=0,_xlpm.d&lt;1),
      _xlpm.q*_xlpm.u*(1-_xlpm.d),
      ""
   )
)
)</f>
        <v>146.08000000000001</v>
      </c>
      <c r="K498" s="4">
        <f>_xlfn.LET(
_xlpm.c,RawData!K498,
_xlpm.r,RawData!J498,
_xlpm.p,RawData!L498,
IF(AND(ISNUMBER(_xlpm.c),_xlpm.c&gt;=0),_xlpm.c,
   IF(AND(ISNUMBER(_xlpm.r),ISNUMBER(_xlpm.p)),
      _xlpm.r-_xlpm.p,
      ""
   )
)
)</f>
        <v>103.62</v>
      </c>
      <c r="L498" s="4">
        <f>_xlfn.LET(
_xlpm.p,RawData!L498,
_xlpm.r,RawData!J498,
_xlpm.c,RawData!K498,
IF(ISNUMBER(_xlpm.p),_xlpm.p,
IF(AND(ISNUMBER(_xlpm.r),ISNUMBER(_xlpm.c)),
_xlpm.r-_xlpm.c,
""
)
))</f>
        <v>42.46</v>
      </c>
    </row>
    <row r="499" spans="1:12" x14ac:dyDescent="0.35">
      <c r="A499" t="s">
        <v>540</v>
      </c>
      <c r="B499" s="7">
        <v>45887</v>
      </c>
      <c r="C499" t="str">
        <f>IF(RawData!C499="","Unknown",PROPER(TRIM(CLEAN(SUBSTITUTE(RawData!C499,CHAR(160)," ")))))</f>
        <v>West</v>
      </c>
      <c r="D499" t="str">
        <f>IF(RawData!D499="","Unknown",PROPER(TRIM(CLEAN(SUBSTITUTE(RawData!D499,CHAR(160)," ")))))</f>
        <v>Pune</v>
      </c>
      <c r="E499" t="str">
        <f>IF(RawData!E499="","Unknown",PROPER(TRIM(CLEAN(SUBSTITUTE(RawData!E499,CHAR(160)," ")))))</f>
        <v>Smartphone</v>
      </c>
      <c r="F499" t="str">
        <f>IF(RawData!F499="","Unknown",PROPER(TRIM(CLEAN(SUBSTITUTE(RawData!F499,CHAR(160)," ")))))</f>
        <v>Electronics</v>
      </c>
      <c r="G499">
        <f>_xlfn.LET(
_xlpm.q,RawData!G499,
_xlpm.u,RawData!H499,
_xlpm.d,RawData!I499,
_xlpm.r,RawData!J499,
IF(AND(ISNUMBER(_xlpm.q),_xlpm.q&gt;0),_xlpm.q,
   IF(AND(ISNUMBER(_xlpm.r),ISNUMBER(_xlpm.u),_xlpm.u&gt;0,ISNUMBER(_xlpm.d),_xlpm.d&gt;=0,_xlpm.d&lt;1),
      ROUND(_xlpm.r/(_xlpm.u*(1-_xlpm.d)),0),
      ""
   )
)
)</f>
        <v>1</v>
      </c>
      <c r="H499" s="4">
        <f>_xlfn.LET(
_xlpm.q,RawData!G499,
_xlpm.u,RawData!H499,
_xlpm.d,RawData!I499,
_xlpm.r,RawData!J499,
IF(AND(ISNUMBER(_xlpm.u),_xlpm.u&gt;0),_xlpm.u,
   IF(AND(ISNUMBER(_xlpm.q),_xlpm.q&gt;0,ISNUMBER(_xlpm.r),ISNUMBER(_xlpm.d),_xlpm.d&gt;=0,_xlpm.d&lt;1),
      _xlpm.r/(_xlpm.q*(1-_xlpm.d)),
      ""
   )
)
)</f>
        <v>527.05999999999995</v>
      </c>
      <c r="I499" s="5">
        <f>_xlfn.LET(
_xlpm.q,RawData!G499,
_xlpm.u,RawData!H499,
_xlpm.d,RawData!I499,
_xlpm.r,RawData!J499,
IF(AND(ISNUMBER(_xlpm.d),_xlpm.d&gt;=0,_xlpm.d&lt;1),_xlpm.d,
   IF(AND(ISNUMBER(_xlpm.q),_xlpm.q&gt;0,ISNUMBER(_xlpm.u),_xlpm.u&gt;0,ISNUMBER(_xlpm.r),_xlpm.r&gt;=0),
      1-(_xlpm.r/(_xlpm.q*_xlpm.u)),
      ""
   )
)
)</f>
        <v>0</v>
      </c>
      <c r="J499" s="4">
        <f>_xlfn.LET(
_xlpm.q,RawData!G499,
_xlpm.u,RawData!H499,
_xlpm.d,RawData!I499,
_xlpm.r,RawData!J499,
IF(AND(ISNUMBER(_xlpm.r),_xlpm.r&gt;=0),_xlpm.r,
   IF(AND(ISNUMBER(_xlpm.q),_xlpm.q&gt;0,ISNUMBER(_xlpm.u),_xlpm.u&gt;0,ISNUMBER(_xlpm.d),_xlpm.d&gt;=0,_xlpm.d&lt;1),
      _xlpm.q*_xlpm.u*(1-_xlpm.d),
      ""
   )
)
)</f>
        <v>527.05999999999995</v>
      </c>
      <c r="K499" s="4">
        <f>_xlfn.LET(
_xlpm.c,RawData!K499,
_xlpm.r,RawData!J499,
_xlpm.p,RawData!L499,
IF(AND(ISNUMBER(_xlpm.c),_xlpm.c&gt;=0),_xlpm.c,
   IF(AND(ISNUMBER(_xlpm.r),ISNUMBER(_xlpm.p)),
      _xlpm.r-_xlpm.p,
      ""
   )
)
)</f>
        <v>302.92</v>
      </c>
      <c r="L499" s="4">
        <f>_xlfn.LET(
_xlpm.p,RawData!L499,
_xlpm.r,RawData!J499,
_xlpm.c,RawData!K499,
IF(ISNUMBER(_xlpm.p),_xlpm.p,
IF(AND(ISNUMBER(_xlpm.r),ISNUMBER(_xlpm.c)),
_xlpm.r-_xlpm.c,
""
)
))</f>
        <v>224.14</v>
      </c>
    </row>
    <row r="500" spans="1:12" x14ac:dyDescent="0.35">
      <c r="A500" t="s">
        <v>541</v>
      </c>
      <c r="B500" s="7">
        <v>45941</v>
      </c>
      <c r="C500" t="str">
        <f>IF(RawData!C500="","Unknown",PROPER(TRIM(CLEAN(SUBSTITUTE(RawData!C500,CHAR(160)," ")))))</f>
        <v>North</v>
      </c>
      <c r="D500" t="str">
        <f>IF(RawData!D500="","Unknown",PROPER(TRIM(CLEAN(SUBSTITUTE(RawData!D500,CHAR(160)," ")))))</f>
        <v>Jaipur</v>
      </c>
      <c r="E500" t="str">
        <f>IF(RawData!E500="","Unknown",PROPER(TRIM(CLEAN(SUBSTITUTE(RawData!E500,CHAR(160)," ")))))</f>
        <v>Pen Set</v>
      </c>
      <c r="F500" t="str">
        <f>IF(RawData!F500="","Unknown",PROPER(TRIM(CLEAN(SUBSTITUTE(RawData!F500,CHAR(160)," ")))))</f>
        <v>Office Supplies</v>
      </c>
      <c r="G500">
        <f>_xlfn.LET(
_xlpm.q,RawData!G500,
_xlpm.u,RawData!H500,
_xlpm.d,RawData!I500,
_xlpm.r,RawData!J500,
IF(AND(ISNUMBER(_xlpm.q),_xlpm.q&gt;0),_xlpm.q,
   IF(AND(ISNUMBER(_xlpm.r),ISNUMBER(_xlpm.u),_xlpm.u&gt;0,ISNUMBER(_xlpm.d),_xlpm.d&gt;=0,_xlpm.d&lt;1),
      ROUND(_xlpm.r/(_xlpm.u*(1-_xlpm.d)),0),
      ""
   )
)
)</f>
        <v>10</v>
      </c>
      <c r="H500" s="4">
        <f>_xlfn.LET(
_xlpm.q,RawData!G500,
_xlpm.u,RawData!H500,
_xlpm.d,RawData!I500,
_xlpm.r,RawData!J500,
IF(AND(ISNUMBER(_xlpm.u),_xlpm.u&gt;0),_xlpm.u,
   IF(AND(ISNUMBER(_xlpm.q),_xlpm.q&gt;0,ISNUMBER(_xlpm.r),ISNUMBER(_xlpm.d),_xlpm.d&gt;=0,_xlpm.d&lt;1),
      _xlpm.r/(_xlpm.q*(1-_xlpm.d)),
      ""
   )
)
)</f>
        <v>13.5</v>
      </c>
      <c r="I500" s="5">
        <f>_xlfn.LET(
_xlpm.q,RawData!G500,
_xlpm.u,RawData!H500,
_xlpm.d,RawData!I500,
_xlpm.r,RawData!J500,
IF(AND(ISNUMBER(_xlpm.d),_xlpm.d&gt;=0,_xlpm.d&lt;1),_xlpm.d,
   IF(AND(ISNUMBER(_xlpm.q),_xlpm.q&gt;0,ISNUMBER(_xlpm.u),_xlpm.u&gt;0,ISNUMBER(_xlpm.r),_xlpm.r&gt;=0),
      1-(_xlpm.r/(_xlpm.q*_xlpm.u)),
      ""
   )
)
)</f>
        <v>0.05</v>
      </c>
      <c r="J500" s="4">
        <f>_xlfn.LET(
_xlpm.q,RawData!G500,
_xlpm.u,RawData!H500,
_xlpm.d,RawData!I500,
_xlpm.r,RawData!J500,
IF(AND(ISNUMBER(_xlpm.r),_xlpm.r&gt;=0),_xlpm.r,
   IF(AND(ISNUMBER(_xlpm.q),_xlpm.q&gt;0,ISNUMBER(_xlpm.u),_xlpm.u&gt;0,ISNUMBER(_xlpm.d),_xlpm.d&gt;=0,_xlpm.d&lt;1),
      _xlpm.q*_xlpm.u*(1-_xlpm.d),
      ""
   )
)
)</f>
        <v>128.25</v>
      </c>
      <c r="K500" s="4">
        <f>_xlfn.LET(
_xlpm.c,RawData!K500,
_xlpm.r,RawData!J500,
_xlpm.p,RawData!L500,
IF(AND(ISNUMBER(_xlpm.c),_xlpm.c&gt;=0),_xlpm.c,
   IF(AND(ISNUMBER(_xlpm.r),ISNUMBER(_xlpm.p)),
      _xlpm.r-_xlpm.p,
      ""
   )
)
)</f>
        <v>75.28</v>
      </c>
      <c r="L500" s="4">
        <f>_xlfn.LET(
_xlpm.p,RawData!L500,
_xlpm.r,RawData!J500,
_xlpm.c,RawData!K500,
IF(ISNUMBER(_xlpm.p),_xlpm.p,
IF(AND(ISNUMBER(_xlpm.r),ISNUMBER(_xlpm.c)),
_xlpm.r-_xlpm.c,
""
)
))</f>
        <v>52.97</v>
      </c>
    </row>
    <row r="501" spans="1:12" x14ac:dyDescent="0.35">
      <c r="A501" t="s">
        <v>542</v>
      </c>
      <c r="B501" s="7">
        <v>45664</v>
      </c>
      <c r="C501" t="str">
        <f>IF(RawData!C501="","Unknown",PROPER(TRIM(CLEAN(SUBSTITUTE(RawData!C501,CHAR(160)," ")))))</f>
        <v>East</v>
      </c>
      <c r="D501" t="str">
        <f>IF(RawData!D501="","Unknown",PROPER(TRIM(CLEAN(SUBSTITUTE(RawData!D501,CHAR(160)," ")))))</f>
        <v>Patna</v>
      </c>
      <c r="E501" t="str">
        <f>IF(RawData!E501="","Unknown",PROPER(TRIM(CLEAN(SUBSTITUTE(RawData!E501,CHAR(160)," ")))))</f>
        <v>Bookshelf</v>
      </c>
      <c r="F501" t="str">
        <f>IF(RawData!F501="","Unknown",PROPER(TRIM(CLEAN(SUBSTITUTE(RawData!F501,CHAR(160)," ")))))</f>
        <v>Furniture</v>
      </c>
      <c r="G501">
        <f>_xlfn.LET(
_xlpm.q,RawData!G501,
_xlpm.u,RawData!H501,
_xlpm.d,RawData!I501,
_xlpm.r,RawData!J501,
IF(AND(ISNUMBER(_xlpm.q),_xlpm.q&gt;0),_xlpm.q,
   IF(AND(ISNUMBER(_xlpm.r),ISNUMBER(_xlpm.u),_xlpm.u&gt;0,ISNUMBER(_xlpm.d),_xlpm.d&gt;=0,_xlpm.d&lt;1),
      ROUND(_xlpm.r/(_xlpm.u*(1-_xlpm.d)),0),
      ""
   )
)
)</f>
        <v>7</v>
      </c>
      <c r="H501" s="4">
        <f>_xlfn.LET(
_xlpm.q,RawData!G501,
_xlpm.u,RawData!H501,
_xlpm.d,RawData!I501,
_xlpm.r,RawData!J501,
IF(AND(ISNUMBER(_xlpm.u),_xlpm.u&gt;0),_xlpm.u,
   IF(AND(ISNUMBER(_xlpm.q),_xlpm.q&gt;0,ISNUMBER(_xlpm.r),ISNUMBER(_xlpm.d),_xlpm.d&gt;=0,_xlpm.d&lt;1),
      _xlpm.r/(_xlpm.q*(1-_xlpm.d)),
      ""
   )
)
)</f>
        <v>158.91</v>
      </c>
      <c r="I501" s="5">
        <f>_xlfn.LET(
_xlpm.q,RawData!G501,
_xlpm.u,RawData!H501,
_xlpm.d,RawData!I501,
_xlpm.r,RawData!J501,
IF(AND(ISNUMBER(_xlpm.d),_xlpm.d&gt;=0,_xlpm.d&lt;1),_xlpm.d,
   IF(AND(ISNUMBER(_xlpm.q),_xlpm.q&gt;0,ISNUMBER(_xlpm.u),_xlpm.u&gt;0,ISNUMBER(_xlpm.r),_xlpm.r&gt;=0),
      1-(_xlpm.r/(_xlpm.q*_xlpm.u)),
      ""
   )
)
)</f>
        <v>0</v>
      </c>
      <c r="J501" s="4">
        <f>_xlfn.LET(
_xlpm.q,RawData!G501,
_xlpm.u,RawData!H501,
_xlpm.d,RawData!I501,
_xlpm.r,RawData!J501,
IF(AND(ISNUMBER(_xlpm.r),_xlpm.r&gt;=0),_xlpm.r,
   IF(AND(ISNUMBER(_xlpm.q),_xlpm.q&gt;0,ISNUMBER(_xlpm.u),_xlpm.u&gt;0,ISNUMBER(_xlpm.d),_xlpm.d&gt;=0,_xlpm.d&lt;1),
      _xlpm.q*_xlpm.u*(1-_xlpm.d),
      ""
   )
)
)</f>
        <v>1112.3699999999999</v>
      </c>
      <c r="K501" s="4">
        <f>_xlfn.LET(
_xlpm.c,RawData!K501,
_xlpm.r,RawData!J501,
_xlpm.p,RawData!L501,
IF(AND(ISNUMBER(_xlpm.c),_xlpm.c&gt;=0),_xlpm.c,
   IF(AND(ISNUMBER(_xlpm.r),ISNUMBER(_xlpm.p)),
      _xlpm.r-_xlpm.p,
      ""
   )
)
)</f>
        <v>745.76</v>
      </c>
      <c r="L501" s="4">
        <f>_xlfn.LET(
_xlpm.p,RawData!L501,
_xlpm.r,RawData!J501,
_xlpm.c,RawData!K501,
IF(ISNUMBER(_xlpm.p),_xlpm.p,
IF(AND(ISNUMBER(_xlpm.r),ISNUMBER(_xlpm.c)),
_xlpm.r-_xlpm.c,
""
)
))</f>
        <v>366.61</v>
      </c>
    </row>
    <row r="502" spans="1:12" x14ac:dyDescent="0.35">
      <c r="A502" t="s">
        <v>543</v>
      </c>
      <c r="B502" s="7">
        <v>45944</v>
      </c>
      <c r="C502" t="str">
        <f>IF(RawData!C502="","Unknown",PROPER(TRIM(CLEAN(SUBSTITUTE(RawData!C502,CHAR(160)," ")))))</f>
        <v>South</v>
      </c>
      <c r="D502" t="str">
        <f>IF(RawData!D502="","Unknown",PROPER(TRIM(CLEAN(SUBSTITUTE(RawData!D502,CHAR(160)," ")))))</f>
        <v>Bengaluru</v>
      </c>
      <c r="E502" t="str">
        <f>IF(RawData!E502="","Unknown",PROPER(TRIM(CLEAN(SUBSTITUTE(RawData!E502,CHAR(160)," ")))))</f>
        <v>Pen Set</v>
      </c>
      <c r="F502" t="str">
        <f>IF(RawData!F502="","Unknown",PROPER(TRIM(CLEAN(SUBSTITUTE(RawData!F502,CHAR(160)," ")))))</f>
        <v>Office Supplies</v>
      </c>
      <c r="G502">
        <f>_xlfn.LET(
_xlpm.q,RawData!G502,
_xlpm.u,RawData!H502,
_xlpm.d,RawData!I502,
_xlpm.r,RawData!J502,
IF(AND(ISNUMBER(_xlpm.q),_xlpm.q&gt;0),_xlpm.q,
   IF(AND(ISNUMBER(_xlpm.r),ISNUMBER(_xlpm.u),_xlpm.u&gt;0,ISNUMBER(_xlpm.d),_xlpm.d&gt;=0,_xlpm.d&lt;1),
      ROUND(_xlpm.r/(_xlpm.u*(1-_xlpm.d)),0),
      ""
   )
)
)</f>
        <v>9</v>
      </c>
      <c r="H502" s="4">
        <f>_xlfn.LET(
_xlpm.q,RawData!G502,
_xlpm.u,RawData!H502,
_xlpm.d,RawData!I502,
_xlpm.r,RawData!J502,
IF(AND(ISNUMBER(_xlpm.u),_xlpm.u&gt;0),_xlpm.u,
   IF(AND(ISNUMBER(_xlpm.q),_xlpm.q&gt;0,ISNUMBER(_xlpm.r),ISNUMBER(_xlpm.d),_xlpm.d&gt;=0,_xlpm.d&lt;1),
      _xlpm.r/(_xlpm.q*(1-_xlpm.d)),
      ""
   )
)
)</f>
        <v>10.87</v>
      </c>
      <c r="I502" s="5">
        <f>_xlfn.LET(
_xlpm.q,RawData!G502,
_xlpm.u,RawData!H502,
_xlpm.d,RawData!I502,
_xlpm.r,RawData!J502,
IF(AND(ISNUMBER(_xlpm.d),_xlpm.d&gt;=0,_xlpm.d&lt;1),_xlpm.d,
   IF(AND(ISNUMBER(_xlpm.q),_xlpm.q&gt;0,ISNUMBER(_xlpm.u),_xlpm.u&gt;0,ISNUMBER(_xlpm.r),_xlpm.r&gt;=0),
      1-(_xlpm.r/(_xlpm.q*_xlpm.u)),
      ""
   )
)
)</f>
        <v>0.02</v>
      </c>
      <c r="J502" s="4">
        <f>_xlfn.LET(
_xlpm.q,RawData!G502,
_xlpm.u,RawData!H502,
_xlpm.d,RawData!I502,
_xlpm.r,RawData!J502,
IF(AND(ISNUMBER(_xlpm.r),_xlpm.r&gt;=0),_xlpm.r,
   IF(AND(ISNUMBER(_xlpm.q),_xlpm.q&gt;0,ISNUMBER(_xlpm.u),_xlpm.u&gt;0,ISNUMBER(_xlpm.d),_xlpm.d&gt;=0,_xlpm.d&lt;1),
      _xlpm.q*_xlpm.u*(1-_xlpm.d),
      ""
   )
)
)</f>
        <v>95.87</v>
      </c>
      <c r="K502" s="4">
        <f>_xlfn.LET(
_xlpm.c,RawData!K502,
_xlpm.r,RawData!J502,
_xlpm.p,RawData!L502,
IF(AND(ISNUMBER(_xlpm.c),_xlpm.c&gt;=0),_xlpm.c,
   IF(AND(ISNUMBER(_xlpm.r),ISNUMBER(_xlpm.p)),
      _xlpm.r-_xlpm.p,
      ""
   )
)
)</f>
        <v>66.760000000000005</v>
      </c>
      <c r="L502" s="4">
        <f>_xlfn.LET(
_xlpm.p,RawData!L502,
_xlpm.r,RawData!J502,
_xlpm.c,RawData!K502,
IF(ISNUMBER(_xlpm.p),_xlpm.p,
IF(AND(ISNUMBER(_xlpm.r),ISNUMBER(_xlpm.c)),
_xlpm.r-_xlpm.c,
""
)
))</f>
        <v>29.11</v>
      </c>
    </row>
    <row r="503" spans="1:12" x14ac:dyDescent="0.35">
      <c r="A503" t="s">
        <v>544</v>
      </c>
      <c r="B503" s="7">
        <v>45852</v>
      </c>
      <c r="C503" t="str">
        <f>IF(RawData!C503="","Unknown",PROPER(TRIM(CLEAN(SUBSTITUTE(RawData!C503,CHAR(160)," ")))))</f>
        <v>South</v>
      </c>
      <c r="D503" t="str">
        <f>IF(RawData!D503="","Unknown",PROPER(TRIM(CLEAN(SUBSTITUTE(RawData!D503,CHAR(160)," ")))))</f>
        <v>Chennai</v>
      </c>
      <c r="E503" t="str">
        <f>IF(RawData!E503="","Unknown",PROPER(TRIM(CLEAN(SUBSTITUTE(RawData!E503,CHAR(160)," ")))))</f>
        <v>Headphones</v>
      </c>
      <c r="F503" t="str">
        <f>IF(RawData!F503="","Unknown",PROPER(TRIM(CLEAN(SUBSTITUTE(RawData!F503,CHAR(160)," ")))))</f>
        <v>Electronics</v>
      </c>
      <c r="G503">
        <f>_xlfn.LET(
_xlpm.q,RawData!G503,
_xlpm.u,RawData!H503,
_xlpm.d,RawData!I503,
_xlpm.r,RawData!J503,
IF(AND(ISNUMBER(_xlpm.q),_xlpm.q&gt;0),_xlpm.q,
   IF(AND(ISNUMBER(_xlpm.r),ISNUMBER(_xlpm.u),_xlpm.u&gt;0,ISNUMBER(_xlpm.d),_xlpm.d&gt;=0,_xlpm.d&lt;1),
      ROUND(_xlpm.r/(_xlpm.u*(1-_xlpm.d)),0),
      ""
   )
)
)</f>
        <v>5</v>
      </c>
      <c r="H503" s="4">
        <f>_xlfn.LET(
_xlpm.q,RawData!G503,
_xlpm.u,RawData!H503,
_xlpm.d,RawData!I503,
_xlpm.r,RawData!J503,
IF(AND(ISNUMBER(_xlpm.u),_xlpm.u&gt;0),_xlpm.u,
   IF(AND(ISNUMBER(_xlpm.q),_xlpm.q&gt;0,ISNUMBER(_xlpm.r),ISNUMBER(_xlpm.d),_xlpm.d&gt;=0,_xlpm.d&lt;1),
      _xlpm.r/(_xlpm.q*(1-_xlpm.d)),
      ""
   )
)
)</f>
        <v>88.95</v>
      </c>
      <c r="I503" s="5">
        <f>_xlfn.LET(
_xlpm.q,RawData!G503,
_xlpm.u,RawData!H503,
_xlpm.d,RawData!I503,
_xlpm.r,RawData!J503,
IF(AND(ISNUMBER(_xlpm.d),_xlpm.d&gt;=0,_xlpm.d&lt;1),_xlpm.d,
   IF(AND(ISNUMBER(_xlpm.q),_xlpm.q&gt;0,ISNUMBER(_xlpm.u),_xlpm.u&gt;0,ISNUMBER(_xlpm.r),_xlpm.r&gt;=0),
      1-(_xlpm.r/(_xlpm.q*_xlpm.u)),
      ""
   )
)
)</f>
        <v>0.05</v>
      </c>
      <c r="J503" s="4">
        <f>_xlfn.LET(
_xlpm.q,RawData!G503,
_xlpm.u,RawData!H503,
_xlpm.d,RawData!I503,
_xlpm.r,RawData!J503,
IF(AND(ISNUMBER(_xlpm.r),_xlpm.r&gt;=0),_xlpm.r,
   IF(AND(ISNUMBER(_xlpm.q),_xlpm.q&gt;0,ISNUMBER(_xlpm.u),_xlpm.u&gt;0,ISNUMBER(_xlpm.d),_xlpm.d&gt;=0,_xlpm.d&lt;1),
      _xlpm.q*_xlpm.u*(1-_xlpm.d),
      ""
   )
)
)</f>
        <v>422.51</v>
      </c>
      <c r="K503" s="4">
        <f>_xlfn.LET(
_xlpm.c,RawData!K503,
_xlpm.r,RawData!J503,
_xlpm.p,RawData!L503,
IF(AND(ISNUMBER(_xlpm.c),_xlpm.c&gt;=0),_xlpm.c,
   IF(AND(ISNUMBER(_xlpm.r),ISNUMBER(_xlpm.p)),
      _xlpm.r-_xlpm.p,
      ""
   )
)
)</f>
        <v>315.91000000000003</v>
      </c>
      <c r="L503" s="4">
        <f>_xlfn.LET(
_xlpm.p,RawData!L503,
_xlpm.r,RawData!J503,
_xlpm.c,RawData!K503,
IF(ISNUMBER(_xlpm.p),_xlpm.p,
IF(AND(ISNUMBER(_xlpm.r),ISNUMBER(_xlpm.c)),
_xlpm.r-_xlpm.c,
""
)
))</f>
        <v>106.6</v>
      </c>
    </row>
    <row r="504" spans="1:12" x14ac:dyDescent="0.35">
      <c r="A504" t="s">
        <v>545</v>
      </c>
      <c r="B504" s="7">
        <v>45910</v>
      </c>
      <c r="C504" t="str">
        <f>IF(RawData!C504="","Unknown",PROPER(TRIM(CLEAN(SUBSTITUTE(RawData!C504,CHAR(160)," ")))))</f>
        <v>South</v>
      </c>
      <c r="D504" t="str">
        <f>IF(RawData!D504="","Unknown",PROPER(TRIM(CLEAN(SUBSTITUTE(RawData!D504,CHAR(160)," ")))))</f>
        <v>Chennai</v>
      </c>
      <c r="E504" t="str">
        <f>IF(RawData!E504="","Unknown",PROPER(TRIM(CLEAN(SUBSTITUTE(RawData!E504,CHAR(160)," ")))))</f>
        <v>Smartphone</v>
      </c>
      <c r="F504" t="str">
        <f>IF(RawData!F504="","Unknown",PROPER(TRIM(CLEAN(SUBSTITUTE(RawData!F504,CHAR(160)," ")))))</f>
        <v>Electronics</v>
      </c>
      <c r="G504">
        <f>_xlfn.LET(
_xlpm.q,RawData!G504,
_xlpm.u,RawData!H504,
_xlpm.d,RawData!I504,
_xlpm.r,RawData!J504,
IF(AND(ISNUMBER(_xlpm.q),_xlpm.q&gt;0),_xlpm.q,
   IF(AND(ISNUMBER(_xlpm.r),ISNUMBER(_xlpm.u),_xlpm.u&gt;0,ISNUMBER(_xlpm.d),_xlpm.d&gt;=0,_xlpm.d&lt;1),
      ROUND(_xlpm.r/(_xlpm.u*(1-_xlpm.d)),0),
      ""
   )
)
)</f>
        <v>3</v>
      </c>
      <c r="H504" s="4">
        <f>_xlfn.LET(
_xlpm.q,RawData!G504,
_xlpm.u,RawData!H504,
_xlpm.d,RawData!I504,
_xlpm.r,RawData!J504,
IF(AND(ISNUMBER(_xlpm.u),_xlpm.u&gt;0),_xlpm.u,
   IF(AND(ISNUMBER(_xlpm.q),_xlpm.q&gt;0,ISNUMBER(_xlpm.r),ISNUMBER(_xlpm.d),_xlpm.d&gt;=0,_xlpm.d&lt;1),
      _xlpm.r/(_xlpm.q*(1-_xlpm.d)),
      ""
   )
)
)</f>
        <v>600.58000000000004</v>
      </c>
      <c r="I504" s="5">
        <f>_xlfn.LET(
_xlpm.q,RawData!G504,
_xlpm.u,RawData!H504,
_xlpm.d,RawData!I504,
_xlpm.r,RawData!J504,
IF(AND(ISNUMBER(_xlpm.d),_xlpm.d&gt;=0,_xlpm.d&lt;1),_xlpm.d,
   IF(AND(ISNUMBER(_xlpm.q),_xlpm.q&gt;0,ISNUMBER(_xlpm.u),_xlpm.u&gt;0,ISNUMBER(_xlpm.r),_xlpm.r&gt;=0),
      1-(_xlpm.r/(_xlpm.q*_xlpm.u)),
      ""
   )
)
)</f>
        <v>0.1</v>
      </c>
      <c r="J504" s="4">
        <f>_xlfn.LET(
_xlpm.q,RawData!G504,
_xlpm.u,RawData!H504,
_xlpm.d,RawData!I504,
_xlpm.r,RawData!J504,
IF(AND(ISNUMBER(_xlpm.r),_xlpm.r&gt;=0),_xlpm.r,
   IF(AND(ISNUMBER(_xlpm.q),_xlpm.q&gt;0,ISNUMBER(_xlpm.u),_xlpm.u&gt;0,ISNUMBER(_xlpm.d),_xlpm.d&gt;=0,_xlpm.d&lt;1),
      _xlpm.q*_xlpm.u*(1-_xlpm.d),
      ""
   )
)
)</f>
        <v>1621.57</v>
      </c>
      <c r="K504" s="4">
        <f>_xlfn.LET(
_xlpm.c,RawData!K504,
_xlpm.r,RawData!J504,
_xlpm.p,RawData!L504,
IF(AND(ISNUMBER(_xlpm.c),_xlpm.c&gt;=0),_xlpm.c,
   IF(AND(ISNUMBER(_xlpm.r),ISNUMBER(_xlpm.p)),
      _xlpm.r-_xlpm.p,
      ""
   )
)
)</f>
        <v>1180.29</v>
      </c>
      <c r="L504" s="4">
        <f>_xlfn.LET(
_xlpm.p,RawData!L504,
_xlpm.r,RawData!J504,
_xlpm.c,RawData!K504,
IF(ISNUMBER(_xlpm.p),_xlpm.p,
IF(AND(ISNUMBER(_xlpm.r),ISNUMBER(_xlpm.c)),
_xlpm.r-_xlpm.c,
""
)
))</f>
        <v>441.28</v>
      </c>
    </row>
    <row r="505" spans="1:12" x14ac:dyDescent="0.35">
      <c r="A505" t="s">
        <v>546</v>
      </c>
      <c r="B505" s="7">
        <v>45873</v>
      </c>
      <c r="C505" t="str">
        <f>IF(RawData!C505="","Unknown",PROPER(TRIM(CLEAN(SUBSTITUTE(RawData!C505,CHAR(160)," ")))))</f>
        <v>East</v>
      </c>
      <c r="D505" t="str">
        <f>IF(RawData!D505="","Unknown",PROPER(TRIM(CLEAN(SUBSTITUTE(RawData!D505,CHAR(160)," ")))))</f>
        <v>Bhubaneswar</v>
      </c>
      <c r="E505" t="str">
        <f>IF(RawData!E505="","Unknown",PROPER(TRIM(CLEAN(SUBSTITUTE(RawData!E505,CHAR(160)," ")))))</f>
        <v>Printer</v>
      </c>
      <c r="F505" t="str">
        <f>IF(RawData!F505="","Unknown",PROPER(TRIM(CLEAN(SUBSTITUTE(RawData!F505,CHAR(160)," ")))))</f>
        <v>Office Supplies</v>
      </c>
      <c r="G505">
        <f>_xlfn.LET(
_xlpm.q,RawData!G505,
_xlpm.u,RawData!H505,
_xlpm.d,RawData!I505,
_xlpm.r,RawData!J505,
IF(AND(ISNUMBER(_xlpm.q),_xlpm.q&gt;0),_xlpm.q,
   IF(AND(ISNUMBER(_xlpm.r),ISNUMBER(_xlpm.u),_xlpm.u&gt;0,ISNUMBER(_xlpm.d),_xlpm.d&gt;=0,_xlpm.d&lt;1),
      ROUND(_xlpm.r/(_xlpm.u*(1-_xlpm.d)),0),
      ""
   )
)
)</f>
        <v>2</v>
      </c>
      <c r="H505" s="4">
        <f>_xlfn.LET(
_xlpm.q,RawData!G505,
_xlpm.u,RawData!H505,
_xlpm.d,RawData!I505,
_xlpm.r,RawData!J505,
IF(AND(ISNUMBER(_xlpm.u),_xlpm.u&gt;0),_xlpm.u,
   IF(AND(ISNUMBER(_xlpm.q),_xlpm.q&gt;0,ISNUMBER(_xlpm.r),ISNUMBER(_xlpm.d),_xlpm.d&gt;=0,_xlpm.d&lt;1),
      _xlpm.r/(_xlpm.q*(1-_xlpm.d)),
      ""
   )
)
)</f>
        <v>169.23</v>
      </c>
      <c r="I505" s="5">
        <f>_xlfn.LET(
_xlpm.q,RawData!G505,
_xlpm.u,RawData!H505,
_xlpm.d,RawData!I505,
_xlpm.r,RawData!J505,
IF(AND(ISNUMBER(_xlpm.d),_xlpm.d&gt;=0,_xlpm.d&lt;1),_xlpm.d,
   IF(AND(ISNUMBER(_xlpm.q),_xlpm.q&gt;0,ISNUMBER(_xlpm.u),_xlpm.u&gt;0,ISNUMBER(_xlpm.r),_xlpm.r&gt;=0),
      1-(_xlpm.r/(_xlpm.q*_xlpm.u)),
      ""
   )
)
)</f>
        <v>0.05</v>
      </c>
      <c r="J505" s="4">
        <f>_xlfn.LET(
_xlpm.q,RawData!G505,
_xlpm.u,RawData!H505,
_xlpm.d,RawData!I505,
_xlpm.r,RawData!J505,
IF(AND(ISNUMBER(_xlpm.r),_xlpm.r&gt;=0),_xlpm.r,
   IF(AND(ISNUMBER(_xlpm.q),_xlpm.q&gt;0,ISNUMBER(_xlpm.u),_xlpm.u&gt;0,ISNUMBER(_xlpm.d),_xlpm.d&gt;=0,_xlpm.d&lt;1),
      _xlpm.q*_xlpm.u*(1-_xlpm.d),
      ""
   )
)
)</f>
        <v>321.54000000000002</v>
      </c>
      <c r="K505" s="4">
        <f>_xlfn.LET(
_xlpm.c,RawData!K505,
_xlpm.r,RawData!J505,
_xlpm.p,RawData!L505,
IF(AND(ISNUMBER(_xlpm.c),_xlpm.c&gt;=0),_xlpm.c,
   IF(AND(ISNUMBER(_xlpm.r),ISNUMBER(_xlpm.p)),
      _xlpm.r-_xlpm.p,
      ""
   )
)
)</f>
        <v>250.57</v>
      </c>
      <c r="L505" s="4">
        <f>_xlfn.LET(
_xlpm.p,RawData!L505,
_xlpm.r,RawData!J505,
_xlpm.c,RawData!K505,
IF(ISNUMBER(_xlpm.p),_xlpm.p,
IF(AND(ISNUMBER(_xlpm.r),ISNUMBER(_xlpm.c)),
_xlpm.r-_xlpm.c,
""
)
))</f>
        <v>70.97</v>
      </c>
    </row>
    <row r="506" spans="1:12" x14ac:dyDescent="0.35">
      <c r="A506" t="s">
        <v>547</v>
      </c>
      <c r="B506" s="7">
        <v>45784</v>
      </c>
      <c r="C506" t="str">
        <f>IF(RawData!C506="","Unknown",PROPER(TRIM(CLEAN(SUBSTITUTE(RawData!C506,CHAR(160)," ")))))</f>
        <v>West</v>
      </c>
      <c r="D506" t="str">
        <f>IF(RawData!D506="","Unknown",PROPER(TRIM(CLEAN(SUBSTITUTE(RawData!D506,CHAR(160)," ")))))</f>
        <v>Pune</v>
      </c>
      <c r="E506" t="str">
        <f>IF(RawData!E506="","Unknown",PROPER(TRIM(CLEAN(SUBSTITUTE(RawData!E506,CHAR(160)," ")))))</f>
        <v>Pen Set</v>
      </c>
      <c r="F506" t="str">
        <f>IF(RawData!F506="","Unknown",PROPER(TRIM(CLEAN(SUBSTITUTE(RawData!F506,CHAR(160)," ")))))</f>
        <v>Office Supplies</v>
      </c>
      <c r="G506">
        <f>_xlfn.LET(
_xlpm.q,RawData!G506,
_xlpm.u,RawData!H506,
_xlpm.d,RawData!I506,
_xlpm.r,RawData!J506,
IF(AND(ISNUMBER(_xlpm.q),_xlpm.q&gt;0),_xlpm.q,
   IF(AND(ISNUMBER(_xlpm.r),ISNUMBER(_xlpm.u),_xlpm.u&gt;0,ISNUMBER(_xlpm.d),_xlpm.d&gt;=0,_xlpm.d&lt;1),
      ROUND(_xlpm.r/(_xlpm.u*(1-_xlpm.d)),0),
      ""
   )
)
)</f>
        <v>10</v>
      </c>
      <c r="H506" s="4">
        <f>_xlfn.LET(
_xlpm.q,RawData!G506,
_xlpm.u,RawData!H506,
_xlpm.d,RawData!I506,
_xlpm.r,RawData!J506,
IF(AND(ISNUMBER(_xlpm.u),_xlpm.u&gt;0),_xlpm.u,
   IF(AND(ISNUMBER(_xlpm.q),_xlpm.q&gt;0,ISNUMBER(_xlpm.r),ISNUMBER(_xlpm.d),_xlpm.d&gt;=0,_xlpm.d&lt;1),
      _xlpm.r/(_xlpm.q*(1-_xlpm.d)),
      ""
   )
)
)</f>
        <v>11.1</v>
      </c>
      <c r="I506" s="5">
        <f>_xlfn.LET(
_xlpm.q,RawData!G506,
_xlpm.u,RawData!H506,
_xlpm.d,RawData!I506,
_xlpm.r,RawData!J506,
IF(AND(ISNUMBER(_xlpm.d),_xlpm.d&gt;=0,_xlpm.d&lt;1),_xlpm.d,
   IF(AND(ISNUMBER(_xlpm.q),_xlpm.q&gt;0,ISNUMBER(_xlpm.u),_xlpm.u&gt;0,ISNUMBER(_xlpm.r),_xlpm.r&gt;=0),
      1-(_xlpm.r/(_xlpm.q*_xlpm.u)),
      ""
   )
)
)</f>
        <v>0.02</v>
      </c>
      <c r="J506" s="4">
        <f>_xlfn.LET(
_xlpm.q,RawData!G506,
_xlpm.u,RawData!H506,
_xlpm.d,RawData!I506,
_xlpm.r,RawData!J506,
IF(AND(ISNUMBER(_xlpm.r),_xlpm.r&gt;=0),_xlpm.r,
   IF(AND(ISNUMBER(_xlpm.q),_xlpm.q&gt;0,ISNUMBER(_xlpm.u),_xlpm.u&gt;0,ISNUMBER(_xlpm.d),_xlpm.d&gt;=0,_xlpm.d&lt;1),
      _xlpm.q*_xlpm.u*(1-_xlpm.d),
      ""
   )
)
)</f>
        <v>108.78</v>
      </c>
      <c r="K506" s="4">
        <f>_xlfn.LET(
_xlpm.c,RawData!K506,
_xlpm.r,RawData!J506,
_xlpm.p,RawData!L506,
IF(AND(ISNUMBER(_xlpm.c),_xlpm.c&gt;=0),_xlpm.c,
   IF(AND(ISNUMBER(_xlpm.r),ISNUMBER(_xlpm.p)),
      _xlpm.r-_xlpm.p,
      ""
   )
)
)</f>
        <v>74.2</v>
      </c>
      <c r="L506" s="4">
        <f>_xlfn.LET(
_xlpm.p,RawData!L506,
_xlpm.r,RawData!J506,
_xlpm.c,RawData!K506,
IF(ISNUMBER(_xlpm.p),_xlpm.p,
IF(AND(ISNUMBER(_xlpm.r),ISNUMBER(_xlpm.c)),
_xlpm.r-_xlpm.c,
""
)
))</f>
        <v>34.58</v>
      </c>
    </row>
    <row r="507" spans="1:12" x14ac:dyDescent="0.35">
      <c r="A507" t="s">
        <v>548</v>
      </c>
      <c r="B507" s="7">
        <v>45712</v>
      </c>
      <c r="C507" t="str">
        <f>IF(RawData!C507="","Unknown",PROPER(TRIM(CLEAN(SUBSTITUTE(RawData!C507,CHAR(160)," ")))))</f>
        <v>South</v>
      </c>
      <c r="D507" t="str">
        <f>IF(RawData!D507="","Unknown",PROPER(TRIM(CLEAN(SUBSTITUTE(RawData!D507,CHAR(160)," ")))))</f>
        <v>Chennai</v>
      </c>
      <c r="E507" t="str">
        <f>IF(RawData!E507="","Unknown",PROPER(TRIM(CLEAN(SUBSTITUTE(RawData!E507,CHAR(160)," ")))))</f>
        <v>Office Chair</v>
      </c>
      <c r="F507" t="str">
        <f>IF(RawData!F507="","Unknown",PROPER(TRIM(CLEAN(SUBSTITUTE(RawData!F507,CHAR(160)," ")))))</f>
        <v>Furniture</v>
      </c>
      <c r="G507">
        <f>_xlfn.LET(
_xlpm.q,RawData!G507,
_xlpm.u,RawData!H507,
_xlpm.d,RawData!I507,
_xlpm.r,RawData!J507,
IF(AND(ISNUMBER(_xlpm.q),_xlpm.q&gt;0),_xlpm.q,
   IF(AND(ISNUMBER(_xlpm.r),ISNUMBER(_xlpm.u),_xlpm.u&gt;0,ISNUMBER(_xlpm.d),_xlpm.d&gt;=0,_xlpm.d&lt;1),
      ROUND(_xlpm.r/(_xlpm.u*(1-_xlpm.d)),0),
      ""
   )
)
)</f>
        <v>1</v>
      </c>
      <c r="H507" s="4">
        <f>_xlfn.LET(
_xlpm.q,RawData!G507,
_xlpm.u,RawData!H507,
_xlpm.d,RawData!I507,
_xlpm.r,RawData!J507,
IF(AND(ISNUMBER(_xlpm.u),_xlpm.u&gt;0),_xlpm.u,
   IF(AND(ISNUMBER(_xlpm.q),_xlpm.q&gt;0,ISNUMBER(_xlpm.r),ISNUMBER(_xlpm.d),_xlpm.d&gt;=0,_xlpm.d&lt;1),
      _xlpm.r/(_xlpm.q*(1-_xlpm.d)),
      ""
   )
)
)</f>
        <v>164.95</v>
      </c>
      <c r="I507" s="5">
        <f>_xlfn.LET(
_xlpm.q,RawData!G507,
_xlpm.u,RawData!H507,
_xlpm.d,RawData!I507,
_xlpm.r,RawData!J507,
IF(AND(ISNUMBER(_xlpm.d),_xlpm.d&gt;=0,_xlpm.d&lt;1),_xlpm.d,
   IF(AND(ISNUMBER(_xlpm.q),_xlpm.q&gt;0,ISNUMBER(_xlpm.u),_xlpm.u&gt;0,ISNUMBER(_xlpm.r),_xlpm.r&gt;=0),
      1-(_xlpm.r/(_xlpm.q*_xlpm.u)),
      ""
   )
)
)</f>
        <v>0.1</v>
      </c>
      <c r="J507" s="4">
        <f>_xlfn.LET(
_xlpm.q,RawData!G507,
_xlpm.u,RawData!H507,
_xlpm.d,RawData!I507,
_xlpm.r,RawData!J507,
IF(AND(ISNUMBER(_xlpm.r),_xlpm.r&gt;=0),_xlpm.r,
   IF(AND(ISNUMBER(_xlpm.q),_xlpm.q&gt;0,ISNUMBER(_xlpm.u),_xlpm.u&gt;0,ISNUMBER(_xlpm.d),_xlpm.d&gt;=0,_xlpm.d&lt;1),
      _xlpm.q*_xlpm.u*(1-_xlpm.d),
      ""
   )
)
)</f>
        <v>148.44999999999999</v>
      </c>
      <c r="K507" s="4">
        <f>_xlfn.LET(
_xlpm.c,RawData!K507,
_xlpm.r,RawData!J507,
_xlpm.p,RawData!L507,
IF(AND(ISNUMBER(_xlpm.c),_xlpm.c&gt;=0),_xlpm.c,
   IF(AND(ISNUMBER(_xlpm.r),ISNUMBER(_xlpm.p)),
      _xlpm.r-_xlpm.p,
      ""
   )
)
)</f>
        <v>121.23</v>
      </c>
      <c r="L507" s="4">
        <f>_xlfn.LET(
_xlpm.p,RawData!L507,
_xlpm.r,RawData!J507,
_xlpm.c,RawData!K507,
IF(ISNUMBER(_xlpm.p),_xlpm.p,
IF(AND(ISNUMBER(_xlpm.r),ISNUMBER(_xlpm.c)),
_xlpm.r-_xlpm.c,
""
)
))</f>
        <v>27.22</v>
      </c>
    </row>
    <row r="508" spans="1:12" x14ac:dyDescent="0.35">
      <c r="A508" t="s">
        <v>549</v>
      </c>
      <c r="B508" s="7">
        <v>45975</v>
      </c>
      <c r="C508" t="str">
        <f>IF(RawData!C508="","Unknown",PROPER(TRIM(CLEAN(SUBSTITUTE(RawData!C508,CHAR(160)," ")))))</f>
        <v>West</v>
      </c>
      <c r="D508" t="str">
        <f>IF(RawData!D508="","Unknown",PROPER(TRIM(CLEAN(SUBSTITUTE(RawData!D508,CHAR(160)," ")))))</f>
        <v>Pune</v>
      </c>
      <c r="E508" t="str">
        <f>IF(RawData!E508="","Unknown",PROPER(TRIM(CLEAN(SUBSTITUTE(RawData!E508,CHAR(160)," ")))))</f>
        <v>Desk</v>
      </c>
      <c r="F508" t="str">
        <f>IF(RawData!F508="","Unknown",PROPER(TRIM(CLEAN(SUBSTITUTE(RawData!F508,CHAR(160)," ")))))</f>
        <v>Furniture</v>
      </c>
      <c r="G508">
        <f>_xlfn.LET(
_xlpm.q,RawData!G508,
_xlpm.u,RawData!H508,
_xlpm.d,RawData!I508,
_xlpm.r,RawData!J508,
IF(AND(ISNUMBER(_xlpm.q),_xlpm.q&gt;0),_xlpm.q,
   IF(AND(ISNUMBER(_xlpm.r),ISNUMBER(_xlpm.u),_xlpm.u&gt;0,ISNUMBER(_xlpm.d),_xlpm.d&gt;=0,_xlpm.d&lt;1),
      ROUND(_xlpm.r/(_xlpm.u*(1-_xlpm.d)),0),
      ""
   )
)
)</f>
        <v>8</v>
      </c>
      <c r="H508" s="4">
        <f>_xlfn.LET(
_xlpm.q,RawData!G508,
_xlpm.u,RawData!H508,
_xlpm.d,RawData!I508,
_xlpm.r,RawData!J508,
IF(AND(ISNUMBER(_xlpm.u),_xlpm.u&gt;0),_xlpm.u,
   IF(AND(ISNUMBER(_xlpm.q),_xlpm.q&gt;0,ISNUMBER(_xlpm.r),ISNUMBER(_xlpm.d),_xlpm.d&gt;=0,_xlpm.d&lt;1),
      _xlpm.r/(_xlpm.q*(1-_xlpm.d)),
      ""
   )
)
)</f>
        <v>283.3</v>
      </c>
      <c r="I508" s="5">
        <f>_xlfn.LET(
_xlpm.q,RawData!G508,
_xlpm.u,RawData!H508,
_xlpm.d,RawData!I508,
_xlpm.r,RawData!J508,
IF(AND(ISNUMBER(_xlpm.d),_xlpm.d&gt;=0,_xlpm.d&lt;1),_xlpm.d,
   IF(AND(ISNUMBER(_xlpm.q),_xlpm.q&gt;0,ISNUMBER(_xlpm.u),_xlpm.u&gt;0,ISNUMBER(_xlpm.r),_xlpm.r&gt;=0),
      1-(_xlpm.r/(_xlpm.q*_xlpm.u)),
      ""
   )
)
)</f>
        <v>0.05</v>
      </c>
      <c r="J508" s="4">
        <f>_xlfn.LET(
_xlpm.q,RawData!G508,
_xlpm.u,RawData!H508,
_xlpm.d,RawData!I508,
_xlpm.r,RawData!J508,
IF(AND(ISNUMBER(_xlpm.r),_xlpm.r&gt;=0),_xlpm.r,
   IF(AND(ISNUMBER(_xlpm.q),_xlpm.q&gt;0,ISNUMBER(_xlpm.u),_xlpm.u&gt;0,ISNUMBER(_xlpm.d),_xlpm.d&gt;=0,_xlpm.d&lt;1),
      _xlpm.q*_xlpm.u*(1-_xlpm.d),
      ""
   )
)
)</f>
        <v>2153.08</v>
      </c>
      <c r="K508" s="4">
        <f>_xlfn.LET(
_xlpm.c,RawData!K508,
_xlpm.r,RawData!J508,
_xlpm.p,RawData!L508,
IF(AND(ISNUMBER(_xlpm.c),_xlpm.c&gt;=0),_xlpm.c,
   IF(AND(ISNUMBER(_xlpm.r),ISNUMBER(_xlpm.p)),
      _xlpm.r-_xlpm.p,
      ""
   )
)
)</f>
        <v>1207.1099999999999</v>
      </c>
      <c r="L508" s="4">
        <f>_xlfn.LET(
_xlpm.p,RawData!L508,
_xlpm.r,RawData!J508,
_xlpm.c,RawData!K508,
IF(ISNUMBER(_xlpm.p),_xlpm.p,
IF(AND(ISNUMBER(_xlpm.r),ISNUMBER(_xlpm.c)),
_xlpm.r-_xlpm.c,
""
)
))</f>
        <v>945.97</v>
      </c>
    </row>
    <row r="509" spans="1:12" x14ac:dyDescent="0.35">
      <c r="A509" t="s">
        <v>550</v>
      </c>
      <c r="B509" s="7">
        <v>45991</v>
      </c>
      <c r="C509" t="str">
        <f>IF(RawData!C509="","Unknown",PROPER(TRIM(CLEAN(SUBSTITUTE(RawData!C509,CHAR(160)," ")))))</f>
        <v>South</v>
      </c>
      <c r="D509" t="str">
        <f>IF(RawData!D509="","Unknown",PROPER(TRIM(CLEAN(SUBSTITUTE(RawData!D509,CHAR(160)," ")))))</f>
        <v>Bengaluru</v>
      </c>
      <c r="E509" t="str">
        <f>IF(RawData!E509="","Unknown",PROPER(TRIM(CLEAN(SUBSTITUTE(RawData!E509,CHAR(160)," ")))))</f>
        <v>Office Chair</v>
      </c>
      <c r="F509" t="str">
        <f>IF(RawData!F509="","Unknown",PROPER(TRIM(CLEAN(SUBSTITUTE(RawData!F509,CHAR(160)," ")))))</f>
        <v>Furniture</v>
      </c>
      <c r="G509">
        <f>_xlfn.LET(
_xlpm.q,RawData!G509,
_xlpm.u,RawData!H509,
_xlpm.d,RawData!I509,
_xlpm.r,RawData!J509,
IF(AND(ISNUMBER(_xlpm.q),_xlpm.q&gt;0),_xlpm.q,
   IF(AND(ISNUMBER(_xlpm.r),ISNUMBER(_xlpm.u),_xlpm.u&gt;0,ISNUMBER(_xlpm.d),_xlpm.d&gt;=0,_xlpm.d&lt;1),
      ROUND(_xlpm.r/(_xlpm.u*(1-_xlpm.d)),0),
      ""
   )
)
)</f>
        <v>6</v>
      </c>
      <c r="H509" s="4">
        <f>_xlfn.LET(
_xlpm.q,RawData!G509,
_xlpm.u,RawData!H509,
_xlpm.d,RawData!I509,
_xlpm.r,RawData!J509,
IF(AND(ISNUMBER(_xlpm.u),_xlpm.u&gt;0),_xlpm.u,
   IF(AND(ISNUMBER(_xlpm.q),_xlpm.q&gt;0,ISNUMBER(_xlpm.r),ISNUMBER(_xlpm.d),_xlpm.d&gt;=0,_xlpm.d&lt;1),
      _xlpm.r/(_xlpm.q*(1-_xlpm.d)),
      ""
   )
)
)</f>
        <v>191.1</v>
      </c>
      <c r="I509" s="5">
        <f>_xlfn.LET(
_xlpm.q,RawData!G509,
_xlpm.u,RawData!H509,
_xlpm.d,RawData!I509,
_xlpm.r,RawData!J509,
IF(AND(ISNUMBER(_xlpm.d),_xlpm.d&gt;=0,_xlpm.d&lt;1),_xlpm.d,
   IF(AND(ISNUMBER(_xlpm.q),_xlpm.q&gt;0,ISNUMBER(_xlpm.u),_xlpm.u&gt;0,ISNUMBER(_xlpm.r),_xlpm.r&gt;=0),
      1-(_xlpm.r/(_xlpm.q*_xlpm.u)),
      ""
   )
)
)</f>
        <v>0.15</v>
      </c>
      <c r="J509" s="4">
        <f>_xlfn.LET(
_xlpm.q,RawData!G509,
_xlpm.u,RawData!H509,
_xlpm.d,RawData!I509,
_xlpm.r,RawData!J509,
IF(AND(ISNUMBER(_xlpm.r),_xlpm.r&gt;=0),_xlpm.r,
   IF(AND(ISNUMBER(_xlpm.q),_xlpm.q&gt;0,ISNUMBER(_xlpm.u),_xlpm.u&gt;0,ISNUMBER(_xlpm.d),_xlpm.d&gt;=0,_xlpm.d&lt;1),
      _xlpm.q*_xlpm.u*(1-_xlpm.d),
      ""
   )
)
)</f>
        <v>974.61</v>
      </c>
      <c r="K509" s="4">
        <f>_xlfn.LET(
_xlpm.c,RawData!K509,
_xlpm.r,RawData!J509,
_xlpm.p,RawData!L509,
IF(AND(ISNUMBER(_xlpm.c),_xlpm.c&gt;=0),_xlpm.c,
   IF(AND(ISNUMBER(_xlpm.r),ISNUMBER(_xlpm.p)),
      _xlpm.r-_xlpm.p,
      ""
   )
)
)</f>
        <v>779.51</v>
      </c>
      <c r="L509" s="4">
        <f>_xlfn.LET(
_xlpm.p,RawData!L509,
_xlpm.r,RawData!J509,
_xlpm.c,RawData!K509,
IF(ISNUMBER(_xlpm.p),_xlpm.p,
IF(AND(ISNUMBER(_xlpm.r),ISNUMBER(_xlpm.c)),
_xlpm.r-_xlpm.c,
""
)
))</f>
        <v>195.1</v>
      </c>
    </row>
    <row r="510" spans="1:12" x14ac:dyDescent="0.35">
      <c r="A510" t="s">
        <v>551</v>
      </c>
      <c r="B510" s="7">
        <v>45760</v>
      </c>
      <c r="C510" t="str">
        <f>IF(RawData!C510="","Unknown",PROPER(TRIM(CLEAN(SUBSTITUTE(RawData!C510,CHAR(160)," ")))))</f>
        <v>West</v>
      </c>
      <c r="D510" t="str">
        <f>IF(RawData!D510="","Unknown",PROPER(TRIM(CLEAN(SUBSTITUTE(RawData!D510,CHAR(160)," ")))))</f>
        <v>Pune</v>
      </c>
      <c r="E510" t="str">
        <f>IF(RawData!E510="","Unknown",PROPER(TRIM(CLEAN(SUBSTITUTE(RawData!E510,CHAR(160)," ")))))</f>
        <v>Desk</v>
      </c>
      <c r="F510" t="str">
        <f>IF(RawData!F510="","Unknown",PROPER(TRIM(CLEAN(SUBSTITUTE(RawData!F510,CHAR(160)," ")))))</f>
        <v>Furniture</v>
      </c>
      <c r="G510">
        <f>_xlfn.LET(
_xlpm.q,RawData!G510,
_xlpm.u,RawData!H510,
_xlpm.d,RawData!I510,
_xlpm.r,RawData!J510,
IF(AND(ISNUMBER(_xlpm.q),_xlpm.q&gt;0),_xlpm.q,
   IF(AND(ISNUMBER(_xlpm.r),ISNUMBER(_xlpm.u),_xlpm.u&gt;0,ISNUMBER(_xlpm.d),_xlpm.d&gt;=0,_xlpm.d&lt;1),
      ROUND(_xlpm.r/(_xlpm.u*(1-_xlpm.d)),0),
      ""
   )
)
)</f>
        <v>3</v>
      </c>
      <c r="H510" s="4">
        <f>_xlfn.LET(
_xlpm.q,RawData!G510,
_xlpm.u,RawData!H510,
_xlpm.d,RawData!I510,
_xlpm.r,RawData!J510,
IF(AND(ISNUMBER(_xlpm.u),_xlpm.u&gt;0),_xlpm.u,
   IF(AND(ISNUMBER(_xlpm.q),_xlpm.q&gt;0,ISNUMBER(_xlpm.r),ISNUMBER(_xlpm.d),_xlpm.d&gt;=0,_xlpm.d&lt;1),
      _xlpm.r/(_xlpm.q*(1-_xlpm.d)),
      ""
   )
)
)</f>
        <v>226.04</v>
      </c>
      <c r="I510" s="5">
        <f>_xlfn.LET(
_xlpm.q,RawData!G510,
_xlpm.u,RawData!H510,
_xlpm.d,RawData!I510,
_xlpm.r,RawData!J510,
IF(AND(ISNUMBER(_xlpm.d),_xlpm.d&gt;=0,_xlpm.d&lt;1),_xlpm.d,
   IF(AND(ISNUMBER(_xlpm.q),_xlpm.q&gt;0,ISNUMBER(_xlpm.u),_xlpm.u&gt;0,ISNUMBER(_xlpm.r),_xlpm.r&gt;=0),
      1-(_xlpm.r/(_xlpm.q*_xlpm.u)),
      ""
   )
)
)</f>
        <v>0.1</v>
      </c>
      <c r="J510" s="4">
        <f>_xlfn.LET(
_xlpm.q,RawData!G510,
_xlpm.u,RawData!H510,
_xlpm.d,RawData!I510,
_xlpm.r,RawData!J510,
IF(AND(ISNUMBER(_xlpm.r),_xlpm.r&gt;=0),_xlpm.r,
   IF(AND(ISNUMBER(_xlpm.q),_xlpm.q&gt;0,ISNUMBER(_xlpm.u),_xlpm.u&gt;0,ISNUMBER(_xlpm.d),_xlpm.d&gt;=0,_xlpm.d&lt;1),
      _xlpm.q*_xlpm.u*(1-_xlpm.d),
      ""
   )
)
)</f>
        <v>610.30999999999995</v>
      </c>
      <c r="K510" s="4">
        <f>_xlfn.LET(
_xlpm.c,RawData!K510,
_xlpm.r,RawData!J510,
_xlpm.p,RawData!L510,
IF(AND(ISNUMBER(_xlpm.c),_xlpm.c&gt;=0),_xlpm.c,
   IF(AND(ISNUMBER(_xlpm.r),ISNUMBER(_xlpm.p)),
      _xlpm.r-_xlpm.p,
      ""
   )
)
)</f>
        <v>429.26</v>
      </c>
      <c r="L510" s="4">
        <f>_xlfn.LET(
_xlpm.p,RawData!L510,
_xlpm.r,RawData!J510,
_xlpm.c,RawData!K510,
IF(ISNUMBER(_xlpm.p),_xlpm.p,
IF(AND(ISNUMBER(_xlpm.r),ISNUMBER(_xlpm.c)),
_xlpm.r-_xlpm.c,
""
)
))</f>
        <v>181.05</v>
      </c>
    </row>
    <row r="511" spans="1:12" x14ac:dyDescent="0.35">
      <c r="A511" t="s">
        <v>552</v>
      </c>
      <c r="B511" s="7">
        <v>45807</v>
      </c>
      <c r="C511" t="str">
        <f>IF(RawData!C511="","Unknown",PROPER(TRIM(CLEAN(SUBSTITUTE(RawData!C511,CHAR(160)," ")))))</f>
        <v>West</v>
      </c>
      <c r="D511" t="str">
        <f>IF(RawData!D511="","Unknown",PROPER(TRIM(CLEAN(SUBSTITUTE(RawData!D511,CHAR(160)," ")))))</f>
        <v>Pune</v>
      </c>
      <c r="E511" t="str">
        <f>IF(RawData!E511="","Unknown",PROPER(TRIM(CLEAN(SUBSTITUTE(RawData!E511,CHAR(160)," ")))))</f>
        <v>Pen Set</v>
      </c>
      <c r="F511" t="str">
        <f>IF(RawData!F511="","Unknown",PROPER(TRIM(CLEAN(SUBSTITUTE(RawData!F511,CHAR(160)," ")))))</f>
        <v>Office Supplies</v>
      </c>
      <c r="G511">
        <f>_xlfn.LET(
_xlpm.q,RawData!G511,
_xlpm.u,RawData!H511,
_xlpm.d,RawData!I511,
_xlpm.r,RawData!J511,
IF(AND(ISNUMBER(_xlpm.q),_xlpm.q&gt;0),_xlpm.q,
   IF(AND(ISNUMBER(_xlpm.r),ISNUMBER(_xlpm.u),_xlpm.u&gt;0,ISNUMBER(_xlpm.d),_xlpm.d&gt;=0,_xlpm.d&lt;1),
      ROUND(_xlpm.r/(_xlpm.u*(1-_xlpm.d)),0),
      ""
   )
)
)</f>
        <v>4</v>
      </c>
      <c r="H511" s="4">
        <f>_xlfn.LET(
_xlpm.q,RawData!G511,
_xlpm.u,RawData!H511,
_xlpm.d,RawData!I511,
_xlpm.r,RawData!J511,
IF(AND(ISNUMBER(_xlpm.u),_xlpm.u&gt;0),_xlpm.u,
   IF(AND(ISNUMBER(_xlpm.q),_xlpm.q&gt;0,ISNUMBER(_xlpm.r),ISNUMBER(_xlpm.d),_xlpm.d&gt;=0,_xlpm.d&lt;1),
      _xlpm.r/(_xlpm.q*(1-_xlpm.d)),
      ""
   )
)
)</f>
        <v>13.5</v>
      </c>
      <c r="I511" s="5">
        <f>_xlfn.LET(
_xlpm.q,RawData!G511,
_xlpm.u,RawData!H511,
_xlpm.d,RawData!I511,
_xlpm.r,RawData!J511,
IF(AND(ISNUMBER(_xlpm.d),_xlpm.d&gt;=0,_xlpm.d&lt;1),_xlpm.d,
   IF(AND(ISNUMBER(_xlpm.q),_xlpm.q&gt;0,ISNUMBER(_xlpm.u),_xlpm.u&gt;0,ISNUMBER(_xlpm.r),_xlpm.r&gt;=0),
      1-(_xlpm.r/(_xlpm.q*_xlpm.u)),
      ""
   )
)
)</f>
        <v>0.05</v>
      </c>
      <c r="J511" s="4">
        <f>_xlfn.LET(
_xlpm.q,RawData!G511,
_xlpm.u,RawData!H511,
_xlpm.d,RawData!I511,
_xlpm.r,RawData!J511,
IF(AND(ISNUMBER(_xlpm.r),_xlpm.r&gt;=0),_xlpm.r,
   IF(AND(ISNUMBER(_xlpm.q),_xlpm.q&gt;0,ISNUMBER(_xlpm.u),_xlpm.u&gt;0,ISNUMBER(_xlpm.d),_xlpm.d&gt;=0,_xlpm.d&lt;1),
      _xlpm.q*_xlpm.u*(1-_xlpm.d),
      ""
   )
)
)</f>
        <v>51.3</v>
      </c>
      <c r="K511" s="4">
        <f>_xlfn.LET(
_xlpm.c,RawData!K511,
_xlpm.r,RawData!J511,
_xlpm.p,RawData!L511,
IF(AND(ISNUMBER(_xlpm.c),_xlpm.c&gt;=0),_xlpm.c,
   IF(AND(ISNUMBER(_xlpm.r),ISNUMBER(_xlpm.p)),
      _xlpm.r-_xlpm.p,
      ""
   )
)
)</f>
        <v>28.69</v>
      </c>
      <c r="L511" s="4">
        <f>_xlfn.LET(
_xlpm.p,RawData!L511,
_xlpm.r,RawData!J511,
_xlpm.c,RawData!K511,
IF(ISNUMBER(_xlpm.p),_xlpm.p,
IF(AND(ISNUMBER(_xlpm.r),ISNUMBER(_xlpm.c)),
_xlpm.r-_xlpm.c,
""
)
))</f>
        <v>22.61</v>
      </c>
    </row>
    <row r="512" spans="1:12" x14ac:dyDescent="0.35">
      <c r="A512" t="s">
        <v>553</v>
      </c>
      <c r="B512" s="7">
        <v>45801</v>
      </c>
      <c r="C512" t="str">
        <f>IF(RawData!C512="","Unknown",PROPER(TRIM(CLEAN(SUBSTITUTE(RawData!C512,CHAR(160)," ")))))</f>
        <v>West</v>
      </c>
      <c r="D512" t="str">
        <f>IF(RawData!D512="","Unknown",PROPER(TRIM(CLEAN(SUBSTITUTE(RawData!D512,CHAR(160)," ")))))</f>
        <v>Mumbai</v>
      </c>
      <c r="E512" t="str">
        <f>IF(RawData!E512="","Unknown",PROPER(TRIM(CLEAN(SUBSTITUTE(RawData!E512,CHAR(160)," ")))))</f>
        <v>Desk</v>
      </c>
      <c r="F512" t="str">
        <f>IF(RawData!F512="","Unknown",PROPER(TRIM(CLEAN(SUBSTITUTE(RawData!F512,CHAR(160)," ")))))</f>
        <v>Furniture</v>
      </c>
      <c r="G512">
        <f>_xlfn.LET(
_xlpm.q,RawData!G512,
_xlpm.u,RawData!H512,
_xlpm.d,RawData!I512,
_xlpm.r,RawData!J512,
IF(AND(ISNUMBER(_xlpm.q),_xlpm.q&gt;0),_xlpm.q,
   IF(AND(ISNUMBER(_xlpm.r),ISNUMBER(_xlpm.u),_xlpm.u&gt;0,ISNUMBER(_xlpm.d),_xlpm.d&gt;=0,_xlpm.d&lt;1),
      ROUND(_xlpm.r/(_xlpm.u*(1-_xlpm.d)),0),
      ""
   )
)
)</f>
        <v>2</v>
      </c>
      <c r="H512" s="4">
        <f>_xlfn.LET(
_xlpm.q,RawData!G512,
_xlpm.u,RawData!H512,
_xlpm.d,RawData!I512,
_xlpm.r,RawData!J512,
IF(AND(ISNUMBER(_xlpm.u),_xlpm.u&gt;0),_xlpm.u,
   IF(AND(ISNUMBER(_xlpm.q),_xlpm.q&gt;0,ISNUMBER(_xlpm.r),ISNUMBER(_xlpm.d),_xlpm.d&gt;=0,_xlpm.d&lt;1),
      _xlpm.r/(_xlpm.q*(1-_xlpm.d)),
      ""
   )
)
)</f>
        <v>264.81</v>
      </c>
      <c r="I512" s="5">
        <f>_xlfn.LET(
_xlpm.q,RawData!G512,
_xlpm.u,RawData!H512,
_xlpm.d,RawData!I512,
_xlpm.r,RawData!J512,
IF(AND(ISNUMBER(_xlpm.d),_xlpm.d&gt;=0,_xlpm.d&lt;1),_xlpm.d,
   IF(AND(ISNUMBER(_xlpm.q),_xlpm.q&gt;0,ISNUMBER(_xlpm.u),_xlpm.u&gt;0,ISNUMBER(_xlpm.r),_xlpm.r&gt;=0),
      1-(_xlpm.r/(_xlpm.q*_xlpm.u)),
      ""
   )
)
)</f>
        <v>0.15</v>
      </c>
      <c r="J512" s="4">
        <f>_xlfn.LET(
_xlpm.q,RawData!G512,
_xlpm.u,RawData!H512,
_xlpm.d,RawData!I512,
_xlpm.r,RawData!J512,
IF(AND(ISNUMBER(_xlpm.r),_xlpm.r&gt;=0),_xlpm.r,
   IF(AND(ISNUMBER(_xlpm.q),_xlpm.q&gt;0,ISNUMBER(_xlpm.u),_xlpm.u&gt;0,ISNUMBER(_xlpm.d),_xlpm.d&gt;=0,_xlpm.d&lt;1),
      _xlpm.q*_xlpm.u*(1-_xlpm.d),
      ""
   )
)
)</f>
        <v>450.18</v>
      </c>
      <c r="K512" s="4">
        <f>_xlfn.LET(
_xlpm.c,RawData!K512,
_xlpm.r,RawData!J512,
_xlpm.p,RawData!L512,
IF(AND(ISNUMBER(_xlpm.c),_xlpm.c&gt;=0),_xlpm.c,
   IF(AND(ISNUMBER(_xlpm.r),ISNUMBER(_xlpm.p)),
      _xlpm.r-_xlpm.p,
      ""
   )
)
)</f>
        <v>283.74</v>
      </c>
      <c r="L512" s="4">
        <f>_xlfn.LET(
_xlpm.p,RawData!L512,
_xlpm.r,RawData!J512,
_xlpm.c,RawData!K512,
IF(ISNUMBER(_xlpm.p),_xlpm.p,
IF(AND(ISNUMBER(_xlpm.r),ISNUMBER(_xlpm.c)),
_xlpm.r-_xlpm.c,
""
)
))</f>
        <v>166.44</v>
      </c>
    </row>
    <row r="513" spans="1:12" x14ac:dyDescent="0.35">
      <c r="A513" t="s">
        <v>554</v>
      </c>
      <c r="B513" s="7">
        <v>45961</v>
      </c>
      <c r="C513" t="str">
        <f>IF(RawData!C513="","Unknown",PROPER(TRIM(CLEAN(SUBSTITUTE(RawData!C513,CHAR(160)," ")))))</f>
        <v>South</v>
      </c>
      <c r="D513" t="str">
        <f>IF(RawData!D513="","Unknown",PROPER(TRIM(CLEAN(SUBSTITUTE(RawData!D513,CHAR(160)," ")))))</f>
        <v>Bengaluru</v>
      </c>
      <c r="E513" t="str">
        <f>IF(RawData!E513="","Unknown",PROPER(TRIM(CLEAN(SUBSTITUTE(RawData!E513,CHAR(160)," ")))))</f>
        <v>Backpack</v>
      </c>
      <c r="F513" t="str">
        <f>IF(RawData!F513="","Unknown",PROPER(TRIM(CLEAN(SUBSTITUTE(RawData!F513,CHAR(160)," ")))))</f>
        <v>Accessories</v>
      </c>
      <c r="G513">
        <f>_xlfn.LET(
_xlpm.q,RawData!G513,
_xlpm.u,RawData!H513,
_xlpm.d,RawData!I513,
_xlpm.r,RawData!J513,
IF(AND(ISNUMBER(_xlpm.q),_xlpm.q&gt;0),_xlpm.q,
   IF(AND(ISNUMBER(_xlpm.r),ISNUMBER(_xlpm.u),_xlpm.u&gt;0,ISNUMBER(_xlpm.d),_xlpm.d&gt;=0,_xlpm.d&lt;1),
      ROUND(_xlpm.r/(_xlpm.u*(1-_xlpm.d)),0),
      ""
   )
)
)</f>
        <v>9</v>
      </c>
      <c r="H513" s="4">
        <f>_xlfn.LET(
_xlpm.q,RawData!G513,
_xlpm.u,RawData!H513,
_xlpm.d,RawData!I513,
_xlpm.r,RawData!J513,
IF(AND(ISNUMBER(_xlpm.u),_xlpm.u&gt;0),_xlpm.u,
   IF(AND(ISNUMBER(_xlpm.q),_xlpm.q&gt;0,ISNUMBER(_xlpm.r),ISNUMBER(_xlpm.d),_xlpm.d&gt;=0,_xlpm.d&lt;1),
      _xlpm.r/(_xlpm.q*(1-_xlpm.d)),
      ""
   )
)
)</f>
        <v>50.73</v>
      </c>
      <c r="I513" s="5">
        <f>_xlfn.LET(
_xlpm.q,RawData!G513,
_xlpm.u,RawData!H513,
_xlpm.d,RawData!I513,
_xlpm.r,RawData!J513,
IF(AND(ISNUMBER(_xlpm.d),_xlpm.d&gt;=0,_xlpm.d&lt;1),_xlpm.d,
   IF(AND(ISNUMBER(_xlpm.q),_xlpm.q&gt;0,ISNUMBER(_xlpm.u),_xlpm.u&gt;0,ISNUMBER(_xlpm.r),_xlpm.r&gt;=0),
      1-(_xlpm.r/(_xlpm.q*_xlpm.u)),
      ""
   )
)
)</f>
        <v>0</v>
      </c>
      <c r="J513" s="4">
        <f>_xlfn.LET(
_xlpm.q,RawData!G513,
_xlpm.u,RawData!H513,
_xlpm.d,RawData!I513,
_xlpm.r,RawData!J513,
IF(AND(ISNUMBER(_xlpm.r),_xlpm.r&gt;=0),_xlpm.r,
   IF(AND(ISNUMBER(_xlpm.q),_xlpm.q&gt;0,ISNUMBER(_xlpm.u),_xlpm.u&gt;0,ISNUMBER(_xlpm.d),_xlpm.d&gt;=0,_xlpm.d&lt;1),
      _xlpm.q*_xlpm.u*(1-_xlpm.d),
      ""
   )
)
)</f>
        <v>456.57</v>
      </c>
      <c r="K513" s="4">
        <f>_xlfn.LET(
_xlpm.c,RawData!K513,
_xlpm.r,RawData!J513,
_xlpm.p,RawData!L513,
IF(AND(ISNUMBER(_xlpm.c),_xlpm.c&gt;=0),_xlpm.c,
   IF(AND(ISNUMBER(_xlpm.r),ISNUMBER(_xlpm.p)),
      _xlpm.r-_xlpm.p,
      ""
   )
)
)</f>
        <v>370.82</v>
      </c>
      <c r="L513" s="4">
        <f>_xlfn.LET(
_xlpm.p,RawData!L513,
_xlpm.r,RawData!J513,
_xlpm.c,RawData!K513,
IF(ISNUMBER(_xlpm.p),_xlpm.p,
IF(AND(ISNUMBER(_xlpm.r),ISNUMBER(_xlpm.c)),
_xlpm.r-_xlpm.c,
""
)
))</f>
        <v>85.75</v>
      </c>
    </row>
    <row r="514" spans="1:12" x14ac:dyDescent="0.35">
      <c r="A514" t="s">
        <v>555</v>
      </c>
      <c r="B514" s="7">
        <v>45894</v>
      </c>
      <c r="C514" t="str">
        <f>IF(RawData!C514="","Unknown",PROPER(TRIM(CLEAN(SUBSTITUTE(RawData!C514,CHAR(160)," ")))))</f>
        <v>South</v>
      </c>
      <c r="D514" t="str">
        <f>IF(RawData!D514="","Unknown",PROPER(TRIM(CLEAN(SUBSTITUTE(RawData!D514,CHAR(160)," ")))))</f>
        <v>Hyderabad</v>
      </c>
      <c r="E514" t="str">
        <f>IF(RawData!E514="","Unknown",PROPER(TRIM(CLEAN(SUBSTITUTE(RawData!E514,CHAR(160)," ")))))</f>
        <v>Printer</v>
      </c>
      <c r="F514" t="str">
        <f>IF(RawData!F514="","Unknown",PROPER(TRIM(CLEAN(SUBSTITUTE(RawData!F514,CHAR(160)," ")))))</f>
        <v>Office Supplies</v>
      </c>
      <c r="G514">
        <f>_xlfn.LET(
_xlpm.q,RawData!G514,
_xlpm.u,RawData!H514,
_xlpm.d,RawData!I514,
_xlpm.r,RawData!J514,
IF(AND(ISNUMBER(_xlpm.q),_xlpm.q&gt;0),_xlpm.q,
   IF(AND(ISNUMBER(_xlpm.r),ISNUMBER(_xlpm.u),_xlpm.u&gt;0,ISNUMBER(_xlpm.d),_xlpm.d&gt;=0,_xlpm.d&lt;1),
      ROUND(_xlpm.r/(_xlpm.u*(1-_xlpm.d)),0),
      ""
   )
)
)</f>
        <v>5</v>
      </c>
      <c r="H514" s="4">
        <f>_xlfn.LET(
_xlpm.q,RawData!G514,
_xlpm.u,RawData!H514,
_xlpm.d,RawData!I514,
_xlpm.r,RawData!J514,
IF(AND(ISNUMBER(_xlpm.u),_xlpm.u&gt;0),_xlpm.u,
   IF(AND(ISNUMBER(_xlpm.q),_xlpm.q&gt;0,ISNUMBER(_xlpm.r),ISNUMBER(_xlpm.d),_xlpm.d&gt;=0,_xlpm.d&lt;1),
      _xlpm.r/(_xlpm.q*(1-_xlpm.d)),
      ""
   )
)
)</f>
        <v>181.32</v>
      </c>
      <c r="I514" s="5">
        <f>_xlfn.LET(
_xlpm.q,RawData!G514,
_xlpm.u,RawData!H514,
_xlpm.d,RawData!I514,
_xlpm.r,RawData!J514,
IF(AND(ISNUMBER(_xlpm.d),_xlpm.d&gt;=0,_xlpm.d&lt;1),_xlpm.d,
   IF(AND(ISNUMBER(_xlpm.q),_xlpm.q&gt;0,ISNUMBER(_xlpm.u),_xlpm.u&gt;0,ISNUMBER(_xlpm.r),_xlpm.r&gt;=0),
      1-(_xlpm.r/(_xlpm.q*_xlpm.u)),
      ""
   )
)
)</f>
        <v>0.2</v>
      </c>
      <c r="J514" s="4">
        <f>_xlfn.LET(
_xlpm.q,RawData!G514,
_xlpm.u,RawData!H514,
_xlpm.d,RawData!I514,
_xlpm.r,RawData!J514,
IF(AND(ISNUMBER(_xlpm.r),_xlpm.r&gt;=0),_xlpm.r,
   IF(AND(ISNUMBER(_xlpm.q),_xlpm.q&gt;0,ISNUMBER(_xlpm.u),_xlpm.u&gt;0,ISNUMBER(_xlpm.d),_xlpm.d&gt;=0,_xlpm.d&lt;1),
      _xlpm.q*_xlpm.u*(1-_xlpm.d),
      ""
   )
)
)</f>
        <v>725.28</v>
      </c>
      <c r="K514" s="4">
        <f>_xlfn.LET(
_xlpm.c,RawData!K514,
_xlpm.r,RawData!J514,
_xlpm.p,RawData!L514,
IF(AND(ISNUMBER(_xlpm.c),_xlpm.c&gt;=0),_xlpm.c,
   IF(AND(ISNUMBER(_xlpm.r),ISNUMBER(_xlpm.p)),
      _xlpm.r-_xlpm.p,
      ""
   )
)
)</f>
        <v>491.77</v>
      </c>
      <c r="L514" s="4">
        <f>_xlfn.LET(
_xlpm.p,RawData!L514,
_xlpm.r,RawData!J514,
_xlpm.c,RawData!K514,
IF(ISNUMBER(_xlpm.p),_xlpm.p,
IF(AND(ISNUMBER(_xlpm.r),ISNUMBER(_xlpm.c)),
_xlpm.r-_xlpm.c,
""
)
))</f>
        <v>233.51</v>
      </c>
    </row>
    <row r="515" spans="1:12" x14ac:dyDescent="0.35">
      <c r="A515" t="s">
        <v>556</v>
      </c>
      <c r="B515" s="7">
        <v>45867</v>
      </c>
      <c r="C515" t="str">
        <f>IF(RawData!C515="","Unknown",PROPER(TRIM(CLEAN(SUBSTITUTE(RawData!C515,CHAR(160)," ")))))</f>
        <v>West</v>
      </c>
      <c r="D515" t="str">
        <f>IF(RawData!D515="","Unknown",PROPER(TRIM(CLEAN(SUBSTITUTE(RawData!D515,CHAR(160)," ")))))</f>
        <v>Pune</v>
      </c>
      <c r="E515" t="str">
        <f>IF(RawData!E515="","Unknown",PROPER(TRIM(CLEAN(SUBSTITUTE(RawData!E515,CHAR(160)," ")))))</f>
        <v>Headphones</v>
      </c>
      <c r="F515" t="str">
        <f>IF(RawData!F515="","Unknown",PROPER(TRIM(CLEAN(SUBSTITUTE(RawData!F515,CHAR(160)," ")))))</f>
        <v>Electronics</v>
      </c>
      <c r="G515">
        <f>_xlfn.LET(
_xlpm.q,RawData!G515,
_xlpm.u,RawData!H515,
_xlpm.d,RawData!I515,
_xlpm.r,RawData!J515,
IF(AND(ISNUMBER(_xlpm.q),_xlpm.q&gt;0),_xlpm.q,
   IF(AND(ISNUMBER(_xlpm.r),ISNUMBER(_xlpm.u),_xlpm.u&gt;0,ISNUMBER(_xlpm.d),_xlpm.d&gt;=0,_xlpm.d&lt;1),
      ROUND(_xlpm.r/(_xlpm.u*(1-_xlpm.d)),0),
      ""
   )
)
)</f>
        <v>5</v>
      </c>
      <c r="H515" s="4">
        <f>_xlfn.LET(
_xlpm.q,RawData!G515,
_xlpm.u,RawData!H515,
_xlpm.d,RawData!I515,
_xlpm.r,RawData!J515,
IF(AND(ISNUMBER(_xlpm.u),_xlpm.u&gt;0),_xlpm.u,
   IF(AND(ISNUMBER(_xlpm.q),_xlpm.q&gt;0,ISNUMBER(_xlpm.r),ISNUMBER(_xlpm.d),_xlpm.d&gt;=0,_xlpm.d&lt;1),
      _xlpm.r/(_xlpm.q*(1-_xlpm.d)),
      ""
   )
)
)</f>
        <v>88.69</v>
      </c>
      <c r="I515" s="5">
        <f>_xlfn.LET(
_xlpm.q,RawData!G515,
_xlpm.u,RawData!H515,
_xlpm.d,RawData!I515,
_xlpm.r,RawData!J515,
IF(AND(ISNUMBER(_xlpm.d),_xlpm.d&gt;=0,_xlpm.d&lt;1),_xlpm.d,
   IF(AND(ISNUMBER(_xlpm.q),_xlpm.q&gt;0,ISNUMBER(_xlpm.u),_xlpm.u&gt;0,ISNUMBER(_xlpm.r),_xlpm.r&gt;=0),
      1-(_xlpm.r/(_xlpm.q*_xlpm.u)),
      ""
   )
)
)</f>
        <v>0.02</v>
      </c>
      <c r="J515" s="4">
        <f>_xlfn.LET(
_xlpm.q,RawData!G515,
_xlpm.u,RawData!H515,
_xlpm.d,RawData!I515,
_xlpm.r,RawData!J515,
IF(AND(ISNUMBER(_xlpm.r),_xlpm.r&gt;=0),_xlpm.r,
   IF(AND(ISNUMBER(_xlpm.q),_xlpm.q&gt;0,ISNUMBER(_xlpm.u),_xlpm.u&gt;0,ISNUMBER(_xlpm.d),_xlpm.d&gt;=0,_xlpm.d&lt;1),
      _xlpm.q*_xlpm.u*(1-_xlpm.d),
      ""
   )
)
)</f>
        <v>434.58</v>
      </c>
      <c r="K515" s="4">
        <f>_xlfn.LET(
_xlpm.c,RawData!K515,
_xlpm.r,RawData!J515,
_xlpm.p,RawData!L515,
IF(AND(ISNUMBER(_xlpm.c),_xlpm.c&gt;=0),_xlpm.c,
   IF(AND(ISNUMBER(_xlpm.r),ISNUMBER(_xlpm.p)),
      _xlpm.r-_xlpm.p,
      ""
   )
)
)</f>
        <v>338.12</v>
      </c>
      <c r="L515" s="4">
        <f>_xlfn.LET(
_xlpm.p,RawData!L515,
_xlpm.r,RawData!J515,
_xlpm.c,RawData!K515,
IF(ISNUMBER(_xlpm.p),_xlpm.p,
IF(AND(ISNUMBER(_xlpm.r),ISNUMBER(_xlpm.c)),
_xlpm.r-_xlpm.c,
""
)
))</f>
        <v>96.46</v>
      </c>
    </row>
    <row r="516" spans="1:12" x14ac:dyDescent="0.35">
      <c r="A516" t="s">
        <v>557</v>
      </c>
      <c r="B516" s="7">
        <v>45995</v>
      </c>
      <c r="C516" t="str">
        <f>IF(RawData!C516="","Unknown",PROPER(TRIM(CLEAN(SUBSTITUTE(RawData!C516,CHAR(160)," ")))))</f>
        <v>South</v>
      </c>
      <c r="D516" t="str">
        <f>IF(RawData!D516="","Unknown",PROPER(TRIM(CLEAN(SUBSTITUTE(RawData!D516,CHAR(160)," ")))))</f>
        <v>Hyderabad</v>
      </c>
      <c r="E516" t="str">
        <f>IF(RawData!E516="","Unknown",PROPER(TRIM(CLEAN(SUBSTITUTE(RawData!E516,CHAR(160)," ")))))</f>
        <v>Keyboard</v>
      </c>
      <c r="F516" t="str">
        <f>IF(RawData!F516="","Unknown",PROPER(TRIM(CLEAN(SUBSTITUTE(RawData!F516,CHAR(160)," ")))))</f>
        <v>Accessories</v>
      </c>
      <c r="G516">
        <f>_xlfn.LET(
_xlpm.q,RawData!G516,
_xlpm.u,RawData!H516,
_xlpm.d,RawData!I516,
_xlpm.r,RawData!J516,
IF(AND(ISNUMBER(_xlpm.q),_xlpm.q&gt;0),_xlpm.q,
   IF(AND(ISNUMBER(_xlpm.r),ISNUMBER(_xlpm.u),_xlpm.u&gt;0,ISNUMBER(_xlpm.d),_xlpm.d&gt;=0,_xlpm.d&lt;1),
      ROUND(_xlpm.r/(_xlpm.u*(1-_xlpm.d)),0),
      ""
   )
)
)</f>
        <v>7</v>
      </c>
      <c r="H516" s="4">
        <f>_xlfn.LET(
_xlpm.q,RawData!G516,
_xlpm.u,RawData!H516,
_xlpm.d,RawData!I516,
_xlpm.r,RawData!J516,
IF(AND(ISNUMBER(_xlpm.u),_xlpm.u&gt;0),_xlpm.u,
   IF(AND(ISNUMBER(_xlpm.q),_xlpm.q&gt;0,ISNUMBER(_xlpm.r),ISNUMBER(_xlpm.d),_xlpm.d&gt;=0,_xlpm.d&lt;1),
      _xlpm.r/(_xlpm.q*(1-_xlpm.d)),
      ""
   )
)
)</f>
        <v>33.1</v>
      </c>
      <c r="I516" s="5">
        <f>_xlfn.LET(
_xlpm.q,RawData!G516,
_xlpm.u,RawData!H516,
_xlpm.d,RawData!I516,
_xlpm.r,RawData!J516,
IF(AND(ISNUMBER(_xlpm.d),_xlpm.d&gt;=0,_xlpm.d&lt;1),_xlpm.d,
   IF(AND(ISNUMBER(_xlpm.q),_xlpm.q&gt;0,ISNUMBER(_xlpm.u),_xlpm.u&gt;0,ISNUMBER(_xlpm.r),_xlpm.r&gt;=0),
      1-(_xlpm.r/(_xlpm.q*_xlpm.u)),
      ""
   )
)
)</f>
        <v>0.1</v>
      </c>
      <c r="J516" s="4">
        <f>_xlfn.LET(
_xlpm.q,RawData!G516,
_xlpm.u,RawData!H516,
_xlpm.d,RawData!I516,
_xlpm.r,RawData!J516,
IF(AND(ISNUMBER(_xlpm.r),_xlpm.r&gt;=0),_xlpm.r,
   IF(AND(ISNUMBER(_xlpm.q),_xlpm.q&gt;0,ISNUMBER(_xlpm.u),_xlpm.u&gt;0,ISNUMBER(_xlpm.d),_xlpm.d&gt;=0,_xlpm.d&lt;1),
      _xlpm.q*_xlpm.u*(1-_xlpm.d),
      ""
   )
)
)</f>
        <v>208.53</v>
      </c>
      <c r="K516" s="4">
        <f>_xlfn.LET(
_xlpm.c,RawData!K516,
_xlpm.r,RawData!J516,
_xlpm.p,RawData!L516,
IF(AND(ISNUMBER(_xlpm.c),_xlpm.c&gt;=0),_xlpm.c,
   IF(AND(ISNUMBER(_xlpm.r),ISNUMBER(_xlpm.p)),
      _xlpm.r-_xlpm.p,
      ""
   )
)
)</f>
        <v>161.36000000000001</v>
      </c>
      <c r="L516" s="4">
        <f>_xlfn.LET(
_xlpm.p,RawData!L516,
_xlpm.r,RawData!J516,
_xlpm.c,RawData!K516,
IF(ISNUMBER(_xlpm.p),_xlpm.p,
IF(AND(ISNUMBER(_xlpm.r),ISNUMBER(_xlpm.c)),
_xlpm.r-_xlpm.c,
""
)
))</f>
        <v>47.17</v>
      </c>
    </row>
    <row r="517" spans="1:12" x14ac:dyDescent="0.35">
      <c r="A517" t="s">
        <v>558</v>
      </c>
      <c r="B517" s="7">
        <v>45887</v>
      </c>
      <c r="C517" t="str">
        <f>IF(RawData!C517="","Unknown",PROPER(TRIM(CLEAN(SUBSTITUTE(RawData!C517,CHAR(160)," ")))))</f>
        <v>West</v>
      </c>
      <c r="D517" t="str">
        <f>IF(RawData!D517="","Unknown",PROPER(TRIM(CLEAN(SUBSTITUTE(RawData!D517,CHAR(160)," ")))))</f>
        <v>Ahmedabad</v>
      </c>
      <c r="E517" t="str">
        <f>IF(RawData!E517="","Unknown",PROPER(TRIM(CLEAN(SUBSTITUTE(RawData!E517,CHAR(160)," ")))))</f>
        <v>Pen Set</v>
      </c>
      <c r="F517" t="str">
        <f>IF(RawData!F517="","Unknown",PROPER(TRIM(CLEAN(SUBSTITUTE(RawData!F517,CHAR(160)," ")))))</f>
        <v>Office Supplies</v>
      </c>
      <c r="G517">
        <f>_xlfn.LET(
_xlpm.q,RawData!G517,
_xlpm.u,RawData!H517,
_xlpm.d,RawData!I517,
_xlpm.r,RawData!J517,
IF(AND(ISNUMBER(_xlpm.q),_xlpm.q&gt;0),_xlpm.q,
   IF(AND(ISNUMBER(_xlpm.r),ISNUMBER(_xlpm.u),_xlpm.u&gt;0,ISNUMBER(_xlpm.d),_xlpm.d&gt;=0,_xlpm.d&lt;1),
      ROUND(_xlpm.r/(_xlpm.u*(1-_xlpm.d)),0),
      ""
   )
)
)</f>
        <v>7</v>
      </c>
      <c r="H517" s="4">
        <f>_xlfn.LET(
_xlpm.q,RawData!G517,
_xlpm.u,RawData!H517,
_xlpm.d,RawData!I517,
_xlpm.r,RawData!J517,
IF(AND(ISNUMBER(_xlpm.u),_xlpm.u&gt;0),_xlpm.u,
   IF(AND(ISNUMBER(_xlpm.q),_xlpm.q&gt;0,ISNUMBER(_xlpm.r),ISNUMBER(_xlpm.d),_xlpm.d&gt;=0,_xlpm.d&lt;1),
      _xlpm.r/(_xlpm.q*(1-_xlpm.d)),
      ""
   )
)
)</f>
        <v>10.33</v>
      </c>
      <c r="I517" s="5">
        <f>_xlfn.LET(
_xlpm.q,RawData!G517,
_xlpm.u,RawData!H517,
_xlpm.d,RawData!I517,
_xlpm.r,RawData!J517,
IF(AND(ISNUMBER(_xlpm.d),_xlpm.d&gt;=0,_xlpm.d&lt;1),_xlpm.d,
   IF(AND(ISNUMBER(_xlpm.q),_xlpm.q&gt;0,ISNUMBER(_xlpm.u),_xlpm.u&gt;0,ISNUMBER(_xlpm.r),_xlpm.r&gt;=0),
      1-(_xlpm.r/(_xlpm.q*_xlpm.u)),
      ""
   )
)
)</f>
        <v>0.15</v>
      </c>
      <c r="J517" s="4">
        <f>_xlfn.LET(
_xlpm.q,RawData!G517,
_xlpm.u,RawData!H517,
_xlpm.d,RawData!I517,
_xlpm.r,RawData!J517,
IF(AND(ISNUMBER(_xlpm.r),_xlpm.r&gt;=0),_xlpm.r,
   IF(AND(ISNUMBER(_xlpm.q),_xlpm.q&gt;0,ISNUMBER(_xlpm.u),_xlpm.u&gt;0,ISNUMBER(_xlpm.d),_xlpm.d&gt;=0,_xlpm.d&lt;1),
      _xlpm.q*_xlpm.u*(1-_xlpm.d),
      ""
   )
)
)</f>
        <v>61.46</v>
      </c>
      <c r="K517" s="4">
        <f>_xlfn.LET(
_xlpm.c,RawData!K517,
_xlpm.r,RawData!J517,
_xlpm.p,RawData!L517,
IF(AND(ISNUMBER(_xlpm.c),_xlpm.c&gt;=0),_xlpm.c,
   IF(AND(ISNUMBER(_xlpm.r),ISNUMBER(_xlpm.p)),
      _xlpm.r-_xlpm.p,
      ""
   )
)
)</f>
        <v>43.7</v>
      </c>
      <c r="L517" s="4">
        <f>_xlfn.LET(
_xlpm.p,RawData!L517,
_xlpm.r,RawData!J517,
_xlpm.c,RawData!K517,
IF(ISNUMBER(_xlpm.p),_xlpm.p,
IF(AND(ISNUMBER(_xlpm.r),ISNUMBER(_xlpm.c)),
_xlpm.r-_xlpm.c,
""
)
))</f>
        <v>17.760000000000002</v>
      </c>
    </row>
    <row r="518" spans="1:12" x14ac:dyDescent="0.35">
      <c r="A518" t="s">
        <v>559</v>
      </c>
      <c r="B518" s="7">
        <v>46012</v>
      </c>
      <c r="C518" t="str">
        <f>IF(RawData!C518="","Unknown",PROPER(TRIM(CLEAN(SUBSTITUTE(RawData!C518,CHAR(160)," ")))))</f>
        <v>West</v>
      </c>
      <c r="D518" t="str">
        <f>IF(RawData!D518="","Unknown",PROPER(TRIM(CLEAN(SUBSTITUTE(RawData!D518,CHAR(160)," ")))))</f>
        <v>Ahmedabad</v>
      </c>
      <c r="E518" t="str">
        <f>IF(RawData!E518="","Unknown",PROPER(TRIM(CLEAN(SUBSTITUTE(RawData!E518,CHAR(160)," ")))))</f>
        <v>Notebook</v>
      </c>
      <c r="F518" t="str">
        <f>IF(RawData!F518="","Unknown",PROPER(TRIM(CLEAN(SUBSTITUTE(RawData!F518,CHAR(160)," ")))))</f>
        <v>Office Supplies</v>
      </c>
      <c r="G518">
        <f>_xlfn.LET(
_xlpm.q,RawData!G518,
_xlpm.u,RawData!H518,
_xlpm.d,RawData!I518,
_xlpm.r,RawData!J518,
IF(AND(ISNUMBER(_xlpm.q),_xlpm.q&gt;0),_xlpm.q,
   IF(AND(ISNUMBER(_xlpm.r),ISNUMBER(_xlpm.u),_xlpm.u&gt;0,ISNUMBER(_xlpm.d),_xlpm.d&gt;=0,_xlpm.d&lt;1),
      ROUND(_xlpm.r/(_xlpm.u*(1-_xlpm.d)),0),
      ""
   )
)
)</f>
        <v>1</v>
      </c>
      <c r="H518" s="4">
        <f>_xlfn.LET(
_xlpm.q,RawData!G518,
_xlpm.u,RawData!H518,
_xlpm.d,RawData!I518,
_xlpm.r,RawData!J518,
IF(AND(ISNUMBER(_xlpm.u),_xlpm.u&gt;0),_xlpm.u,
   IF(AND(ISNUMBER(_xlpm.q),_xlpm.q&gt;0,ISNUMBER(_xlpm.r),ISNUMBER(_xlpm.d),_xlpm.d&gt;=0,_xlpm.d&lt;1),
      _xlpm.r/(_xlpm.q*(1-_xlpm.d)),
      ""
   )
)
)</f>
        <v>7.35</v>
      </c>
      <c r="I518" s="5">
        <f>_xlfn.LET(
_xlpm.q,RawData!G518,
_xlpm.u,RawData!H518,
_xlpm.d,RawData!I518,
_xlpm.r,RawData!J518,
IF(AND(ISNUMBER(_xlpm.d),_xlpm.d&gt;=0,_xlpm.d&lt;1),_xlpm.d,
   IF(AND(ISNUMBER(_xlpm.q),_xlpm.q&gt;0,ISNUMBER(_xlpm.u),_xlpm.u&gt;0,ISNUMBER(_xlpm.r),_xlpm.r&gt;=0),
      1-(_xlpm.r/(_xlpm.q*_xlpm.u)),
      ""
   )
)
)</f>
        <v>0.05</v>
      </c>
      <c r="J518" s="4">
        <f>_xlfn.LET(
_xlpm.q,RawData!G518,
_xlpm.u,RawData!H518,
_xlpm.d,RawData!I518,
_xlpm.r,RawData!J518,
IF(AND(ISNUMBER(_xlpm.r),_xlpm.r&gt;=0),_xlpm.r,
   IF(AND(ISNUMBER(_xlpm.q),_xlpm.q&gt;0,ISNUMBER(_xlpm.u),_xlpm.u&gt;0,ISNUMBER(_xlpm.d),_xlpm.d&gt;=0,_xlpm.d&lt;1),
      _xlpm.q*_xlpm.u*(1-_xlpm.d),
      ""
   )
)
)</f>
        <v>6.98</v>
      </c>
      <c r="K518" s="4">
        <f>_xlfn.LET(
_xlpm.c,RawData!K518,
_xlpm.r,RawData!J518,
_xlpm.p,RawData!L518,
IF(AND(ISNUMBER(_xlpm.c),_xlpm.c&gt;=0),_xlpm.c,
   IF(AND(ISNUMBER(_xlpm.r),ISNUMBER(_xlpm.p)),
      _xlpm.r-_xlpm.p,
      ""
   )
)
)</f>
        <v>4.07</v>
      </c>
      <c r="L518" s="4">
        <f>_xlfn.LET(
_xlpm.p,RawData!L518,
_xlpm.r,RawData!J518,
_xlpm.c,RawData!K518,
IF(ISNUMBER(_xlpm.p),_xlpm.p,
IF(AND(ISNUMBER(_xlpm.r),ISNUMBER(_xlpm.c)),
_xlpm.r-_xlpm.c,
""
)
))</f>
        <v>2.91</v>
      </c>
    </row>
    <row r="519" spans="1:12" x14ac:dyDescent="0.35">
      <c r="A519" t="s">
        <v>560</v>
      </c>
      <c r="B519" s="7">
        <v>45932</v>
      </c>
      <c r="C519" t="str">
        <f>IF(RawData!C519="","Unknown",PROPER(TRIM(CLEAN(SUBSTITUTE(RawData!C519,CHAR(160)," ")))))</f>
        <v>North</v>
      </c>
      <c r="D519" t="str">
        <f>IF(RawData!D519="","Unknown",PROPER(TRIM(CLEAN(SUBSTITUTE(RawData!D519,CHAR(160)," ")))))</f>
        <v>Lucknow</v>
      </c>
      <c r="E519" t="str">
        <f>IF(RawData!E519="","Unknown",PROPER(TRIM(CLEAN(SUBSTITUTE(RawData!E519,CHAR(160)," ")))))</f>
        <v>Smartphone</v>
      </c>
      <c r="F519" t="str">
        <f>IF(RawData!F519="","Unknown",PROPER(TRIM(CLEAN(SUBSTITUTE(RawData!F519,CHAR(160)," ")))))</f>
        <v>Electronics</v>
      </c>
      <c r="G519">
        <f>_xlfn.LET(
_xlpm.q,RawData!G519,
_xlpm.u,RawData!H519,
_xlpm.d,RawData!I519,
_xlpm.r,RawData!J519,
IF(AND(ISNUMBER(_xlpm.q),_xlpm.q&gt;0),_xlpm.q,
   IF(AND(ISNUMBER(_xlpm.r),ISNUMBER(_xlpm.u),_xlpm.u&gt;0,ISNUMBER(_xlpm.d),_xlpm.d&gt;=0,_xlpm.d&lt;1),
      ROUND(_xlpm.r/(_xlpm.u*(1-_xlpm.d)),0),
      ""
   )
)
)</f>
        <v>4</v>
      </c>
      <c r="H519" s="4">
        <f>_xlfn.LET(
_xlpm.q,RawData!G519,
_xlpm.u,RawData!H519,
_xlpm.d,RawData!I519,
_xlpm.r,RawData!J519,
IF(AND(ISNUMBER(_xlpm.u),_xlpm.u&gt;0),_xlpm.u,
   IF(AND(ISNUMBER(_xlpm.q),_xlpm.q&gt;0,ISNUMBER(_xlpm.r),ISNUMBER(_xlpm.d),_xlpm.d&gt;=0,_xlpm.d&lt;1),
      _xlpm.r/(_xlpm.q*(1-_xlpm.d)),
      ""
   )
)
)</f>
        <v>480.2</v>
      </c>
      <c r="I519" s="5">
        <f>_xlfn.LET(
_xlpm.q,RawData!G519,
_xlpm.u,RawData!H519,
_xlpm.d,RawData!I519,
_xlpm.r,RawData!J519,
IF(AND(ISNUMBER(_xlpm.d),_xlpm.d&gt;=0,_xlpm.d&lt;1),_xlpm.d,
   IF(AND(ISNUMBER(_xlpm.q),_xlpm.q&gt;0,ISNUMBER(_xlpm.u),_xlpm.u&gt;0,ISNUMBER(_xlpm.r),_xlpm.r&gt;=0),
      1-(_xlpm.r/(_xlpm.q*_xlpm.u)),
      ""
   )
)
)</f>
        <v>0.2</v>
      </c>
      <c r="J519" s="4">
        <f>_xlfn.LET(
_xlpm.q,RawData!G519,
_xlpm.u,RawData!H519,
_xlpm.d,RawData!I519,
_xlpm.r,RawData!J519,
IF(AND(ISNUMBER(_xlpm.r),_xlpm.r&gt;=0),_xlpm.r,
   IF(AND(ISNUMBER(_xlpm.q),_xlpm.q&gt;0,ISNUMBER(_xlpm.u),_xlpm.u&gt;0,ISNUMBER(_xlpm.d),_xlpm.d&gt;=0,_xlpm.d&lt;1),
      _xlpm.q*_xlpm.u*(1-_xlpm.d),
      ""
   )
)
)</f>
        <v>1536.64</v>
      </c>
      <c r="K519" s="4">
        <f>_xlfn.LET(
_xlpm.c,RawData!K519,
_xlpm.r,RawData!J519,
_xlpm.p,RawData!L519,
IF(AND(ISNUMBER(_xlpm.c),_xlpm.c&gt;=0),_xlpm.c,
   IF(AND(ISNUMBER(_xlpm.r),ISNUMBER(_xlpm.p)),
      _xlpm.r-_xlpm.p,
      ""
   )
)
)</f>
        <v>1134.04</v>
      </c>
      <c r="L519" s="4">
        <f>_xlfn.LET(
_xlpm.p,RawData!L519,
_xlpm.r,RawData!J519,
_xlpm.c,RawData!K519,
IF(ISNUMBER(_xlpm.p),_xlpm.p,
IF(AND(ISNUMBER(_xlpm.r),ISNUMBER(_xlpm.c)),
_xlpm.r-_xlpm.c,
""
)
))</f>
        <v>402.6</v>
      </c>
    </row>
    <row r="520" spans="1:12" x14ac:dyDescent="0.35">
      <c r="A520" t="s">
        <v>561</v>
      </c>
      <c r="B520" s="7">
        <v>45839</v>
      </c>
      <c r="C520" t="str">
        <f>IF(RawData!C520="","Unknown",PROPER(TRIM(CLEAN(SUBSTITUTE(RawData!C520,CHAR(160)," ")))))</f>
        <v>South</v>
      </c>
      <c r="D520" t="str">
        <f>IF(RawData!D520="","Unknown",PROPER(TRIM(CLEAN(SUBSTITUTE(RawData!D520,CHAR(160)," ")))))</f>
        <v>Bengaluru</v>
      </c>
      <c r="E520" t="str">
        <f>IF(RawData!E520="","Unknown",PROPER(TRIM(CLEAN(SUBSTITUTE(RawData!E520,CHAR(160)," ")))))</f>
        <v>Backpack</v>
      </c>
      <c r="F520" t="str">
        <f>IF(RawData!F520="","Unknown",PROPER(TRIM(CLEAN(SUBSTITUTE(RawData!F520,CHAR(160)," ")))))</f>
        <v>Accessories</v>
      </c>
      <c r="G520">
        <f>_xlfn.LET(
_xlpm.q,RawData!G520,
_xlpm.u,RawData!H520,
_xlpm.d,RawData!I520,
_xlpm.r,RawData!J520,
IF(AND(ISNUMBER(_xlpm.q),_xlpm.q&gt;0),_xlpm.q,
   IF(AND(ISNUMBER(_xlpm.r),ISNUMBER(_xlpm.u),_xlpm.u&gt;0,ISNUMBER(_xlpm.d),_xlpm.d&gt;=0,_xlpm.d&lt;1),
      ROUND(_xlpm.r/(_xlpm.u*(1-_xlpm.d)),0),
      ""
   )
)
)</f>
        <v>10</v>
      </c>
      <c r="H520" s="4">
        <f>_xlfn.LET(
_xlpm.q,RawData!G520,
_xlpm.u,RawData!H520,
_xlpm.d,RawData!I520,
_xlpm.r,RawData!J520,
IF(AND(ISNUMBER(_xlpm.u),_xlpm.u&gt;0),_xlpm.u,
   IF(AND(ISNUMBER(_xlpm.q),_xlpm.q&gt;0,ISNUMBER(_xlpm.r),ISNUMBER(_xlpm.d),_xlpm.d&gt;=0,_xlpm.d&lt;1),
      _xlpm.r/(_xlpm.q*(1-_xlpm.d)),
      ""
   )
)
)</f>
        <v>42.84</v>
      </c>
      <c r="I520" s="5">
        <f>_xlfn.LET(
_xlpm.q,RawData!G520,
_xlpm.u,RawData!H520,
_xlpm.d,RawData!I520,
_xlpm.r,RawData!J520,
IF(AND(ISNUMBER(_xlpm.d),_xlpm.d&gt;=0,_xlpm.d&lt;1),_xlpm.d,
   IF(AND(ISNUMBER(_xlpm.q),_xlpm.q&gt;0,ISNUMBER(_xlpm.u),_xlpm.u&gt;0,ISNUMBER(_xlpm.r),_xlpm.r&gt;=0),
      1-(_xlpm.r/(_xlpm.q*_xlpm.u)),
      ""
   )
)
)</f>
        <v>0</v>
      </c>
      <c r="J520" s="4">
        <f>_xlfn.LET(
_xlpm.q,RawData!G520,
_xlpm.u,RawData!H520,
_xlpm.d,RawData!I520,
_xlpm.r,RawData!J520,
IF(AND(ISNUMBER(_xlpm.r),_xlpm.r&gt;=0),_xlpm.r,
   IF(AND(ISNUMBER(_xlpm.q),_xlpm.q&gt;0,ISNUMBER(_xlpm.u),_xlpm.u&gt;0,ISNUMBER(_xlpm.d),_xlpm.d&gt;=0,_xlpm.d&lt;1),
      _xlpm.q*_xlpm.u*(1-_xlpm.d),
      ""
   )
)
)</f>
        <v>428.4</v>
      </c>
      <c r="K520" s="4">
        <f>_xlfn.LET(
_xlpm.c,RawData!K520,
_xlpm.r,RawData!J520,
_xlpm.p,RawData!L520,
IF(AND(ISNUMBER(_xlpm.c),_xlpm.c&gt;=0),_xlpm.c,
   IF(AND(ISNUMBER(_xlpm.r),ISNUMBER(_xlpm.p)),
      _xlpm.r-_xlpm.p,
      ""
   )
)
)</f>
        <v>319.45</v>
      </c>
      <c r="L520" s="4">
        <f>_xlfn.LET(
_xlpm.p,RawData!L520,
_xlpm.r,RawData!J520,
_xlpm.c,RawData!K520,
IF(ISNUMBER(_xlpm.p),_xlpm.p,
IF(AND(ISNUMBER(_xlpm.r),ISNUMBER(_xlpm.c)),
_xlpm.r-_xlpm.c,
""
)
))</f>
        <v>108.95</v>
      </c>
    </row>
    <row r="521" spans="1:12" x14ac:dyDescent="0.35">
      <c r="A521" t="s">
        <v>562</v>
      </c>
      <c r="B521" s="7">
        <v>45988</v>
      </c>
      <c r="C521" t="str">
        <f>IF(RawData!C521="","Unknown",PROPER(TRIM(CLEAN(SUBSTITUTE(RawData!C521,CHAR(160)," ")))))</f>
        <v>West</v>
      </c>
      <c r="D521" t="str">
        <f>IF(RawData!D521="","Unknown",PROPER(TRIM(CLEAN(SUBSTITUTE(RawData!D521,CHAR(160)," ")))))</f>
        <v>Mumbai</v>
      </c>
      <c r="E521" t="str">
        <f>IF(RawData!E521="","Unknown",PROPER(TRIM(CLEAN(SUBSTITUTE(RawData!E521,CHAR(160)," ")))))</f>
        <v>Desk</v>
      </c>
      <c r="F521" t="str">
        <f>IF(RawData!F521="","Unknown",PROPER(TRIM(CLEAN(SUBSTITUTE(RawData!F521,CHAR(160)," ")))))</f>
        <v>Furniture</v>
      </c>
      <c r="G521">
        <f>_xlfn.LET(
_xlpm.q,RawData!G521,
_xlpm.u,RawData!H521,
_xlpm.d,RawData!I521,
_xlpm.r,RawData!J521,
IF(AND(ISNUMBER(_xlpm.q),_xlpm.q&gt;0),_xlpm.q,
   IF(AND(ISNUMBER(_xlpm.r),ISNUMBER(_xlpm.u),_xlpm.u&gt;0,ISNUMBER(_xlpm.d),_xlpm.d&gt;=0,_xlpm.d&lt;1),
      ROUND(_xlpm.r/(_xlpm.u*(1-_xlpm.d)),0),
      ""
   )
)
)</f>
        <v>7</v>
      </c>
      <c r="H521" s="4">
        <f>_xlfn.LET(
_xlpm.q,RawData!G521,
_xlpm.u,RawData!H521,
_xlpm.d,RawData!I521,
_xlpm.r,RawData!J521,
IF(AND(ISNUMBER(_xlpm.u),_xlpm.u&gt;0),_xlpm.u,
   IF(AND(ISNUMBER(_xlpm.q),_xlpm.q&gt;0,ISNUMBER(_xlpm.r),ISNUMBER(_xlpm.d),_xlpm.d&gt;=0,_xlpm.d&lt;1),
      _xlpm.r/(_xlpm.q*(1-_xlpm.d)),
      ""
   )
)
)</f>
        <v>217.4</v>
      </c>
      <c r="I521" s="5">
        <f>_xlfn.LET(
_xlpm.q,RawData!G521,
_xlpm.u,RawData!H521,
_xlpm.d,RawData!I521,
_xlpm.r,RawData!J521,
IF(AND(ISNUMBER(_xlpm.d),_xlpm.d&gt;=0,_xlpm.d&lt;1),_xlpm.d,
   IF(AND(ISNUMBER(_xlpm.q),_xlpm.q&gt;0,ISNUMBER(_xlpm.u),_xlpm.u&gt;0,ISNUMBER(_xlpm.r),_xlpm.r&gt;=0),
      1-(_xlpm.r/(_xlpm.q*_xlpm.u)),
      ""
   )
)
)</f>
        <v>0</v>
      </c>
      <c r="J521" s="4">
        <f>_xlfn.LET(
_xlpm.q,RawData!G521,
_xlpm.u,RawData!H521,
_xlpm.d,RawData!I521,
_xlpm.r,RawData!J521,
IF(AND(ISNUMBER(_xlpm.r),_xlpm.r&gt;=0),_xlpm.r,
   IF(AND(ISNUMBER(_xlpm.q),_xlpm.q&gt;0,ISNUMBER(_xlpm.u),_xlpm.u&gt;0,ISNUMBER(_xlpm.d),_xlpm.d&gt;=0,_xlpm.d&lt;1),
      _xlpm.q*_xlpm.u*(1-_xlpm.d),
      ""
   )
)
)</f>
        <v>1521.8</v>
      </c>
      <c r="K521" s="4">
        <f>_xlfn.LET(
_xlpm.c,RawData!K521,
_xlpm.r,RawData!J521,
_xlpm.p,RawData!L521,
IF(AND(ISNUMBER(_xlpm.c),_xlpm.c&gt;=0),_xlpm.c,
   IF(AND(ISNUMBER(_xlpm.r),ISNUMBER(_xlpm.p)),
      _xlpm.r-_xlpm.p,
      ""
   )
)
)</f>
        <v>966.54</v>
      </c>
      <c r="L521" s="4">
        <f>_xlfn.LET(
_xlpm.p,RawData!L521,
_xlpm.r,RawData!J521,
_xlpm.c,RawData!K521,
IF(ISNUMBER(_xlpm.p),_xlpm.p,
IF(AND(ISNUMBER(_xlpm.r),ISNUMBER(_xlpm.c)),
_xlpm.r-_xlpm.c,
""
)
))</f>
        <v>555.26</v>
      </c>
    </row>
    <row r="522" spans="1:12" x14ac:dyDescent="0.35">
      <c r="A522" t="s">
        <v>563</v>
      </c>
      <c r="B522" s="7">
        <v>45708</v>
      </c>
      <c r="C522" t="str">
        <f>IF(RawData!C522="","Unknown",PROPER(TRIM(CLEAN(SUBSTITUTE(RawData!C522,CHAR(160)," ")))))</f>
        <v>East</v>
      </c>
      <c r="D522" t="str">
        <f>IF(RawData!D522="","Unknown",PROPER(TRIM(CLEAN(SUBSTITUTE(RawData!D522,CHAR(160)," ")))))</f>
        <v>Patna</v>
      </c>
      <c r="E522" t="str">
        <f>IF(RawData!E522="","Unknown",PROPER(TRIM(CLEAN(SUBSTITUTE(RawData!E522,CHAR(160)," ")))))</f>
        <v>Monitor</v>
      </c>
      <c r="F522" t="str">
        <f>IF(RawData!F522="","Unknown",PROPER(TRIM(CLEAN(SUBSTITUTE(RawData!F522,CHAR(160)," ")))))</f>
        <v>Electronics</v>
      </c>
      <c r="G522">
        <f>_xlfn.LET(
_xlpm.q,RawData!G522,
_xlpm.u,RawData!H522,
_xlpm.d,RawData!I522,
_xlpm.r,RawData!J522,
IF(AND(ISNUMBER(_xlpm.q),_xlpm.q&gt;0),_xlpm.q,
   IF(AND(ISNUMBER(_xlpm.r),ISNUMBER(_xlpm.u),_xlpm.u&gt;0,ISNUMBER(_xlpm.d),_xlpm.d&gt;=0,_xlpm.d&lt;1),
      ROUND(_xlpm.r/(_xlpm.u*(1-_xlpm.d)),0),
      ""
   )
)
)</f>
        <v>9</v>
      </c>
      <c r="H522" s="4">
        <f>_xlfn.LET(
_xlpm.q,RawData!G522,
_xlpm.u,RawData!H522,
_xlpm.d,RawData!I522,
_xlpm.r,RawData!J522,
IF(AND(ISNUMBER(_xlpm.u),_xlpm.u&gt;0),_xlpm.u,
   IF(AND(ISNUMBER(_xlpm.q),_xlpm.q&gt;0,ISNUMBER(_xlpm.r),ISNUMBER(_xlpm.d),_xlpm.d&gt;=0,_xlpm.d&lt;1),
      _xlpm.r/(_xlpm.q*(1-_xlpm.d)),
      ""
   )
)
)</f>
        <v>222.61</v>
      </c>
      <c r="I522" s="5">
        <f>_xlfn.LET(
_xlpm.q,RawData!G522,
_xlpm.u,RawData!H522,
_xlpm.d,RawData!I522,
_xlpm.r,RawData!J522,
IF(AND(ISNUMBER(_xlpm.d),_xlpm.d&gt;=0,_xlpm.d&lt;1),_xlpm.d,
   IF(AND(ISNUMBER(_xlpm.q),_xlpm.q&gt;0,ISNUMBER(_xlpm.u),_xlpm.u&gt;0,ISNUMBER(_xlpm.r),_xlpm.r&gt;=0),
      1-(_xlpm.r/(_xlpm.q*_xlpm.u)),
      ""
   )
)
)</f>
        <v>0.2</v>
      </c>
      <c r="J522" s="4">
        <f>_xlfn.LET(
_xlpm.q,RawData!G522,
_xlpm.u,RawData!H522,
_xlpm.d,RawData!I522,
_xlpm.r,RawData!J522,
IF(AND(ISNUMBER(_xlpm.r),_xlpm.r&gt;=0),_xlpm.r,
   IF(AND(ISNUMBER(_xlpm.q),_xlpm.q&gt;0,ISNUMBER(_xlpm.u),_xlpm.u&gt;0,ISNUMBER(_xlpm.d),_xlpm.d&gt;=0,_xlpm.d&lt;1),
      _xlpm.q*_xlpm.u*(1-_xlpm.d),
      ""
   )
)
)</f>
        <v>1602.79</v>
      </c>
      <c r="K522" s="4">
        <f>_xlfn.LET(
_xlpm.c,RawData!K522,
_xlpm.r,RawData!J522,
_xlpm.p,RawData!L522,
IF(AND(ISNUMBER(_xlpm.c),_xlpm.c&gt;=0),_xlpm.c,
   IF(AND(ISNUMBER(_xlpm.r),ISNUMBER(_xlpm.p)),
      _xlpm.r-_xlpm.p,
      ""
   )
)
)</f>
        <v>1223.72</v>
      </c>
      <c r="L522" s="4">
        <f>_xlfn.LET(
_xlpm.p,RawData!L522,
_xlpm.r,RawData!J522,
_xlpm.c,RawData!K522,
IF(ISNUMBER(_xlpm.p),_xlpm.p,
IF(AND(ISNUMBER(_xlpm.r),ISNUMBER(_xlpm.c)),
_xlpm.r-_xlpm.c,
""
)
))</f>
        <v>379.07</v>
      </c>
    </row>
    <row r="523" spans="1:12" x14ac:dyDescent="0.35">
      <c r="A523" t="s">
        <v>564</v>
      </c>
      <c r="B523" s="7">
        <v>45943</v>
      </c>
      <c r="C523" t="str">
        <f>IF(RawData!C523="","Unknown",PROPER(TRIM(CLEAN(SUBSTITUTE(RawData!C523,CHAR(160)," ")))))</f>
        <v>South</v>
      </c>
      <c r="D523" t="str">
        <f>IF(RawData!D523="","Unknown",PROPER(TRIM(CLEAN(SUBSTITUTE(RawData!D523,CHAR(160)," ")))))</f>
        <v>Chennai</v>
      </c>
      <c r="E523" t="str">
        <f>IF(RawData!E523="","Unknown",PROPER(TRIM(CLEAN(SUBSTITUTE(RawData!E523,CHAR(160)," ")))))</f>
        <v>Printer</v>
      </c>
      <c r="F523" t="str">
        <f>IF(RawData!F523="","Unknown",PROPER(TRIM(CLEAN(SUBSTITUTE(RawData!F523,CHAR(160)," ")))))</f>
        <v>Office Supplies</v>
      </c>
      <c r="G523">
        <f>_xlfn.LET(
_xlpm.q,RawData!G523,
_xlpm.u,RawData!H523,
_xlpm.d,RawData!I523,
_xlpm.r,RawData!J523,
IF(AND(ISNUMBER(_xlpm.q),_xlpm.q&gt;0),_xlpm.q,
   IF(AND(ISNUMBER(_xlpm.r),ISNUMBER(_xlpm.u),_xlpm.u&gt;0,ISNUMBER(_xlpm.d),_xlpm.d&gt;=0,_xlpm.d&lt;1),
      ROUND(_xlpm.r/(_xlpm.u*(1-_xlpm.d)),0),
      ""
   )
)
)</f>
        <v>6</v>
      </c>
      <c r="H523" s="4">
        <f>_xlfn.LET(
_xlpm.q,RawData!G523,
_xlpm.u,RawData!H523,
_xlpm.d,RawData!I523,
_xlpm.r,RawData!J523,
IF(AND(ISNUMBER(_xlpm.u),_xlpm.u&gt;0),_xlpm.u,
   IF(AND(ISNUMBER(_xlpm.q),_xlpm.q&gt;0,ISNUMBER(_xlpm.r),ISNUMBER(_xlpm.d),_xlpm.d&gt;=0,_xlpm.d&lt;1),
      _xlpm.r/(_xlpm.q*(1-_xlpm.d)),
      ""
   )
)
)</f>
        <v>151.30000000000001</v>
      </c>
      <c r="I523" s="5">
        <f>_xlfn.LET(
_xlpm.q,RawData!G523,
_xlpm.u,RawData!H523,
_xlpm.d,RawData!I523,
_xlpm.r,RawData!J523,
IF(AND(ISNUMBER(_xlpm.d),_xlpm.d&gt;=0,_xlpm.d&lt;1),_xlpm.d,
   IF(AND(ISNUMBER(_xlpm.q),_xlpm.q&gt;0,ISNUMBER(_xlpm.u),_xlpm.u&gt;0,ISNUMBER(_xlpm.r),_xlpm.r&gt;=0),
      1-(_xlpm.r/(_xlpm.q*_xlpm.u)),
      ""
   )
)
)</f>
        <v>0.1</v>
      </c>
      <c r="J523" s="4">
        <f>_xlfn.LET(
_xlpm.q,RawData!G523,
_xlpm.u,RawData!H523,
_xlpm.d,RawData!I523,
_xlpm.r,RawData!J523,
IF(AND(ISNUMBER(_xlpm.r),_xlpm.r&gt;=0),_xlpm.r,
   IF(AND(ISNUMBER(_xlpm.q),_xlpm.q&gt;0,ISNUMBER(_xlpm.u),_xlpm.u&gt;0,ISNUMBER(_xlpm.d),_xlpm.d&gt;=0,_xlpm.d&lt;1),
      _xlpm.q*_xlpm.u*(1-_xlpm.d),
      ""
   )
)
)</f>
        <v>817.02</v>
      </c>
      <c r="K523" s="4">
        <f>_xlfn.LET(
_xlpm.c,RawData!K523,
_xlpm.r,RawData!J523,
_xlpm.p,RawData!L523,
IF(AND(ISNUMBER(_xlpm.c),_xlpm.c&gt;=0),_xlpm.c,
   IF(AND(ISNUMBER(_xlpm.r),ISNUMBER(_xlpm.p)),
      _xlpm.r-_xlpm.p,
      ""
   )
)
)</f>
        <v>587.42999999999995</v>
      </c>
      <c r="L523" s="4">
        <f>_xlfn.LET(
_xlpm.p,RawData!L523,
_xlpm.r,RawData!J523,
_xlpm.c,RawData!K523,
IF(ISNUMBER(_xlpm.p),_xlpm.p,
IF(AND(ISNUMBER(_xlpm.r),ISNUMBER(_xlpm.c)),
_xlpm.r-_xlpm.c,
""
)
))</f>
        <v>229.59</v>
      </c>
    </row>
    <row r="524" spans="1:12" x14ac:dyDescent="0.35">
      <c r="A524" t="s">
        <v>565</v>
      </c>
      <c r="B524" s="7">
        <v>46005</v>
      </c>
      <c r="C524" t="str">
        <f>IF(RawData!C524="","Unknown",PROPER(TRIM(CLEAN(SUBSTITUTE(RawData!C524,CHAR(160)," ")))))</f>
        <v>South</v>
      </c>
      <c r="D524" t="str">
        <f>IF(RawData!D524="","Unknown",PROPER(TRIM(CLEAN(SUBSTITUTE(RawData!D524,CHAR(160)," ")))))</f>
        <v>Hyderabad</v>
      </c>
      <c r="E524" t="str">
        <f>IF(RawData!E524="","Unknown",PROPER(TRIM(CLEAN(SUBSTITUTE(RawData!E524,CHAR(160)," ")))))</f>
        <v>Desk</v>
      </c>
      <c r="F524" t="str">
        <f>IF(RawData!F524="","Unknown",PROPER(TRIM(CLEAN(SUBSTITUTE(RawData!F524,CHAR(160)," ")))))</f>
        <v>Furniture</v>
      </c>
      <c r="G524">
        <f>_xlfn.LET(
_xlpm.q,RawData!G524,
_xlpm.u,RawData!H524,
_xlpm.d,RawData!I524,
_xlpm.r,RawData!J524,
IF(AND(ISNUMBER(_xlpm.q),_xlpm.q&gt;0),_xlpm.q,
   IF(AND(ISNUMBER(_xlpm.r),ISNUMBER(_xlpm.u),_xlpm.u&gt;0,ISNUMBER(_xlpm.d),_xlpm.d&gt;=0,_xlpm.d&lt;1),
      ROUND(_xlpm.r/(_xlpm.u*(1-_xlpm.d)),0),
      ""
   )
)
)</f>
        <v>1</v>
      </c>
      <c r="H524" s="4">
        <f>_xlfn.LET(
_xlpm.q,RawData!G524,
_xlpm.u,RawData!H524,
_xlpm.d,RawData!I524,
_xlpm.r,RawData!J524,
IF(AND(ISNUMBER(_xlpm.u),_xlpm.u&gt;0),_xlpm.u,
   IF(AND(ISNUMBER(_xlpm.q),_xlpm.q&gt;0,ISNUMBER(_xlpm.r),ISNUMBER(_xlpm.d),_xlpm.d&gt;=0,_xlpm.d&lt;1),
      _xlpm.r/(_xlpm.q*(1-_xlpm.d)),
      ""
   )
)
)</f>
        <v>278.95</v>
      </c>
      <c r="I524" s="5">
        <f>_xlfn.LET(
_xlpm.q,RawData!G524,
_xlpm.u,RawData!H524,
_xlpm.d,RawData!I524,
_xlpm.r,RawData!J524,
IF(AND(ISNUMBER(_xlpm.d),_xlpm.d&gt;=0,_xlpm.d&lt;1),_xlpm.d,
   IF(AND(ISNUMBER(_xlpm.q),_xlpm.q&gt;0,ISNUMBER(_xlpm.u),_xlpm.u&gt;0,ISNUMBER(_xlpm.r),_xlpm.r&gt;=0),
      1-(_xlpm.r/(_xlpm.q*_xlpm.u)),
      ""
   )
)
)</f>
        <v>0.1</v>
      </c>
      <c r="J524" s="4">
        <f>_xlfn.LET(
_xlpm.q,RawData!G524,
_xlpm.u,RawData!H524,
_xlpm.d,RawData!I524,
_xlpm.r,RawData!J524,
IF(AND(ISNUMBER(_xlpm.r),_xlpm.r&gt;=0),_xlpm.r,
   IF(AND(ISNUMBER(_xlpm.q),_xlpm.q&gt;0,ISNUMBER(_xlpm.u),_xlpm.u&gt;0,ISNUMBER(_xlpm.d),_xlpm.d&gt;=0,_xlpm.d&lt;1),
      _xlpm.q*_xlpm.u*(1-_xlpm.d),
      ""
   )
)
)</f>
        <v>251.06</v>
      </c>
      <c r="K524" s="4">
        <f>_xlfn.LET(
_xlpm.c,RawData!K524,
_xlpm.r,RawData!J524,
_xlpm.p,RawData!L524,
IF(AND(ISNUMBER(_xlpm.c),_xlpm.c&gt;=0),_xlpm.c,
   IF(AND(ISNUMBER(_xlpm.r),ISNUMBER(_xlpm.p)),
      _xlpm.r-_xlpm.p,
      ""
   )
)
)</f>
        <v>179.83</v>
      </c>
      <c r="L524" s="4">
        <f>_xlfn.LET(
_xlpm.p,RawData!L524,
_xlpm.r,RawData!J524,
_xlpm.c,RawData!K524,
IF(ISNUMBER(_xlpm.p),_xlpm.p,
IF(AND(ISNUMBER(_xlpm.r),ISNUMBER(_xlpm.c)),
_xlpm.r-_xlpm.c,
""
)
))</f>
        <v>71.23</v>
      </c>
    </row>
    <row r="525" spans="1:12" x14ac:dyDescent="0.35">
      <c r="A525" t="s">
        <v>566</v>
      </c>
      <c r="B525" s="7">
        <v>45809</v>
      </c>
      <c r="C525" t="str">
        <f>IF(RawData!C525="","Unknown",PROPER(TRIM(CLEAN(SUBSTITUTE(RawData!C525,CHAR(160)," ")))))</f>
        <v>West</v>
      </c>
      <c r="D525" t="str">
        <f>IF(RawData!D525="","Unknown",PROPER(TRIM(CLEAN(SUBSTITUTE(RawData!D525,CHAR(160)," ")))))</f>
        <v>Mumbai</v>
      </c>
      <c r="E525" t="str">
        <f>IF(RawData!E525="","Unknown",PROPER(TRIM(CLEAN(SUBSTITUTE(RawData!E525,CHAR(160)," ")))))</f>
        <v>Smartphone</v>
      </c>
      <c r="F525" t="str">
        <f>IF(RawData!F525="","Unknown",PROPER(TRIM(CLEAN(SUBSTITUTE(RawData!F525,CHAR(160)," ")))))</f>
        <v>Electronics</v>
      </c>
      <c r="G525">
        <f>_xlfn.LET(
_xlpm.q,RawData!G525,
_xlpm.u,RawData!H525,
_xlpm.d,RawData!I525,
_xlpm.r,RawData!J525,
IF(AND(ISNUMBER(_xlpm.q),_xlpm.q&gt;0),_xlpm.q,
   IF(AND(ISNUMBER(_xlpm.r),ISNUMBER(_xlpm.u),_xlpm.u&gt;0,ISNUMBER(_xlpm.d),_xlpm.d&gt;=0,_xlpm.d&lt;1),
      ROUND(_xlpm.r/(_xlpm.u*(1-_xlpm.d)),0),
      ""
   )
)
)</f>
        <v>2</v>
      </c>
      <c r="H525" s="4">
        <f>_xlfn.LET(
_xlpm.q,RawData!G525,
_xlpm.u,RawData!H525,
_xlpm.d,RawData!I525,
_xlpm.r,RawData!J525,
IF(AND(ISNUMBER(_xlpm.u),_xlpm.u&gt;0),_xlpm.u,
   IF(AND(ISNUMBER(_xlpm.q),_xlpm.q&gt;0,ISNUMBER(_xlpm.r),ISNUMBER(_xlpm.d),_xlpm.d&gt;=0,_xlpm.d&lt;1),
      _xlpm.r/(_xlpm.q*(1-_xlpm.d)),
      ""
   )
)
)</f>
        <v>505.94</v>
      </c>
      <c r="I525" s="5">
        <f>_xlfn.LET(
_xlpm.q,RawData!G525,
_xlpm.u,RawData!H525,
_xlpm.d,RawData!I525,
_xlpm.r,RawData!J525,
IF(AND(ISNUMBER(_xlpm.d),_xlpm.d&gt;=0,_xlpm.d&lt;1),_xlpm.d,
   IF(AND(ISNUMBER(_xlpm.q),_xlpm.q&gt;0,ISNUMBER(_xlpm.u),_xlpm.u&gt;0,ISNUMBER(_xlpm.r),_xlpm.r&gt;=0),
      1-(_xlpm.r/(_xlpm.q*_xlpm.u)),
      ""
   )
)
)</f>
        <v>0.2</v>
      </c>
      <c r="J525" s="4">
        <f>_xlfn.LET(
_xlpm.q,RawData!G525,
_xlpm.u,RawData!H525,
_xlpm.d,RawData!I525,
_xlpm.r,RawData!J525,
IF(AND(ISNUMBER(_xlpm.r),_xlpm.r&gt;=0),_xlpm.r,
   IF(AND(ISNUMBER(_xlpm.q),_xlpm.q&gt;0,ISNUMBER(_xlpm.u),_xlpm.u&gt;0,ISNUMBER(_xlpm.d),_xlpm.d&gt;=0,_xlpm.d&lt;1),
      _xlpm.q*_xlpm.u*(1-_xlpm.d),
      ""
   )
)
)</f>
        <v>809.5</v>
      </c>
      <c r="K525" s="4">
        <f>_xlfn.LET(
_xlpm.c,RawData!K525,
_xlpm.r,RawData!J525,
_xlpm.p,RawData!L525,
IF(AND(ISNUMBER(_xlpm.c),_xlpm.c&gt;=0),_xlpm.c,
   IF(AND(ISNUMBER(_xlpm.r),ISNUMBER(_xlpm.p)),
      _xlpm.r-_xlpm.p,
      ""
   )
)
)</f>
        <v>450.56</v>
      </c>
      <c r="L525" s="4">
        <f>_xlfn.LET(
_xlpm.p,RawData!L525,
_xlpm.r,RawData!J525,
_xlpm.c,RawData!K525,
IF(ISNUMBER(_xlpm.p),_xlpm.p,
IF(AND(ISNUMBER(_xlpm.r),ISNUMBER(_xlpm.c)),
_xlpm.r-_xlpm.c,
""
)
))</f>
        <v>358.94</v>
      </c>
    </row>
    <row r="526" spans="1:12" x14ac:dyDescent="0.35">
      <c r="A526" t="s">
        <v>567</v>
      </c>
      <c r="B526" s="7">
        <v>45836</v>
      </c>
      <c r="C526" t="str">
        <f>IF(RawData!C526="","Unknown",PROPER(TRIM(CLEAN(SUBSTITUTE(RawData!C526,CHAR(160)," ")))))</f>
        <v>East</v>
      </c>
      <c r="D526" t="str">
        <f>IF(RawData!D526="","Unknown",PROPER(TRIM(CLEAN(SUBSTITUTE(RawData!D526,CHAR(160)," ")))))</f>
        <v>Patna</v>
      </c>
      <c r="E526" t="str">
        <f>IF(RawData!E526="","Unknown",PROPER(TRIM(CLEAN(SUBSTITUTE(RawData!E526,CHAR(160)," ")))))</f>
        <v>Desk</v>
      </c>
      <c r="F526" t="str">
        <f>IF(RawData!F526="","Unknown",PROPER(TRIM(CLEAN(SUBSTITUTE(RawData!F526,CHAR(160)," ")))))</f>
        <v>Furniture</v>
      </c>
      <c r="G526">
        <f>_xlfn.LET(
_xlpm.q,RawData!G526,
_xlpm.u,RawData!H526,
_xlpm.d,RawData!I526,
_xlpm.r,RawData!J526,
IF(AND(ISNUMBER(_xlpm.q),_xlpm.q&gt;0),_xlpm.q,
   IF(AND(ISNUMBER(_xlpm.r),ISNUMBER(_xlpm.u),_xlpm.u&gt;0,ISNUMBER(_xlpm.d),_xlpm.d&gt;=0,_xlpm.d&lt;1),
      ROUND(_xlpm.r/(_xlpm.u*(1-_xlpm.d)),0),
      ""
   )
)
)</f>
        <v>8</v>
      </c>
      <c r="H526" s="4">
        <f>_xlfn.LET(
_xlpm.q,RawData!G526,
_xlpm.u,RawData!H526,
_xlpm.d,RawData!I526,
_xlpm.r,RawData!J526,
IF(AND(ISNUMBER(_xlpm.u),_xlpm.u&gt;0),_xlpm.u,
   IF(AND(ISNUMBER(_xlpm.q),_xlpm.q&gt;0,ISNUMBER(_xlpm.r),ISNUMBER(_xlpm.d),_xlpm.d&gt;=0,_xlpm.d&lt;1),
      _xlpm.r/(_xlpm.q*(1-_xlpm.d)),
      ""
   )
)
)</f>
        <v>277.76</v>
      </c>
      <c r="I526" s="5">
        <f>_xlfn.LET(
_xlpm.q,RawData!G526,
_xlpm.u,RawData!H526,
_xlpm.d,RawData!I526,
_xlpm.r,RawData!J526,
IF(AND(ISNUMBER(_xlpm.d),_xlpm.d&gt;=0,_xlpm.d&lt;1),_xlpm.d,
   IF(AND(ISNUMBER(_xlpm.q),_xlpm.q&gt;0,ISNUMBER(_xlpm.u),_xlpm.u&gt;0,ISNUMBER(_xlpm.r),_xlpm.r&gt;=0),
      1-(_xlpm.r/(_xlpm.q*_xlpm.u)),
      ""
   )
)
)</f>
        <v>0.02</v>
      </c>
      <c r="J526" s="4">
        <f>_xlfn.LET(
_xlpm.q,RawData!G526,
_xlpm.u,RawData!H526,
_xlpm.d,RawData!I526,
_xlpm.r,RawData!J526,
IF(AND(ISNUMBER(_xlpm.r),_xlpm.r&gt;=0),_xlpm.r,
   IF(AND(ISNUMBER(_xlpm.q),_xlpm.q&gt;0,ISNUMBER(_xlpm.u),_xlpm.u&gt;0,ISNUMBER(_xlpm.d),_xlpm.d&gt;=0,_xlpm.d&lt;1),
      _xlpm.q*_xlpm.u*(1-_xlpm.d),
      ""
   )
)
)</f>
        <v>2177.64</v>
      </c>
      <c r="K526" s="4">
        <f>_xlfn.LET(
_xlpm.c,RawData!K526,
_xlpm.r,RawData!J526,
_xlpm.p,RawData!L526,
IF(AND(ISNUMBER(_xlpm.c),_xlpm.c&gt;=0),_xlpm.c,
   IF(AND(ISNUMBER(_xlpm.r),ISNUMBER(_xlpm.p)),
      _xlpm.r-_xlpm.p,
      ""
   )
)
)</f>
        <v>1210.21</v>
      </c>
      <c r="L526" s="4">
        <f>_xlfn.LET(
_xlpm.p,RawData!L526,
_xlpm.r,RawData!J526,
_xlpm.c,RawData!K526,
IF(ISNUMBER(_xlpm.p),_xlpm.p,
IF(AND(ISNUMBER(_xlpm.r),ISNUMBER(_xlpm.c)),
_xlpm.r-_xlpm.c,
""
)
))</f>
        <v>967.43</v>
      </c>
    </row>
    <row r="527" spans="1:12" x14ac:dyDescent="0.35">
      <c r="A527" t="s">
        <v>568</v>
      </c>
      <c r="B527" s="7">
        <v>45905</v>
      </c>
      <c r="C527" t="str">
        <f>IF(RawData!C527="","Unknown",PROPER(TRIM(CLEAN(SUBSTITUTE(RawData!C527,CHAR(160)," ")))))</f>
        <v>East</v>
      </c>
      <c r="D527" t="str">
        <f>IF(RawData!D527="","Unknown",PROPER(TRIM(CLEAN(SUBSTITUTE(RawData!D527,CHAR(160)," ")))))</f>
        <v>Patna</v>
      </c>
      <c r="E527" t="str">
        <f>IF(RawData!E527="","Unknown",PROPER(TRIM(CLEAN(SUBSTITUTE(RawData!E527,CHAR(160)," ")))))</f>
        <v>Desk</v>
      </c>
      <c r="F527" t="str">
        <f>IF(RawData!F527="","Unknown",PROPER(TRIM(CLEAN(SUBSTITUTE(RawData!F527,CHAR(160)," ")))))</f>
        <v>Office Supplies</v>
      </c>
      <c r="G527">
        <f>_xlfn.LET(
_xlpm.q,RawData!G527,
_xlpm.u,RawData!H527,
_xlpm.d,RawData!I527,
_xlpm.r,RawData!J527,
IF(AND(ISNUMBER(_xlpm.q),_xlpm.q&gt;0),_xlpm.q,
   IF(AND(ISNUMBER(_xlpm.r),ISNUMBER(_xlpm.u),_xlpm.u&gt;0,ISNUMBER(_xlpm.d),_xlpm.d&gt;=0,_xlpm.d&lt;1),
      ROUND(_xlpm.r/(_xlpm.u*(1-_xlpm.d)),0),
      ""
   )
)
)</f>
        <v>2</v>
      </c>
      <c r="H527" s="4">
        <f>_xlfn.LET(
_xlpm.q,RawData!G527,
_xlpm.u,RawData!H527,
_xlpm.d,RawData!I527,
_xlpm.r,RawData!J527,
IF(AND(ISNUMBER(_xlpm.u),_xlpm.u&gt;0),_xlpm.u,
   IF(AND(ISNUMBER(_xlpm.q),_xlpm.q&gt;0,ISNUMBER(_xlpm.r),ISNUMBER(_xlpm.d),_xlpm.d&gt;=0,_xlpm.d&lt;1),
      _xlpm.r/(_xlpm.q*(1-_xlpm.d)),
      ""
   )
)
)</f>
        <v>177.99</v>
      </c>
      <c r="I527" s="5">
        <f>_xlfn.LET(
_xlpm.q,RawData!G527,
_xlpm.u,RawData!H527,
_xlpm.d,RawData!I527,
_xlpm.r,RawData!J527,
IF(AND(ISNUMBER(_xlpm.d),_xlpm.d&gt;=0,_xlpm.d&lt;1),_xlpm.d,
   IF(AND(ISNUMBER(_xlpm.q),_xlpm.q&gt;0,ISNUMBER(_xlpm.u),_xlpm.u&gt;0,ISNUMBER(_xlpm.r),_xlpm.r&gt;=0),
      1-(_xlpm.r/(_xlpm.q*_xlpm.u)),
      ""
   )
)
)</f>
        <v>0.1</v>
      </c>
      <c r="J527" s="4">
        <f>_xlfn.LET(
_xlpm.q,RawData!G527,
_xlpm.u,RawData!H527,
_xlpm.d,RawData!I527,
_xlpm.r,RawData!J527,
IF(AND(ISNUMBER(_xlpm.r),_xlpm.r&gt;=0),_xlpm.r,
   IF(AND(ISNUMBER(_xlpm.q),_xlpm.q&gt;0,ISNUMBER(_xlpm.u),_xlpm.u&gt;0,ISNUMBER(_xlpm.d),_xlpm.d&gt;=0,_xlpm.d&lt;1),
      _xlpm.q*_xlpm.u*(1-_xlpm.d),
      ""
   )
)
)</f>
        <v>320.38</v>
      </c>
      <c r="K527" s="4">
        <f>_xlfn.LET(
_xlpm.c,RawData!K527,
_xlpm.r,RawData!J527,
_xlpm.p,RawData!L527,
IF(AND(ISNUMBER(_xlpm.c),_xlpm.c&gt;=0),_xlpm.c,
   IF(AND(ISNUMBER(_xlpm.r),ISNUMBER(_xlpm.p)),
      _xlpm.r-_xlpm.p,
      ""
   )
)
)</f>
        <v>221.96</v>
      </c>
      <c r="L527" s="4">
        <f>_xlfn.LET(
_xlpm.p,RawData!L527,
_xlpm.r,RawData!J527,
_xlpm.c,RawData!K527,
IF(ISNUMBER(_xlpm.p),_xlpm.p,
IF(AND(ISNUMBER(_xlpm.r),ISNUMBER(_xlpm.c)),
_xlpm.r-_xlpm.c,
""
)
))</f>
        <v>98.42</v>
      </c>
    </row>
    <row r="528" spans="1:12" x14ac:dyDescent="0.35">
      <c r="A528" t="s">
        <v>570</v>
      </c>
      <c r="B528" s="7">
        <v>46014</v>
      </c>
      <c r="C528" t="str">
        <f>IF(RawData!C528="","Unknown",PROPER(TRIM(CLEAN(SUBSTITUTE(RawData!C528,CHAR(160)," ")))))</f>
        <v>West</v>
      </c>
      <c r="D528" t="str">
        <f>IF(RawData!D528="","Unknown",PROPER(TRIM(CLEAN(SUBSTITUTE(RawData!D528,CHAR(160)," ")))))</f>
        <v>Mumbai</v>
      </c>
      <c r="E528" t="str">
        <f>IF(RawData!E528="","Unknown",PROPER(TRIM(CLEAN(SUBSTITUTE(RawData!E528,CHAR(160)," ")))))</f>
        <v>Desk</v>
      </c>
      <c r="F528" t="str">
        <f>IF(RawData!F528="","Unknown",PROPER(TRIM(CLEAN(SUBSTITUTE(RawData!F528,CHAR(160)," ")))))</f>
        <v>Furniture</v>
      </c>
      <c r="G528">
        <f>_xlfn.LET(
_xlpm.q,RawData!G528,
_xlpm.u,RawData!H528,
_xlpm.d,RawData!I528,
_xlpm.r,RawData!J528,
IF(AND(ISNUMBER(_xlpm.q),_xlpm.q&gt;0),_xlpm.q,
   IF(AND(ISNUMBER(_xlpm.r),ISNUMBER(_xlpm.u),_xlpm.u&gt;0,ISNUMBER(_xlpm.d),_xlpm.d&gt;=0,_xlpm.d&lt;1),
      ROUND(_xlpm.r/(_xlpm.u*(1-_xlpm.d)),0),
      ""
   )
)
)</f>
        <v>2</v>
      </c>
      <c r="H528" s="4">
        <f>_xlfn.LET(
_xlpm.q,RawData!G528,
_xlpm.u,RawData!H528,
_xlpm.d,RawData!I528,
_xlpm.r,RawData!J528,
IF(AND(ISNUMBER(_xlpm.u),_xlpm.u&gt;0),_xlpm.u,
   IF(AND(ISNUMBER(_xlpm.q),_xlpm.q&gt;0,ISNUMBER(_xlpm.r),ISNUMBER(_xlpm.d),_xlpm.d&gt;=0,_xlpm.d&lt;1),
      _xlpm.r/(_xlpm.q*(1-_xlpm.d)),
      ""
   )
)
)</f>
        <v>282.93</v>
      </c>
      <c r="I528" s="5">
        <f>_xlfn.LET(
_xlpm.q,RawData!G528,
_xlpm.u,RawData!H528,
_xlpm.d,RawData!I528,
_xlpm.r,RawData!J528,
IF(AND(ISNUMBER(_xlpm.d),_xlpm.d&gt;=0,_xlpm.d&lt;1),_xlpm.d,
   IF(AND(ISNUMBER(_xlpm.q),_xlpm.q&gt;0,ISNUMBER(_xlpm.u),_xlpm.u&gt;0,ISNUMBER(_xlpm.r),_xlpm.r&gt;=0),
      1-(_xlpm.r/(_xlpm.q*_xlpm.u)),
      ""
   )
)
)</f>
        <v>0.05</v>
      </c>
      <c r="J528" s="4">
        <f>_xlfn.LET(
_xlpm.q,RawData!G528,
_xlpm.u,RawData!H528,
_xlpm.d,RawData!I528,
_xlpm.r,RawData!J528,
IF(AND(ISNUMBER(_xlpm.r),_xlpm.r&gt;=0),_xlpm.r,
   IF(AND(ISNUMBER(_xlpm.q),_xlpm.q&gt;0,ISNUMBER(_xlpm.u),_xlpm.u&gt;0,ISNUMBER(_xlpm.d),_xlpm.d&gt;=0,_xlpm.d&lt;1),
      _xlpm.q*_xlpm.u*(1-_xlpm.d),
      ""
   )
)
)</f>
        <v>537.57000000000005</v>
      </c>
      <c r="K528" s="4">
        <f>_xlfn.LET(
_xlpm.c,RawData!K528,
_xlpm.r,RawData!J528,
_xlpm.p,RawData!L528,
IF(AND(ISNUMBER(_xlpm.c),_xlpm.c&gt;=0),_xlpm.c,
   IF(AND(ISNUMBER(_xlpm.r),ISNUMBER(_xlpm.p)),
      _xlpm.r-_xlpm.p,
      ""
   )
)
)</f>
        <v>411.6</v>
      </c>
      <c r="L528" s="4">
        <f>_xlfn.LET(
_xlpm.p,RawData!L528,
_xlpm.r,RawData!J528,
_xlpm.c,RawData!K528,
IF(ISNUMBER(_xlpm.p),_xlpm.p,
IF(AND(ISNUMBER(_xlpm.r),ISNUMBER(_xlpm.c)),
_xlpm.r-_xlpm.c,
""
)
))</f>
        <v>125.97</v>
      </c>
    </row>
    <row r="529" spans="1:14" x14ac:dyDescent="0.35">
      <c r="A529" t="s">
        <v>571</v>
      </c>
      <c r="B529" s="7">
        <v>46021</v>
      </c>
      <c r="C529" t="str">
        <f>IF(RawData!C529="","Unknown",PROPER(TRIM(CLEAN(SUBSTITUTE(RawData!C529,CHAR(160)," ")))))</f>
        <v>North</v>
      </c>
      <c r="D529" t="str">
        <f>IF(RawData!D529="","Unknown",PROPER(TRIM(CLEAN(SUBSTITUTE(RawData!D529,CHAR(160)," ")))))</f>
        <v>Delhi</v>
      </c>
      <c r="E529" t="str">
        <f>IF(RawData!E529="","Unknown",PROPER(TRIM(CLEAN(SUBSTITUTE(RawData!E529,CHAR(160)," ")))))</f>
        <v>Laptop</v>
      </c>
      <c r="F529" t="str">
        <f>IF(RawData!F529="","Unknown",PROPER(TRIM(CLEAN(SUBSTITUTE(RawData!F529,CHAR(160)," ")))))</f>
        <v>Electronics</v>
      </c>
      <c r="G529">
        <f>_xlfn.LET(
_xlpm.q,RawData!G529,
_xlpm.u,RawData!H529,
_xlpm.d,RawData!I529,
_xlpm.r,RawData!J529,
IF(AND(ISNUMBER(_xlpm.q),_xlpm.q&gt;0),_xlpm.q,
   IF(AND(ISNUMBER(_xlpm.r),ISNUMBER(_xlpm.u),_xlpm.u&gt;0,ISNUMBER(_xlpm.d),_xlpm.d&gt;=0,_xlpm.d&lt;1),
      ROUND(_xlpm.r/(_xlpm.u*(1-_xlpm.d)),0),
      ""
   )
)
)</f>
        <v>6</v>
      </c>
      <c r="H529" s="4">
        <f>_xlfn.LET(
_xlpm.q,RawData!G529,
_xlpm.u,RawData!H529,
_xlpm.d,RawData!I529,
_xlpm.r,RawData!J529,
IF(AND(ISNUMBER(_xlpm.u),_xlpm.u&gt;0),_xlpm.u,
   IF(AND(ISNUMBER(_xlpm.q),_xlpm.q&gt;0,ISNUMBER(_xlpm.r),ISNUMBER(_xlpm.d),_xlpm.d&gt;=0,_xlpm.d&lt;1),
      _xlpm.r/(_xlpm.q*(1-_xlpm.d)),
      ""
   )
)
)</f>
        <v>976.97</v>
      </c>
      <c r="I529" s="5">
        <f>_xlfn.LET(
_xlpm.q,RawData!G529,
_xlpm.u,RawData!H529,
_xlpm.d,RawData!I529,
_xlpm.r,RawData!J529,
IF(AND(ISNUMBER(_xlpm.d),_xlpm.d&gt;=0,_xlpm.d&lt;1),_xlpm.d,
   IF(AND(ISNUMBER(_xlpm.q),_xlpm.q&gt;0,ISNUMBER(_xlpm.u),_xlpm.u&gt;0,ISNUMBER(_xlpm.r),_xlpm.r&gt;=0),
      1-(_xlpm.r/(_xlpm.q*_xlpm.u)),
      ""
   )
)
)</f>
        <v>0.2</v>
      </c>
      <c r="J529" s="4">
        <f>_xlfn.LET(
_xlpm.q,RawData!G529,
_xlpm.u,RawData!H529,
_xlpm.d,RawData!I529,
_xlpm.r,RawData!J529,
IF(AND(ISNUMBER(_xlpm.r),_xlpm.r&gt;=0),_xlpm.r,
   IF(AND(ISNUMBER(_xlpm.q),_xlpm.q&gt;0,ISNUMBER(_xlpm.u),_xlpm.u&gt;0,ISNUMBER(_xlpm.d),_xlpm.d&gt;=0,_xlpm.d&lt;1),
      _xlpm.q*_xlpm.u*(1-_xlpm.d),
      ""
   )
)
)</f>
        <v>4689.46</v>
      </c>
      <c r="K529" s="4">
        <f>_xlfn.LET(
_xlpm.c,RawData!K529,
_xlpm.r,RawData!J529,
_xlpm.p,RawData!L529,
IF(AND(ISNUMBER(_xlpm.c),_xlpm.c&gt;=0),_xlpm.c,
   IF(AND(ISNUMBER(_xlpm.r),ISNUMBER(_xlpm.p)),
      _xlpm.r-_xlpm.p,
      ""
   )
)
)</f>
        <v>3023.26</v>
      </c>
      <c r="L529" s="4">
        <f>_xlfn.LET(
_xlpm.p,RawData!L529,
_xlpm.r,RawData!J529,
_xlpm.c,RawData!K529,
IF(ISNUMBER(_xlpm.p),_xlpm.p,
IF(AND(ISNUMBER(_xlpm.r),ISNUMBER(_xlpm.c)),
_xlpm.r-_xlpm.c,
""
)
))</f>
        <v>1666.2</v>
      </c>
    </row>
    <row r="530" spans="1:14" x14ac:dyDescent="0.35">
      <c r="A530" t="s">
        <v>572</v>
      </c>
      <c r="B530" s="7">
        <v>46004</v>
      </c>
      <c r="C530" t="str">
        <f>IF(RawData!C530="","Unknown",PROPER(TRIM(CLEAN(SUBSTITUTE(RawData!C530,CHAR(160)," ")))))</f>
        <v>South</v>
      </c>
      <c r="D530" t="str">
        <f>IF(RawData!D530="","Unknown",PROPER(TRIM(CLEAN(SUBSTITUTE(RawData!D530,CHAR(160)," ")))))</f>
        <v>Hyderabad</v>
      </c>
      <c r="E530" t="str">
        <f>IF(RawData!E530="","Unknown",PROPER(TRIM(CLEAN(SUBSTITUTE(RawData!E530,CHAR(160)," ")))))</f>
        <v>Keyboard</v>
      </c>
      <c r="F530" t="str">
        <f>IF(RawData!F530="","Unknown",PROPER(TRIM(CLEAN(SUBSTITUTE(RawData!F530,CHAR(160)," ")))))</f>
        <v>Accessories</v>
      </c>
      <c r="G530">
        <f>_xlfn.LET(
_xlpm.q,RawData!G530,
_xlpm.u,RawData!H530,
_xlpm.d,RawData!I530,
_xlpm.r,RawData!J530,
IF(AND(ISNUMBER(_xlpm.q),_xlpm.q&gt;0),_xlpm.q,
   IF(AND(ISNUMBER(_xlpm.r),ISNUMBER(_xlpm.u),_xlpm.u&gt;0,ISNUMBER(_xlpm.d),_xlpm.d&gt;=0,_xlpm.d&lt;1),
      ROUND(_xlpm.r/(_xlpm.u*(1-_xlpm.d)),0),
      ""
   )
)
)</f>
        <v>4</v>
      </c>
      <c r="H530" s="4">
        <f>_xlfn.LET(
_xlpm.q,RawData!G530,
_xlpm.u,RawData!H530,
_xlpm.d,RawData!I530,
_xlpm.r,RawData!J530,
IF(AND(ISNUMBER(_xlpm.u),_xlpm.u&gt;0),_xlpm.u,
   IF(AND(ISNUMBER(_xlpm.q),_xlpm.q&gt;0,ISNUMBER(_xlpm.r),ISNUMBER(_xlpm.d),_xlpm.d&gt;=0,_xlpm.d&lt;1),
      _xlpm.r/(_xlpm.q*(1-_xlpm.d)),
      ""
   )
)
)</f>
        <v>37.81</v>
      </c>
      <c r="I530" s="5">
        <f>_xlfn.LET(
_xlpm.q,RawData!G530,
_xlpm.u,RawData!H530,
_xlpm.d,RawData!I530,
_xlpm.r,RawData!J530,
IF(AND(ISNUMBER(_xlpm.d),_xlpm.d&gt;=0,_xlpm.d&lt;1),_xlpm.d,
   IF(AND(ISNUMBER(_xlpm.q),_xlpm.q&gt;0,ISNUMBER(_xlpm.u),_xlpm.u&gt;0,ISNUMBER(_xlpm.r),_xlpm.r&gt;=0),
      1-(_xlpm.r/(_xlpm.q*_xlpm.u)),
      ""
   )
)
)</f>
        <v>0.15</v>
      </c>
      <c r="J530" s="4">
        <f>_xlfn.LET(
_xlpm.q,RawData!G530,
_xlpm.u,RawData!H530,
_xlpm.d,RawData!I530,
_xlpm.r,RawData!J530,
IF(AND(ISNUMBER(_xlpm.r),_xlpm.r&gt;=0),_xlpm.r,
   IF(AND(ISNUMBER(_xlpm.q),_xlpm.q&gt;0,ISNUMBER(_xlpm.u),_xlpm.u&gt;0,ISNUMBER(_xlpm.d),_xlpm.d&gt;=0,_xlpm.d&lt;1),
      _xlpm.q*_xlpm.u*(1-_xlpm.d),
      ""
   )
)
)</f>
        <v>128.55000000000001</v>
      </c>
      <c r="K530" s="4">
        <f>_xlfn.LET(
_xlpm.c,RawData!K530,
_xlpm.r,RawData!J530,
_xlpm.p,RawData!L530,
IF(AND(ISNUMBER(_xlpm.c),_xlpm.c&gt;=0),_xlpm.c,
   IF(AND(ISNUMBER(_xlpm.r),ISNUMBER(_xlpm.p)),
      _xlpm.r-_xlpm.p,
      ""
   )
)
)</f>
        <v>84.65</v>
      </c>
      <c r="L530" s="4">
        <f>_xlfn.LET(
_xlpm.p,RawData!L530,
_xlpm.r,RawData!J530,
_xlpm.c,RawData!K530,
IF(ISNUMBER(_xlpm.p),_xlpm.p,
IF(AND(ISNUMBER(_xlpm.r),ISNUMBER(_xlpm.c)),
_xlpm.r-_xlpm.c,
""
)
))</f>
        <v>43.9</v>
      </c>
    </row>
    <row r="531" spans="1:14" x14ac:dyDescent="0.35">
      <c r="A531" t="s">
        <v>573</v>
      </c>
      <c r="B531" s="7">
        <v>45940</v>
      </c>
      <c r="C531" t="str">
        <f>IF(RawData!C531="","Unknown",PROPER(TRIM(CLEAN(SUBSTITUTE(RawData!C531,CHAR(160)," ")))))</f>
        <v>South</v>
      </c>
      <c r="D531" t="str">
        <f>IF(RawData!D531="","Unknown",PROPER(TRIM(CLEAN(SUBSTITUTE(RawData!D531,CHAR(160)," ")))))</f>
        <v>Chennai</v>
      </c>
      <c r="E531" t="str">
        <f>IF(RawData!E531="","Unknown",PROPER(TRIM(CLEAN(SUBSTITUTE(RawData!E531,CHAR(160)," ")))))</f>
        <v>Desk</v>
      </c>
      <c r="F531" t="str">
        <f>IF(RawData!F531="","Unknown",PROPER(TRIM(CLEAN(SUBSTITUTE(RawData!F531,CHAR(160)," ")))))</f>
        <v>Furniture</v>
      </c>
      <c r="G531">
        <f>_xlfn.LET(
_xlpm.q,RawData!G531,
_xlpm.u,RawData!H531,
_xlpm.d,RawData!I531,
_xlpm.r,RawData!J531,
IF(AND(ISNUMBER(_xlpm.q),_xlpm.q&gt;0),_xlpm.q,
   IF(AND(ISNUMBER(_xlpm.r),ISNUMBER(_xlpm.u),_xlpm.u&gt;0,ISNUMBER(_xlpm.d),_xlpm.d&gt;=0,_xlpm.d&lt;1),
      ROUND(_xlpm.r/(_xlpm.u*(1-_xlpm.d)),0),
      ""
   )
)
)</f>
        <v>9</v>
      </c>
      <c r="H531" s="4">
        <f>_xlfn.LET(
_xlpm.q,RawData!G531,
_xlpm.u,RawData!H531,
_xlpm.d,RawData!I531,
_xlpm.r,RawData!J531,
IF(AND(ISNUMBER(_xlpm.u),_xlpm.u&gt;0),_xlpm.u,
   IF(AND(ISNUMBER(_xlpm.q),_xlpm.q&gt;0,ISNUMBER(_xlpm.r),ISNUMBER(_xlpm.d),_xlpm.d&gt;=0,_xlpm.d&lt;1),
      _xlpm.r/(_xlpm.q*(1-_xlpm.d)),
      ""
   )
)
)</f>
        <v>248.49</v>
      </c>
      <c r="I531" s="5">
        <f>_xlfn.LET(
_xlpm.q,RawData!G531,
_xlpm.u,RawData!H531,
_xlpm.d,RawData!I531,
_xlpm.r,RawData!J531,
IF(AND(ISNUMBER(_xlpm.d),_xlpm.d&gt;=0,_xlpm.d&lt;1),_xlpm.d,
   IF(AND(ISNUMBER(_xlpm.q),_xlpm.q&gt;0,ISNUMBER(_xlpm.u),_xlpm.u&gt;0,ISNUMBER(_xlpm.r),_xlpm.r&gt;=0),
      1-(_xlpm.r/(_xlpm.q*_xlpm.u)),
      ""
   )
)
)</f>
        <v>0.1</v>
      </c>
      <c r="J531" s="4">
        <f>_xlfn.LET(
_xlpm.q,RawData!G531,
_xlpm.u,RawData!H531,
_xlpm.d,RawData!I531,
_xlpm.r,RawData!J531,
IF(AND(ISNUMBER(_xlpm.r),_xlpm.r&gt;=0),_xlpm.r,
   IF(AND(ISNUMBER(_xlpm.q),_xlpm.q&gt;0,ISNUMBER(_xlpm.u),_xlpm.u&gt;0,ISNUMBER(_xlpm.d),_xlpm.d&gt;=0,_xlpm.d&lt;1),
      _xlpm.q*_xlpm.u*(1-_xlpm.d),
      ""
   )
)
)</f>
        <v>2012.77</v>
      </c>
      <c r="K531" s="4">
        <f>_xlfn.LET(
_xlpm.c,RawData!K531,
_xlpm.r,RawData!J531,
_xlpm.p,RawData!L531,
IF(AND(ISNUMBER(_xlpm.c),_xlpm.c&gt;=0),_xlpm.c,
   IF(AND(ISNUMBER(_xlpm.r),ISNUMBER(_xlpm.p)),
      _xlpm.r-_xlpm.p,
      ""
   )
)
)</f>
        <v>1448.04</v>
      </c>
      <c r="L531" s="4">
        <f>_xlfn.LET(
_xlpm.p,RawData!L531,
_xlpm.r,RawData!J531,
_xlpm.c,RawData!K531,
IF(ISNUMBER(_xlpm.p),_xlpm.p,
IF(AND(ISNUMBER(_xlpm.r),ISNUMBER(_xlpm.c)),
_xlpm.r-_xlpm.c,
""
)
))</f>
        <v>564.73</v>
      </c>
    </row>
    <row r="532" spans="1:14" x14ac:dyDescent="0.35">
      <c r="A532" t="s">
        <v>574</v>
      </c>
      <c r="B532" s="7">
        <v>45776</v>
      </c>
      <c r="C532" t="str">
        <f>IF(RawData!C532="","Unknown",PROPER(TRIM(CLEAN(SUBSTITUTE(RawData!C532,CHAR(160)," ")))))</f>
        <v>West</v>
      </c>
      <c r="D532" t="str">
        <f>IF(RawData!D532="","Unknown",PROPER(TRIM(CLEAN(SUBSTITUTE(RawData!D532,CHAR(160)," ")))))</f>
        <v>Ahmedabad</v>
      </c>
      <c r="E532" t="str">
        <f>IF(RawData!E532="","Unknown",PROPER(TRIM(CLEAN(SUBSTITUTE(RawData!E532,CHAR(160)," ")))))</f>
        <v>Backpack</v>
      </c>
      <c r="F532" t="str">
        <f>IF(RawData!F532="","Unknown",PROPER(TRIM(CLEAN(SUBSTITUTE(RawData!F532,CHAR(160)," ")))))</f>
        <v>Accessories</v>
      </c>
      <c r="G532">
        <f>_xlfn.LET(
_xlpm.q,RawData!G532,
_xlpm.u,RawData!H532,
_xlpm.d,RawData!I532,
_xlpm.r,RawData!J532,
IF(AND(ISNUMBER(_xlpm.q),_xlpm.q&gt;0),_xlpm.q,
   IF(AND(ISNUMBER(_xlpm.r),ISNUMBER(_xlpm.u),_xlpm.u&gt;0,ISNUMBER(_xlpm.d),_xlpm.d&gt;=0,_xlpm.d&lt;1),
      ROUND(_xlpm.r/(_xlpm.u*(1-_xlpm.d)),0),
      ""
   )
)
)</f>
        <v>3</v>
      </c>
      <c r="H532" s="4">
        <f>_xlfn.LET(
_xlpm.q,RawData!G532,
_xlpm.u,RawData!H532,
_xlpm.d,RawData!I532,
_xlpm.r,RawData!J532,
IF(AND(ISNUMBER(_xlpm.u),_xlpm.u&gt;0),_xlpm.u,
   IF(AND(ISNUMBER(_xlpm.q),_xlpm.q&gt;0,ISNUMBER(_xlpm.r),ISNUMBER(_xlpm.d),_xlpm.d&gt;=0,_xlpm.d&lt;1),
      _xlpm.r/(_xlpm.q*(1-_xlpm.d)),
      ""
   )
)
)</f>
        <v>50.04</v>
      </c>
      <c r="I532" s="5">
        <f>_xlfn.LET(
_xlpm.q,RawData!G532,
_xlpm.u,RawData!H532,
_xlpm.d,RawData!I532,
_xlpm.r,RawData!J532,
IF(AND(ISNUMBER(_xlpm.d),_xlpm.d&gt;=0,_xlpm.d&lt;1),_xlpm.d,
   IF(AND(ISNUMBER(_xlpm.q),_xlpm.q&gt;0,ISNUMBER(_xlpm.u),_xlpm.u&gt;0,ISNUMBER(_xlpm.r),_xlpm.r&gt;=0),
      1-(_xlpm.r/(_xlpm.q*_xlpm.u)),
      ""
   )
)
)</f>
        <v>0.02</v>
      </c>
      <c r="J532" s="4">
        <f>_xlfn.LET(
_xlpm.q,RawData!G532,
_xlpm.u,RawData!H532,
_xlpm.d,RawData!I532,
_xlpm.r,RawData!J532,
IF(AND(ISNUMBER(_xlpm.r),_xlpm.r&gt;=0),_xlpm.r,
   IF(AND(ISNUMBER(_xlpm.q),_xlpm.q&gt;0,ISNUMBER(_xlpm.u),_xlpm.u&gt;0,ISNUMBER(_xlpm.d),_xlpm.d&gt;=0,_xlpm.d&lt;1),
      _xlpm.q*_xlpm.u*(1-_xlpm.d),
      ""
   )
)
)</f>
        <v>147.12</v>
      </c>
      <c r="K532" s="4">
        <f>_xlfn.LET(
_xlpm.c,RawData!K532,
_xlpm.r,RawData!J532,
_xlpm.p,RawData!L532,
IF(AND(ISNUMBER(_xlpm.c),_xlpm.c&gt;=0),_xlpm.c,
   IF(AND(ISNUMBER(_xlpm.r),ISNUMBER(_xlpm.p)),
      _xlpm.r-_xlpm.p,
      ""
   )
)
)</f>
        <v>120.01</v>
      </c>
      <c r="L532" s="4">
        <f>_xlfn.LET(
_xlpm.p,RawData!L532,
_xlpm.r,RawData!J532,
_xlpm.c,RawData!K532,
IF(ISNUMBER(_xlpm.p),_xlpm.p,
IF(AND(ISNUMBER(_xlpm.r),ISNUMBER(_xlpm.c)),
_xlpm.r-_xlpm.c,
""
)
))</f>
        <v>27.11</v>
      </c>
    </row>
    <row r="533" spans="1:14" x14ac:dyDescent="0.35">
      <c r="A533" t="s">
        <v>575</v>
      </c>
      <c r="B533" s="7">
        <v>45994</v>
      </c>
      <c r="C533" t="str">
        <f>IF(RawData!C533="","Unknown",PROPER(TRIM(CLEAN(SUBSTITUTE(RawData!C533,CHAR(160)," ")))))</f>
        <v>West</v>
      </c>
      <c r="D533" t="str">
        <f>IF(RawData!D533="","Unknown",PROPER(TRIM(CLEAN(SUBSTITUTE(RawData!D533,CHAR(160)," ")))))</f>
        <v>Ahmedabad</v>
      </c>
      <c r="E533" t="str">
        <f>IF(RawData!E533="","Unknown",PROPER(TRIM(CLEAN(SUBSTITUTE(RawData!E533,CHAR(160)," ")))))</f>
        <v>Bookshelf</v>
      </c>
      <c r="F533" t="str">
        <f>IF(RawData!F533="","Unknown",PROPER(TRIM(CLEAN(SUBSTITUTE(RawData!F533,CHAR(160)," ")))))</f>
        <v>Furniture</v>
      </c>
      <c r="G533">
        <f>_xlfn.LET(
_xlpm.q,RawData!G533,
_xlpm.u,RawData!H533,
_xlpm.d,RawData!I533,
_xlpm.r,RawData!J533,
IF(AND(ISNUMBER(_xlpm.q),_xlpm.q&gt;0),_xlpm.q,
   IF(AND(ISNUMBER(_xlpm.r),ISNUMBER(_xlpm.u),_xlpm.u&gt;0,ISNUMBER(_xlpm.d),_xlpm.d&gt;=0,_xlpm.d&lt;1),
      ROUND(_xlpm.r/(_xlpm.u*(1-_xlpm.d)),0),
      ""
   )
)
)</f>
        <v>1</v>
      </c>
      <c r="H533" s="4">
        <f>_xlfn.LET(
_xlpm.q,RawData!G533,
_xlpm.u,RawData!H533,
_xlpm.d,RawData!I533,
_xlpm.r,RawData!J533,
IF(AND(ISNUMBER(_xlpm.u),_xlpm.u&gt;0),_xlpm.u,
   IF(AND(ISNUMBER(_xlpm.q),_xlpm.q&gt;0,ISNUMBER(_xlpm.r),ISNUMBER(_xlpm.d),_xlpm.d&gt;=0,_xlpm.d&lt;1),
      _xlpm.r/(_xlpm.q*(1-_xlpm.d)),
      ""
   )
)
)</f>
        <v>151.27000000000001</v>
      </c>
      <c r="I533" s="5">
        <f>_xlfn.LET(
_xlpm.q,RawData!G533,
_xlpm.u,RawData!H533,
_xlpm.d,RawData!I533,
_xlpm.r,RawData!J533,
IF(AND(ISNUMBER(_xlpm.d),_xlpm.d&gt;=0,_xlpm.d&lt;1),_xlpm.d,
   IF(AND(ISNUMBER(_xlpm.q),_xlpm.q&gt;0,ISNUMBER(_xlpm.u),_xlpm.u&gt;0,ISNUMBER(_xlpm.r),_xlpm.r&gt;=0),
      1-(_xlpm.r/(_xlpm.q*_xlpm.u)),
      ""
   )
)
)</f>
        <v>0.2</v>
      </c>
      <c r="J533" s="4">
        <f>_xlfn.LET(
_xlpm.q,RawData!G533,
_xlpm.u,RawData!H533,
_xlpm.d,RawData!I533,
_xlpm.r,RawData!J533,
IF(AND(ISNUMBER(_xlpm.r),_xlpm.r&gt;=0),_xlpm.r,
   IF(AND(ISNUMBER(_xlpm.q),_xlpm.q&gt;0,ISNUMBER(_xlpm.u),_xlpm.u&gt;0,ISNUMBER(_xlpm.d),_xlpm.d&gt;=0,_xlpm.d&lt;1),
      _xlpm.q*_xlpm.u*(1-_xlpm.d),
      ""
   )
)
)</f>
        <v>121.02</v>
      </c>
      <c r="K533" s="4">
        <f>_xlfn.LET(
_xlpm.c,RawData!K533,
_xlpm.r,RawData!J533,
_xlpm.p,RawData!L533,
IF(AND(ISNUMBER(_xlpm.c),_xlpm.c&gt;=0),_xlpm.c,
   IF(AND(ISNUMBER(_xlpm.r),ISNUMBER(_xlpm.p)),
      _xlpm.r-_xlpm.p,
      ""
   )
)
)</f>
        <v>80.209999999999994</v>
      </c>
      <c r="L533" s="4">
        <f>_xlfn.LET(
_xlpm.p,RawData!L533,
_xlpm.r,RawData!J533,
_xlpm.c,RawData!K533,
IF(ISNUMBER(_xlpm.p),_xlpm.p,
IF(AND(ISNUMBER(_xlpm.r),ISNUMBER(_xlpm.c)),
_xlpm.r-_xlpm.c,
""
)
))</f>
        <v>40.81</v>
      </c>
    </row>
    <row r="534" spans="1:14" x14ac:dyDescent="0.35">
      <c r="A534" t="s">
        <v>576</v>
      </c>
      <c r="B534" s="7">
        <v>45759</v>
      </c>
      <c r="C534" t="str">
        <f>IF(RawData!C534="","Unknown",PROPER(TRIM(CLEAN(SUBSTITUTE(RawData!C534,CHAR(160)," ")))))</f>
        <v>West</v>
      </c>
      <c r="D534" t="str">
        <f>IF(RawData!D534="","Unknown",PROPER(TRIM(CLEAN(SUBSTITUTE(RawData!D534,CHAR(160)," ")))))</f>
        <v>Mumbai</v>
      </c>
      <c r="E534" t="str">
        <f>IF(RawData!E534="","Unknown",PROPER(TRIM(CLEAN(SUBSTITUTE(RawData!E534,CHAR(160)," ")))))</f>
        <v>Pen Set</v>
      </c>
      <c r="F534" t="str">
        <f>IF(RawData!F534="","Unknown",PROPER(TRIM(CLEAN(SUBSTITUTE(RawData!F534,CHAR(160)," ")))))</f>
        <v>Office Supplies</v>
      </c>
      <c r="G534">
        <f>_xlfn.LET(
_xlpm.q,RawData!G534,
_xlpm.u,RawData!H534,
_xlpm.d,RawData!I534,
_xlpm.r,RawData!J534,
IF(AND(ISNUMBER(_xlpm.q),_xlpm.q&gt;0),_xlpm.q,
   IF(AND(ISNUMBER(_xlpm.r),ISNUMBER(_xlpm.u),_xlpm.u&gt;0,ISNUMBER(_xlpm.d),_xlpm.d&gt;=0,_xlpm.d&lt;1),
      ROUND(_xlpm.r/(_xlpm.u*(1-_xlpm.d)),0),
      ""
   )
)
)</f>
        <v>7</v>
      </c>
      <c r="H534" s="4">
        <f>_xlfn.LET(
_xlpm.q,RawData!G534,
_xlpm.u,RawData!H534,
_xlpm.d,RawData!I534,
_xlpm.r,RawData!J534,
IF(AND(ISNUMBER(_xlpm.u),_xlpm.u&gt;0),_xlpm.u,
   IF(AND(ISNUMBER(_xlpm.q),_xlpm.q&gt;0,ISNUMBER(_xlpm.r),ISNUMBER(_xlpm.d),_xlpm.d&gt;=0,_xlpm.d&lt;1),
      _xlpm.r/(_xlpm.q*(1-_xlpm.d)),
      ""
   )
)
)</f>
        <v>11.72</v>
      </c>
      <c r="I534" s="5">
        <f>_xlfn.LET(
_xlpm.q,RawData!G534,
_xlpm.u,RawData!H534,
_xlpm.d,RawData!I534,
_xlpm.r,RawData!J534,
IF(AND(ISNUMBER(_xlpm.d),_xlpm.d&gt;=0,_xlpm.d&lt;1),_xlpm.d,
   IF(AND(ISNUMBER(_xlpm.q),_xlpm.q&gt;0,ISNUMBER(_xlpm.u),_xlpm.u&gt;0,ISNUMBER(_xlpm.r),_xlpm.r&gt;=0),
      1-(_xlpm.r/(_xlpm.q*_xlpm.u)),
      ""
   )
)
)</f>
        <v>0.1</v>
      </c>
      <c r="J534" s="4">
        <f>_xlfn.LET(
_xlpm.q,RawData!G534,
_xlpm.u,RawData!H534,
_xlpm.d,RawData!I534,
_xlpm.r,RawData!J534,
IF(AND(ISNUMBER(_xlpm.r),_xlpm.r&gt;=0),_xlpm.r,
   IF(AND(ISNUMBER(_xlpm.q),_xlpm.q&gt;0,ISNUMBER(_xlpm.u),_xlpm.u&gt;0,ISNUMBER(_xlpm.d),_xlpm.d&gt;=0,_xlpm.d&lt;1),
      _xlpm.q*_xlpm.u*(1-_xlpm.d),
      ""
   )
)
)</f>
        <v>73.84</v>
      </c>
      <c r="K534" s="4">
        <f>_xlfn.LET(
_xlpm.c,RawData!K534,
_xlpm.r,RawData!J534,
_xlpm.p,RawData!L534,
IF(AND(ISNUMBER(_xlpm.c),_xlpm.c&gt;=0),_xlpm.c,
   IF(AND(ISNUMBER(_xlpm.r),ISNUMBER(_xlpm.p)),
      _xlpm.r-_xlpm.p,
      ""
   )
)
)</f>
        <v>55.32</v>
      </c>
      <c r="L534" s="4">
        <f>_xlfn.LET(
_xlpm.p,RawData!L534,
_xlpm.r,RawData!J534,
_xlpm.c,RawData!K534,
IF(ISNUMBER(_xlpm.p),_xlpm.p,
IF(AND(ISNUMBER(_xlpm.r),ISNUMBER(_xlpm.c)),
_xlpm.r-_xlpm.c,
""
)
))</f>
        <v>18.52</v>
      </c>
    </row>
    <row r="535" spans="1:14" x14ac:dyDescent="0.35">
      <c r="A535" t="s">
        <v>577</v>
      </c>
      <c r="B535" s="7">
        <v>46018</v>
      </c>
      <c r="C535" t="str">
        <f>IF(RawData!C535="","Unknown",PROPER(TRIM(CLEAN(SUBSTITUTE(RawData!C535,CHAR(160)," ")))))</f>
        <v>South</v>
      </c>
      <c r="D535" t="str">
        <f>IF(RawData!D535="","Unknown",PROPER(TRIM(CLEAN(SUBSTITUTE(RawData!D535,CHAR(160)," ")))))</f>
        <v>Hyderabad</v>
      </c>
      <c r="E535" t="str">
        <f>IF(RawData!E535="","Unknown",PROPER(TRIM(CLEAN(SUBSTITUTE(RawData!E535,CHAR(160)," ")))))</f>
        <v>Monitor</v>
      </c>
      <c r="F535" t="str">
        <f>IF(RawData!F535="","Unknown",PROPER(TRIM(CLEAN(SUBSTITUTE(RawData!F535,CHAR(160)," ")))))</f>
        <v>Electronics</v>
      </c>
      <c r="G535">
        <f>_xlfn.LET(
_xlpm.q,RawData!G535,
_xlpm.u,RawData!H535,
_xlpm.d,RawData!I535,
_xlpm.r,RawData!J535,
IF(AND(ISNUMBER(_xlpm.q),_xlpm.q&gt;0),_xlpm.q,
   IF(AND(ISNUMBER(_xlpm.r),ISNUMBER(_xlpm.u),_xlpm.u&gt;0,ISNUMBER(_xlpm.d),_xlpm.d&gt;=0,_xlpm.d&lt;1),
      ROUND(_xlpm.r/(_xlpm.u*(1-_xlpm.d)),0),
      ""
   )
)
)</f>
        <v>5</v>
      </c>
      <c r="H535" s="4">
        <f>_xlfn.LET(
_xlpm.q,RawData!G535,
_xlpm.u,RawData!H535,
_xlpm.d,RawData!I535,
_xlpm.r,RawData!J535,
IF(AND(ISNUMBER(_xlpm.u),_xlpm.u&gt;0),_xlpm.u,
   IF(AND(ISNUMBER(_xlpm.q),_xlpm.q&gt;0,ISNUMBER(_xlpm.r),ISNUMBER(_xlpm.d),_xlpm.d&gt;=0,_xlpm.d&lt;1),
      _xlpm.r/(_xlpm.q*(1-_xlpm.d)),
      ""
   )
)
)</f>
        <v>202.76</v>
      </c>
      <c r="I535" s="5">
        <f>_xlfn.LET(
_xlpm.q,RawData!G535,
_xlpm.u,RawData!H535,
_xlpm.d,RawData!I535,
_xlpm.r,RawData!J535,
IF(AND(ISNUMBER(_xlpm.d),_xlpm.d&gt;=0,_xlpm.d&lt;1),_xlpm.d,
   IF(AND(ISNUMBER(_xlpm.q),_xlpm.q&gt;0,ISNUMBER(_xlpm.u),_xlpm.u&gt;0,ISNUMBER(_xlpm.r),_xlpm.r&gt;=0),
      1-(_xlpm.r/(_xlpm.q*_xlpm.u)),
      ""
   )
)
)</f>
        <v>0.2</v>
      </c>
      <c r="J535" s="4">
        <f>_xlfn.LET(
_xlpm.q,RawData!G535,
_xlpm.u,RawData!H535,
_xlpm.d,RawData!I535,
_xlpm.r,RawData!J535,
IF(AND(ISNUMBER(_xlpm.r),_xlpm.r&gt;=0),_xlpm.r,
   IF(AND(ISNUMBER(_xlpm.q),_xlpm.q&gt;0,ISNUMBER(_xlpm.u),_xlpm.u&gt;0,ISNUMBER(_xlpm.d),_xlpm.d&gt;=0,_xlpm.d&lt;1),
      _xlpm.q*_xlpm.u*(1-_xlpm.d),
      ""
   )
)
)</f>
        <v>811.04</v>
      </c>
      <c r="K535" s="4">
        <f>_xlfn.LET(
_xlpm.c,RawData!K535,
_xlpm.r,RawData!J535,
_xlpm.p,RawData!L535,
IF(AND(ISNUMBER(_xlpm.c),_xlpm.c&gt;=0),_xlpm.c,
   IF(AND(ISNUMBER(_xlpm.r),ISNUMBER(_xlpm.p)),
      _xlpm.r-_xlpm.p,
      ""
   )
)
)</f>
        <v>470.26</v>
      </c>
      <c r="L535" s="4">
        <f>_xlfn.LET(
_xlpm.p,RawData!L535,
_xlpm.r,RawData!J535,
_xlpm.c,RawData!K535,
IF(ISNUMBER(_xlpm.p),_xlpm.p,
IF(AND(ISNUMBER(_xlpm.r),ISNUMBER(_xlpm.c)),
_xlpm.r-_xlpm.c,
""
)
))</f>
        <v>340.78</v>
      </c>
    </row>
    <row r="536" spans="1:14" x14ac:dyDescent="0.35">
      <c r="A536" t="s">
        <v>578</v>
      </c>
      <c r="B536" s="7">
        <v>45953</v>
      </c>
      <c r="C536" t="str">
        <f>IF(RawData!C536="","Unknown",PROPER(TRIM(CLEAN(SUBSTITUTE(RawData!C536,CHAR(160)," ")))))</f>
        <v>North</v>
      </c>
      <c r="D536" t="str">
        <f>IF(RawData!D536="","Unknown",PROPER(TRIM(CLEAN(SUBSTITUTE(RawData!D536,CHAR(160)," ")))))</f>
        <v>Jaipur</v>
      </c>
      <c r="E536" t="str">
        <f>IF(RawData!E536="","Unknown",PROPER(TRIM(CLEAN(SUBSTITUTE(RawData!E536,CHAR(160)," ")))))</f>
        <v>Notebook</v>
      </c>
      <c r="F536" t="str">
        <f>IF(RawData!F536="","Unknown",PROPER(TRIM(CLEAN(SUBSTITUTE(RawData!F536,CHAR(160)," ")))))</f>
        <v>Office Supplies</v>
      </c>
      <c r="G536">
        <f>_xlfn.LET(
_xlpm.q,RawData!G536,
_xlpm.u,RawData!H536,
_xlpm.d,RawData!I536,
_xlpm.r,RawData!J536,
IF(AND(ISNUMBER(_xlpm.q),_xlpm.q&gt;0),_xlpm.q,
   IF(AND(ISNUMBER(_xlpm.r),ISNUMBER(_xlpm.u),_xlpm.u&gt;0,ISNUMBER(_xlpm.d),_xlpm.d&gt;=0,_xlpm.d&lt;1),
      ROUND(_xlpm.r/(_xlpm.u*(1-_xlpm.d)),0),
      ""
   )
)
)</f>
        <v>3</v>
      </c>
      <c r="H536" s="4">
        <f>_xlfn.LET(
_xlpm.q,RawData!G536,
_xlpm.u,RawData!H536,
_xlpm.d,RawData!I536,
_xlpm.r,RawData!J536,
IF(AND(ISNUMBER(_xlpm.u),_xlpm.u&gt;0),_xlpm.u,
   IF(AND(ISNUMBER(_xlpm.q),_xlpm.q&gt;0,ISNUMBER(_xlpm.r),ISNUMBER(_xlpm.d),_xlpm.d&gt;=0,_xlpm.d&lt;1),
      _xlpm.r/(_xlpm.q*(1-_xlpm.d)),
      ""
   )
)
)</f>
        <v>7.65</v>
      </c>
      <c r="I536" s="5">
        <f>_xlfn.LET(
_xlpm.q,RawData!G536,
_xlpm.u,RawData!H536,
_xlpm.d,RawData!I536,
_xlpm.r,RawData!J536,
IF(AND(ISNUMBER(_xlpm.d),_xlpm.d&gt;=0,_xlpm.d&lt;1),_xlpm.d,
   IF(AND(ISNUMBER(_xlpm.q),_xlpm.q&gt;0,ISNUMBER(_xlpm.u),_xlpm.u&gt;0,ISNUMBER(_xlpm.r),_xlpm.r&gt;=0),
      1-(_xlpm.r/(_xlpm.q*_xlpm.u)),
      ""
   )
)
)</f>
        <v>0.05</v>
      </c>
      <c r="J536" s="4">
        <f>_xlfn.LET(
_xlpm.q,RawData!G536,
_xlpm.u,RawData!H536,
_xlpm.d,RawData!I536,
_xlpm.r,RawData!J536,
IF(AND(ISNUMBER(_xlpm.r),_xlpm.r&gt;=0),_xlpm.r,
   IF(AND(ISNUMBER(_xlpm.q),_xlpm.q&gt;0,ISNUMBER(_xlpm.u),_xlpm.u&gt;0,ISNUMBER(_xlpm.d),_xlpm.d&gt;=0,_xlpm.d&lt;1),
      _xlpm.q*_xlpm.u*(1-_xlpm.d),
      ""
   )
)
)</f>
        <v>21.8</v>
      </c>
      <c r="K536" s="4">
        <f>_xlfn.LET(
_xlpm.c,RawData!K536,
_xlpm.r,RawData!J536,
_xlpm.p,RawData!L536,
IF(AND(ISNUMBER(_xlpm.c),_xlpm.c&gt;=0),_xlpm.c,
   IF(AND(ISNUMBER(_xlpm.r),ISNUMBER(_xlpm.p)),
      _xlpm.r-_xlpm.p,
      ""
   )
)
)</f>
        <v>13.68</v>
      </c>
      <c r="L536" s="4">
        <f>_xlfn.LET(
_xlpm.p,RawData!L536,
_xlpm.r,RawData!J536,
_xlpm.c,RawData!K536,
IF(ISNUMBER(_xlpm.p),_xlpm.p,
IF(AND(ISNUMBER(_xlpm.r),ISNUMBER(_xlpm.c)),
_xlpm.r-_xlpm.c,
""
)
))</f>
        <v>8.1199999999999992</v>
      </c>
      <c r="N536">
        <f>COUNTBLANK(H2:H601)</f>
        <v>0</v>
      </c>
    </row>
    <row r="537" spans="1:14" x14ac:dyDescent="0.35">
      <c r="A537" t="s">
        <v>579</v>
      </c>
      <c r="B537" s="7">
        <v>45758</v>
      </c>
      <c r="C537" t="str">
        <f>IF(RawData!C537="","Unknown",PROPER(TRIM(CLEAN(SUBSTITUTE(RawData!C537,CHAR(160)," ")))))</f>
        <v>West</v>
      </c>
      <c r="D537" t="str">
        <f>IF(RawData!D537="","Unknown",PROPER(TRIM(CLEAN(SUBSTITUTE(RawData!D537,CHAR(160)," ")))))</f>
        <v>Pune</v>
      </c>
      <c r="E537" t="str">
        <f>IF(RawData!E537="","Unknown",PROPER(TRIM(CLEAN(SUBSTITUTE(RawData!E537,CHAR(160)," ")))))</f>
        <v>Smartphone</v>
      </c>
      <c r="F537" t="str">
        <f>IF(RawData!F537="","Unknown",PROPER(TRIM(CLEAN(SUBSTITUTE(RawData!F537,CHAR(160)," ")))))</f>
        <v>Electronics</v>
      </c>
      <c r="G537">
        <f>_xlfn.LET(
_xlpm.q,RawData!G537,
_xlpm.u,RawData!H537,
_xlpm.d,RawData!I537,
_xlpm.r,RawData!J537,
IF(AND(ISNUMBER(_xlpm.q),_xlpm.q&gt;0),_xlpm.q,
   IF(AND(ISNUMBER(_xlpm.r),ISNUMBER(_xlpm.u),_xlpm.u&gt;0,ISNUMBER(_xlpm.d),_xlpm.d&gt;=0,_xlpm.d&lt;1),
      ROUND(_xlpm.r/(_xlpm.u*(1-_xlpm.d)),0),
      ""
   )
)
)</f>
        <v>5</v>
      </c>
      <c r="H537" s="4">
        <f>_xlfn.LET(
_xlpm.q,RawData!G537,
_xlpm.u,RawData!H537,
_xlpm.d,RawData!I537,
_xlpm.r,RawData!J537,
IF(AND(ISNUMBER(_xlpm.u),_xlpm.u&gt;0),_xlpm.u,
   IF(AND(ISNUMBER(_xlpm.q),_xlpm.q&gt;0,ISNUMBER(_xlpm.r),ISNUMBER(_xlpm.d),_xlpm.d&gt;=0,_xlpm.d&lt;1),
      _xlpm.r/(_xlpm.q*(1-_xlpm.d)),
      ""
   )
)
)</f>
        <v>516.39</v>
      </c>
      <c r="I537" s="5">
        <f>_xlfn.LET(
_xlpm.q,RawData!G537,
_xlpm.u,RawData!H537,
_xlpm.d,RawData!I537,
_xlpm.r,RawData!J537,
IF(AND(ISNUMBER(_xlpm.d),_xlpm.d&gt;=0,_xlpm.d&lt;1),_xlpm.d,
   IF(AND(ISNUMBER(_xlpm.q),_xlpm.q&gt;0,ISNUMBER(_xlpm.u),_xlpm.u&gt;0,ISNUMBER(_xlpm.r),_xlpm.r&gt;=0),
      1-(_xlpm.r/(_xlpm.q*_xlpm.u)),
      ""
   )
)
)</f>
        <v>0.2</v>
      </c>
      <c r="J537" s="4">
        <f>_xlfn.LET(
_xlpm.q,RawData!G537,
_xlpm.u,RawData!H537,
_xlpm.d,RawData!I537,
_xlpm.r,RawData!J537,
IF(AND(ISNUMBER(_xlpm.r),_xlpm.r&gt;=0),_xlpm.r,
   IF(AND(ISNUMBER(_xlpm.q),_xlpm.q&gt;0,ISNUMBER(_xlpm.u),_xlpm.u&gt;0,ISNUMBER(_xlpm.d),_xlpm.d&gt;=0,_xlpm.d&lt;1),
      _xlpm.q*_xlpm.u*(1-_xlpm.d),
      ""
   )
)
)</f>
        <v>2065.56</v>
      </c>
      <c r="K537" s="4">
        <f>_xlfn.LET(
_xlpm.c,RawData!K537,
_xlpm.r,RawData!J537,
_xlpm.p,RawData!L537,
IF(AND(ISNUMBER(_xlpm.c),_xlpm.c&gt;=0),_xlpm.c,
   IF(AND(ISNUMBER(_xlpm.r),ISNUMBER(_xlpm.p)),
      _xlpm.r-_xlpm.p,
      ""
   )
)
)</f>
        <v>1266.3399999999999</v>
      </c>
      <c r="L537" s="4">
        <f>_xlfn.LET(
_xlpm.p,RawData!L537,
_xlpm.r,RawData!J537,
_xlpm.c,RawData!K537,
IF(ISNUMBER(_xlpm.p),_xlpm.p,
IF(AND(ISNUMBER(_xlpm.r),ISNUMBER(_xlpm.c)),
_xlpm.r-_xlpm.c,
""
)
))</f>
        <v>799.22</v>
      </c>
    </row>
    <row r="538" spans="1:14" x14ac:dyDescent="0.35">
      <c r="A538" t="s">
        <v>580</v>
      </c>
      <c r="B538" s="7">
        <v>45928</v>
      </c>
      <c r="C538" t="str">
        <f>IF(RawData!C538="","Unknown",PROPER(TRIM(CLEAN(SUBSTITUTE(RawData!C538,CHAR(160)," ")))))</f>
        <v>East</v>
      </c>
      <c r="D538" t="str">
        <f>IF(RawData!D538="","Unknown",PROPER(TRIM(CLEAN(SUBSTITUTE(RawData!D538,CHAR(160)," ")))))</f>
        <v>Bhubaneswar</v>
      </c>
      <c r="E538" t="str">
        <f>IF(RawData!E538="","Unknown",PROPER(TRIM(CLEAN(SUBSTITUTE(RawData!E538,CHAR(160)," ")))))</f>
        <v>Pen Set</v>
      </c>
      <c r="F538" t="str">
        <f>IF(RawData!F538="","Unknown",PROPER(TRIM(CLEAN(SUBSTITUTE(RawData!F538,CHAR(160)," ")))))</f>
        <v>Office Supplies</v>
      </c>
      <c r="G538">
        <f>_xlfn.LET(
_xlpm.q,RawData!G538,
_xlpm.u,RawData!H538,
_xlpm.d,RawData!I538,
_xlpm.r,RawData!J538,
IF(AND(ISNUMBER(_xlpm.q),_xlpm.q&gt;0),_xlpm.q,
   IF(AND(ISNUMBER(_xlpm.r),ISNUMBER(_xlpm.u),_xlpm.u&gt;0,ISNUMBER(_xlpm.d),_xlpm.d&gt;=0,_xlpm.d&lt;1),
      ROUND(_xlpm.r/(_xlpm.u*(1-_xlpm.d)),0),
      ""
   )
)
)</f>
        <v>7</v>
      </c>
      <c r="H538" s="4">
        <f>_xlfn.LET(
_xlpm.q,RawData!G538,
_xlpm.u,RawData!H538,
_xlpm.d,RawData!I538,
_xlpm.r,RawData!J538,
IF(AND(ISNUMBER(_xlpm.u),_xlpm.u&gt;0),_xlpm.u,
   IF(AND(ISNUMBER(_xlpm.q),_xlpm.q&gt;0,ISNUMBER(_xlpm.r),ISNUMBER(_xlpm.d),_xlpm.d&gt;=0,_xlpm.d&lt;1),
      _xlpm.r/(_xlpm.q*(1-_xlpm.d)),
      ""
   )
)
)</f>
        <v>10.35</v>
      </c>
      <c r="I538" s="5">
        <f>_xlfn.LET(
_xlpm.q,RawData!G538,
_xlpm.u,RawData!H538,
_xlpm.d,RawData!I538,
_xlpm.r,RawData!J538,
IF(AND(ISNUMBER(_xlpm.d),_xlpm.d&gt;=0,_xlpm.d&lt;1),_xlpm.d,
   IF(AND(ISNUMBER(_xlpm.q),_xlpm.q&gt;0,ISNUMBER(_xlpm.u),_xlpm.u&gt;0,ISNUMBER(_xlpm.r),_xlpm.r&gt;=0),
      1-(_xlpm.r/(_xlpm.q*_xlpm.u)),
      ""
   )
)
)</f>
        <v>0.15</v>
      </c>
      <c r="J538" s="4">
        <f>_xlfn.LET(
_xlpm.q,RawData!G538,
_xlpm.u,RawData!H538,
_xlpm.d,RawData!I538,
_xlpm.r,RawData!J538,
IF(AND(ISNUMBER(_xlpm.r),_xlpm.r&gt;=0),_xlpm.r,
   IF(AND(ISNUMBER(_xlpm.q),_xlpm.q&gt;0,ISNUMBER(_xlpm.u),_xlpm.u&gt;0,ISNUMBER(_xlpm.d),_xlpm.d&gt;=0,_xlpm.d&lt;1),
      _xlpm.q*_xlpm.u*(1-_xlpm.d),
      ""
   )
)
)</f>
        <v>61.58</v>
      </c>
      <c r="K538" s="4">
        <f>_xlfn.LET(
_xlpm.c,RawData!K538,
_xlpm.r,RawData!J538,
_xlpm.p,RawData!L538,
IF(AND(ISNUMBER(_xlpm.c),_xlpm.c&gt;=0),_xlpm.c,
   IF(AND(ISNUMBER(_xlpm.r),ISNUMBER(_xlpm.p)),
      _xlpm.r-_xlpm.p,
      ""
   )
)
)</f>
        <v>34.17</v>
      </c>
      <c r="L538" s="4">
        <f>_xlfn.LET(
_xlpm.p,RawData!L538,
_xlpm.r,RawData!J538,
_xlpm.c,RawData!K538,
IF(ISNUMBER(_xlpm.p),_xlpm.p,
IF(AND(ISNUMBER(_xlpm.r),ISNUMBER(_xlpm.c)),
_xlpm.r-_xlpm.c,
""
)
))</f>
        <v>27.41</v>
      </c>
    </row>
    <row r="539" spans="1:14" x14ac:dyDescent="0.35">
      <c r="A539" t="s">
        <v>581</v>
      </c>
      <c r="B539" s="7">
        <v>45958</v>
      </c>
      <c r="C539" t="str">
        <f>IF(RawData!C539="","Unknown",PROPER(TRIM(CLEAN(SUBSTITUTE(RawData!C539,CHAR(160)," ")))))</f>
        <v>North</v>
      </c>
      <c r="D539" t="str">
        <f>IF(RawData!D539="","Unknown",PROPER(TRIM(CLEAN(SUBSTITUTE(RawData!D539,CHAR(160)," ")))))</f>
        <v>Lucknow</v>
      </c>
      <c r="E539" t="str">
        <f>IF(RawData!E539="","Unknown",PROPER(TRIM(CLEAN(SUBSTITUTE(RawData!E539,CHAR(160)," ")))))</f>
        <v>Desk</v>
      </c>
      <c r="F539" t="str">
        <f>IF(RawData!F539="","Unknown",PROPER(TRIM(CLEAN(SUBSTITUTE(RawData!F539,CHAR(160)," ")))))</f>
        <v>Furniture</v>
      </c>
      <c r="G539">
        <f>_xlfn.LET(
_xlpm.q,RawData!G539,
_xlpm.u,RawData!H539,
_xlpm.d,RawData!I539,
_xlpm.r,RawData!J539,
IF(AND(ISNUMBER(_xlpm.q),_xlpm.q&gt;0),_xlpm.q,
   IF(AND(ISNUMBER(_xlpm.r),ISNUMBER(_xlpm.u),_xlpm.u&gt;0,ISNUMBER(_xlpm.d),_xlpm.d&gt;=0,_xlpm.d&lt;1),
      ROUND(_xlpm.r/(_xlpm.u*(1-_xlpm.d)),0),
      ""
   )
)
)</f>
        <v>6</v>
      </c>
      <c r="H539" s="4">
        <f>_xlfn.LET(
_xlpm.q,RawData!G539,
_xlpm.u,RawData!H539,
_xlpm.d,RawData!I539,
_xlpm.r,RawData!J539,
IF(AND(ISNUMBER(_xlpm.u),_xlpm.u&gt;0),_xlpm.u,
   IF(AND(ISNUMBER(_xlpm.q),_xlpm.q&gt;0,ISNUMBER(_xlpm.r),ISNUMBER(_xlpm.d),_xlpm.d&gt;=0,_xlpm.d&lt;1),
      _xlpm.r/(_xlpm.q*(1-_xlpm.d)),
      ""
   )
)
)</f>
        <v>286.58</v>
      </c>
      <c r="I539" s="5">
        <f>_xlfn.LET(
_xlpm.q,RawData!G539,
_xlpm.u,RawData!H539,
_xlpm.d,RawData!I539,
_xlpm.r,RawData!J539,
IF(AND(ISNUMBER(_xlpm.d),_xlpm.d&gt;=0,_xlpm.d&lt;1),_xlpm.d,
   IF(AND(ISNUMBER(_xlpm.q),_xlpm.q&gt;0,ISNUMBER(_xlpm.u),_xlpm.u&gt;0,ISNUMBER(_xlpm.r),_xlpm.r&gt;=0),
      1-(_xlpm.r/(_xlpm.q*_xlpm.u)),
      ""
   )
)
)</f>
        <v>0.1</v>
      </c>
      <c r="J539" s="4">
        <f>_xlfn.LET(
_xlpm.q,RawData!G539,
_xlpm.u,RawData!H539,
_xlpm.d,RawData!I539,
_xlpm.r,RawData!J539,
IF(AND(ISNUMBER(_xlpm.r),_xlpm.r&gt;=0),_xlpm.r,
   IF(AND(ISNUMBER(_xlpm.q),_xlpm.q&gt;0,ISNUMBER(_xlpm.u),_xlpm.u&gt;0,ISNUMBER(_xlpm.d),_xlpm.d&gt;=0,_xlpm.d&lt;1),
      _xlpm.q*_xlpm.u*(1-_xlpm.d),
      ""
   )
)
)</f>
        <v>1547.53</v>
      </c>
      <c r="K539" s="4">
        <f>_xlfn.LET(
_xlpm.c,RawData!K539,
_xlpm.r,RawData!J539,
_xlpm.p,RawData!L539,
IF(AND(ISNUMBER(_xlpm.c),_xlpm.c&gt;=0),_xlpm.c,
   IF(AND(ISNUMBER(_xlpm.r),ISNUMBER(_xlpm.p)),
      _xlpm.r-_xlpm.p,
      ""
   )
)
)</f>
        <v>1029.8800000000001</v>
      </c>
      <c r="L539" s="4">
        <f>_xlfn.LET(
_xlpm.p,RawData!L539,
_xlpm.r,RawData!J539,
_xlpm.c,RawData!K539,
IF(ISNUMBER(_xlpm.p),_xlpm.p,
IF(AND(ISNUMBER(_xlpm.r),ISNUMBER(_xlpm.c)),
_xlpm.r-_xlpm.c,
""
)
))</f>
        <v>517.65</v>
      </c>
    </row>
    <row r="540" spans="1:14" x14ac:dyDescent="0.35">
      <c r="A540" t="s">
        <v>582</v>
      </c>
      <c r="B540" s="7">
        <v>45746</v>
      </c>
      <c r="C540" t="str">
        <f>IF(RawData!C540="","Unknown",PROPER(TRIM(CLEAN(SUBSTITUTE(RawData!C540,CHAR(160)," ")))))</f>
        <v>East</v>
      </c>
      <c r="D540" t="str">
        <f>IF(RawData!D540="","Unknown",PROPER(TRIM(CLEAN(SUBSTITUTE(RawData!D540,CHAR(160)," ")))))</f>
        <v>Patna</v>
      </c>
      <c r="E540" t="str">
        <f>IF(RawData!E540="","Unknown",PROPER(TRIM(CLEAN(SUBSTITUTE(RawData!E540,CHAR(160)," ")))))</f>
        <v>Pen Set</v>
      </c>
      <c r="F540" t="str">
        <f>IF(RawData!F540="","Unknown",PROPER(TRIM(CLEAN(SUBSTITUTE(RawData!F540,CHAR(160)," ")))))</f>
        <v>Office Supplies</v>
      </c>
      <c r="G540">
        <f>_xlfn.LET(
_xlpm.q,RawData!G540,
_xlpm.u,RawData!H540,
_xlpm.d,RawData!I540,
_xlpm.r,RawData!J540,
IF(AND(ISNUMBER(_xlpm.q),_xlpm.q&gt;0),_xlpm.q,
   IF(AND(ISNUMBER(_xlpm.r),ISNUMBER(_xlpm.u),_xlpm.u&gt;0,ISNUMBER(_xlpm.d),_xlpm.d&gt;=0,_xlpm.d&lt;1),
      ROUND(_xlpm.r/(_xlpm.u*(1-_xlpm.d)),0),
      ""
   )
)
)</f>
        <v>10</v>
      </c>
      <c r="H540" s="4">
        <f>_xlfn.LET(
_xlpm.q,RawData!G540,
_xlpm.u,RawData!H540,
_xlpm.d,RawData!I540,
_xlpm.r,RawData!J540,
IF(AND(ISNUMBER(_xlpm.u),_xlpm.u&gt;0),_xlpm.u,
   IF(AND(ISNUMBER(_xlpm.q),_xlpm.q&gt;0,ISNUMBER(_xlpm.r),ISNUMBER(_xlpm.d),_xlpm.d&gt;=0,_xlpm.d&lt;1),
      _xlpm.r/(_xlpm.q*(1-_xlpm.d)),
      ""
   )
)
)</f>
        <v>11.58</v>
      </c>
      <c r="I540" s="5">
        <f>_xlfn.LET(
_xlpm.q,RawData!G540,
_xlpm.u,RawData!H540,
_xlpm.d,RawData!I540,
_xlpm.r,RawData!J540,
IF(AND(ISNUMBER(_xlpm.d),_xlpm.d&gt;=0,_xlpm.d&lt;1),_xlpm.d,
   IF(AND(ISNUMBER(_xlpm.q),_xlpm.q&gt;0,ISNUMBER(_xlpm.u),_xlpm.u&gt;0,ISNUMBER(_xlpm.r),_xlpm.r&gt;=0),
      1-(_xlpm.r/(_xlpm.q*_xlpm.u)),
      ""
   )
)
)</f>
        <v>0</v>
      </c>
      <c r="J540" s="4">
        <f>_xlfn.LET(
_xlpm.q,RawData!G540,
_xlpm.u,RawData!H540,
_xlpm.d,RawData!I540,
_xlpm.r,RawData!J540,
IF(AND(ISNUMBER(_xlpm.r),_xlpm.r&gt;=0),_xlpm.r,
   IF(AND(ISNUMBER(_xlpm.q),_xlpm.q&gt;0,ISNUMBER(_xlpm.u),_xlpm.u&gt;0,ISNUMBER(_xlpm.d),_xlpm.d&gt;=0,_xlpm.d&lt;1),
      _xlpm.q*_xlpm.u*(1-_xlpm.d),
      ""
   )
)
)</f>
        <v>115.8</v>
      </c>
      <c r="K540" s="4">
        <f>_xlfn.LET(
_xlpm.c,RawData!K540,
_xlpm.r,RawData!J540,
_xlpm.p,RawData!L540,
IF(AND(ISNUMBER(_xlpm.c),_xlpm.c&gt;=0),_xlpm.c,
   IF(AND(ISNUMBER(_xlpm.r),ISNUMBER(_xlpm.p)),
      _xlpm.r-_xlpm.p,
      ""
   )
)
)</f>
        <v>84.94</v>
      </c>
      <c r="L540" s="4">
        <f>_xlfn.LET(
_xlpm.p,RawData!L540,
_xlpm.r,RawData!J540,
_xlpm.c,RawData!K540,
IF(ISNUMBER(_xlpm.p),_xlpm.p,
IF(AND(ISNUMBER(_xlpm.r),ISNUMBER(_xlpm.c)),
_xlpm.r-_xlpm.c,
""
)
))</f>
        <v>30.86</v>
      </c>
    </row>
    <row r="541" spans="1:14" x14ac:dyDescent="0.35">
      <c r="A541" t="s">
        <v>583</v>
      </c>
      <c r="B541" s="7">
        <v>45726</v>
      </c>
      <c r="C541" t="str">
        <f>IF(RawData!C541="","Unknown",PROPER(TRIM(CLEAN(SUBSTITUTE(RawData!C541,CHAR(160)," ")))))</f>
        <v>East</v>
      </c>
      <c r="D541" t="str">
        <f>IF(RawData!D541="","Unknown",PROPER(TRIM(CLEAN(SUBSTITUTE(RawData!D541,CHAR(160)," ")))))</f>
        <v>Kolkata</v>
      </c>
      <c r="E541" t="str">
        <f>IF(RawData!E541="","Unknown",PROPER(TRIM(CLEAN(SUBSTITUTE(RawData!E541,CHAR(160)," ")))))</f>
        <v>Smartphone</v>
      </c>
      <c r="F541" t="str">
        <f>IF(RawData!F541="","Unknown",PROPER(TRIM(CLEAN(SUBSTITUTE(RawData!F541,CHAR(160)," ")))))</f>
        <v>Electronics</v>
      </c>
      <c r="G541">
        <f>_xlfn.LET(
_xlpm.q,RawData!G541,
_xlpm.u,RawData!H541,
_xlpm.d,RawData!I541,
_xlpm.r,RawData!J541,
IF(AND(ISNUMBER(_xlpm.q),_xlpm.q&gt;0),_xlpm.q,
   IF(AND(ISNUMBER(_xlpm.r),ISNUMBER(_xlpm.u),_xlpm.u&gt;0,ISNUMBER(_xlpm.d),_xlpm.d&gt;=0,_xlpm.d&lt;1),
      ROUND(_xlpm.r/(_xlpm.u*(1-_xlpm.d)),0),
      ""
   )
)
)</f>
        <v>4</v>
      </c>
      <c r="H541" s="4">
        <f>_xlfn.LET(
_xlpm.q,RawData!G541,
_xlpm.u,RawData!H541,
_xlpm.d,RawData!I541,
_xlpm.r,RawData!J541,
IF(AND(ISNUMBER(_xlpm.u),_xlpm.u&gt;0),_xlpm.u,
   IF(AND(ISNUMBER(_xlpm.q),_xlpm.q&gt;0,ISNUMBER(_xlpm.r),ISNUMBER(_xlpm.d),_xlpm.d&gt;=0,_xlpm.d&lt;1),
      _xlpm.r/(_xlpm.q*(1-_xlpm.d)),
      ""
   )
)
)</f>
        <v>503.51</v>
      </c>
      <c r="I541" s="5">
        <f>_xlfn.LET(
_xlpm.q,RawData!G541,
_xlpm.u,RawData!H541,
_xlpm.d,RawData!I541,
_xlpm.r,RawData!J541,
IF(AND(ISNUMBER(_xlpm.d),_xlpm.d&gt;=0,_xlpm.d&lt;1),_xlpm.d,
   IF(AND(ISNUMBER(_xlpm.q),_xlpm.q&gt;0,ISNUMBER(_xlpm.u),_xlpm.u&gt;0,ISNUMBER(_xlpm.r),_xlpm.r&gt;=0),
      1-(_xlpm.r/(_xlpm.q*_xlpm.u)),
      ""
   )
)
)</f>
        <v>0.05</v>
      </c>
      <c r="J541" s="4">
        <f>_xlfn.LET(
_xlpm.q,RawData!G541,
_xlpm.u,RawData!H541,
_xlpm.d,RawData!I541,
_xlpm.r,RawData!J541,
IF(AND(ISNUMBER(_xlpm.r),_xlpm.r&gt;=0),_xlpm.r,
   IF(AND(ISNUMBER(_xlpm.q),_xlpm.q&gt;0,ISNUMBER(_xlpm.u),_xlpm.u&gt;0,ISNUMBER(_xlpm.d),_xlpm.d&gt;=0,_xlpm.d&lt;1),
      _xlpm.q*_xlpm.u*(1-_xlpm.d),
      ""
   )
)
)</f>
        <v>1913.34</v>
      </c>
      <c r="K541" s="4">
        <f>_xlfn.LET(
_xlpm.c,RawData!K541,
_xlpm.r,RawData!J541,
_xlpm.p,RawData!L541,
IF(AND(ISNUMBER(_xlpm.c),_xlpm.c&gt;=0),_xlpm.c,
   IF(AND(ISNUMBER(_xlpm.r),ISNUMBER(_xlpm.p)),
      _xlpm.r-_xlpm.p,
      ""
   )
)
)</f>
        <v>1543.09</v>
      </c>
      <c r="L541" s="4">
        <f>_xlfn.LET(
_xlpm.p,RawData!L541,
_xlpm.r,RawData!J541,
_xlpm.c,RawData!K541,
IF(ISNUMBER(_xlpm.p),_xlpm.p,
IF(AND(ISNUMBER(_xlpm.r),ISNUMBER(_xlpm.c)),
_xlpm.r-_xlpm.c,
""
)
))</f>
        <v>370.25</v>
      </c>
    </row>
    <row r="542" spans="1:14" x14ac:dyDescent="0.35">
      <c r="A542" t="s">
        <v>584</v>
      </c>
      <c r="B542" s="7">
        <v>45751</v>
      </c>
      <c r="C542" t="str">
        <f>IF(RawData!C542="","Unknown",PROPER(TRIM(CLEAN(SUBSTITUTE(RawData!C542,CHAR(160)," ")))))</f>
        <v>East</v>
      </c>
      <c r="D542" t="str">
        <f>IF(RawData!D542="","Unknown",PROPER(TRIM(CLEAN(SUBSTITUTE(RawData!D542,CHAR(160)," ")))))</f>
        <v>Bhubaneswar</v>
      </c>
      <c r="E542" t="str">
        <f>IF(RawData!E542="","Unknown",PROPER(TRIM(CLEAN(SUBSTITUTE(RawData!E542,CHAR(160)," ")))))</f>
        <v>Keyboard</v>
      </c>
      <c r="F542" t="str">
        <f>IF(RawData!F542="","Unknown",PROPER(TRIM(CLEAN(SUBSTITUTE(RawData!F542,CHAR(160)," ")))))</f>
        <v>Accessories</v>
      </c>
      <c r="G542">
        <f>_xlfn.LET(
_xlpm.q,RawData!G542,
_xlpm.u,RawData!H542,
_xlpm.d,RawData!I542,
_xlpm.r,RawData!J542,
IF(AND(ISNUMBER(_xlpm.q),_xlpm.q&gt;0),_xlpm.q,
   IF(AND(ISNUMBER(_xlpm.r),ISNUMBER(_xlpm.u),_xlpm.u&gt;0,ISNUMBER(_xlpm.d),_xlpm.d&gt;=0,_xlpm.d&lt;1),
      ROUND(_xlpm.r/(_xlpm.u*(1-_xlpm.d)),0),
      ""
   )
)
)</f>
        <v>3</v>
      </c>
      <c r="H542" s="4">
        <f>_xlfn.LET(
_xlpm.q,RawData!G542,
_xlpm.u,RawData!H542,
_xlpm.d,RawData!I542,
_xlpm.r,RawData!J542,
IF(AND(ISNUMBER(_xlpm.u),_xlpm.u&gt;0),_xlpm.u,
   IF(AND(ISNUMBER(_xlpm.q),_xlpm.q&gt;0,ISNUMBER(_xlpm.r),ISNUMBER(_xlpm.d),_xlpm.d&gt;=0,_xlpm.d&lt;1),
      _xlpm.r/(_xlpm.q*(1-_xlpm.d)),
      ""
   )
)
)</f>
        <v>38.01</v>
      </c>
      <c r="I542" s="5">
        <f>_xlfn.LET(
_xlpm.q,RawData!G542,
_xlpm.u,RawData!H542,
_xlpm.d,RawData!I542,
_xlpm.r,RawData!J542,
IF(AND(ISNUMBER(_xlpm.d),_xlpm.d&gt;=0,_xlpm.d&lt;1),_xlpm.d,
   IF(AND(ISNUMBER(_xlpm.q),_xlpm.q&gt;0,ISNUMBER(_xlpm.u),_xlpm.u&gt;0,ISNUMBER(_xlpm.r),_xlpm.r&gt;=0),
      1-(_xlpm.r/(_xlpm.q*_xlpm.u)),
      ""
   )
)
)</f>
        <v>0.15</v>
      </c>
      <c r="J542" s="4">
        <f>_xlfn.LET(
_xlpm.q,RawData!G542,
_xlpm.u,RawData!H542,
_xlpm.d,RawData!I542,
_xlpm.r,RawData!J542,
IF(AND(ISNUMBER(_xlpm.r),_xlpm.r&gt;=0),_xlpm.r,
   IF(AND(ISNUMBER(_xlpm.q),_xlpm.q&gt;0,ISNUMBER(_xlpm.u),_xlpm.u&gt;0,ISNUMBER(_xlpm.d),_xlpm.d&gt;=0,_xlpm.d&lt;1),
      _xlpm.q*_xlpm.u*(1-_xlpm.d),
      ""
   )
)
)</f>
        <v>96.93</v>
      </c>
      <c r="K542" s="4">
        <f>_xlfn.LET(
_xlpm.c,RawData!K542,
_xlpm.r,RawData!J542,
_xlpm.p,RawData!L542,
IF(AND(ISNUMBER(_xlpm.c),_xlpm.c&gt;=0),_xlpm.c,
   IF(AND(ISNUMBER(_xlpm.r),ISNUMBER(_xlpm.p)),
      _xlpm.r-_xlpm.p,
      ""
   )
)
)</f>
        <v>55.65</v>
      </c>
      <c r="L542" s="4">
        <f>_xlfn.LET(
_xlpm.p,RawData!L542,
_xlpm.r,RawData!J542,
_xlpm.c,RawData!K542,
IF(ISNUMBER(_xlpm.p),_xlpm.p,
IF(AND(ISNUMBER(_xlpm.r),ISNUMBER(_xlpm.c)),
_xlpm.r-_xlpm.c,
""
)
))</f>
        <v>41.28</v>
      </c>
    </row>
    <row r="543" spans="1:14" x14ac:dyDescent="0.35">
      <c r="A543" t="s">
        <v>585</v>
      </c>
      <c r="B543" s="7">
        <v>45872</v>
      </c>
      <c r="C543" t="str">
        <f>IF(RawData!C543="","Unknown",PROPER(TRIM(CLEAN(SUBSTITUTE(RawData!C543,CHAR(160)," ")))))</f>
        <v>South</v>
      </c>
      <c r="D543" t="str">
        <f>IF(RawData!D543="","Unknown",PROPER(TRIM(CLEAN(SUBSTITUTE(RawData!D543,CHAR(160)," ")))))</f>
        <v>Hyderabad</v>
      </c>
      <c r="E543" t="str">
        <f>IF(RawData!E543="","Unknown",PROPER(TRIM(CLEAN(SUBSTITUTE(RawData!E543,CHAR(160)," ")))))</f>
        <v>Pen Set</v>
      </c>
      <c r="F543" t="str">
        <f>IF(RawData!F543="","Unknown",PROPER(TRIM(CLEAN(SUBSTITUTE(RawData!F543,CHAR(160)," ")))))</f>
        <v>Office Supplies</v>
      </c>
      <c r="G543">
        <f>_xlfn.LET(
_xlpm.q,RawData!G543,
_xlpm.u,RawData!H543,
_xlpm.d,RawData!I543,
_xlpm.r,RawData!J543,
IF(AND(ISNUMBER(_xlpm.q),_xlpm.q&gt;0),_xlpm.q,
   IF(AND(ISNUMBER(_xlpm.r),ISNUMBER(_xlpm.u),_xlpm.u&gt;0,ISNUMBER(_xlpm.d),_xlpm.d&gt;=0,_xlpm.d&lt;1),
      ROUND(_xlpm.r/(_xlpm.u*(1-_xlpm.d)),0),
      ""
   )
)
)</f>
        <v>7</v>
      </c>
      <c r="H543" s="4">
        <f>_xlfn.LET(
_xlpm.q,RawData!G543,
_xlpm.u,RawData!H543,
_xlpm.d,RawData!I543,
_xlpm.r,RawData!J543,
IF(AND(ISNUMBER(_xlpm.u),_xlpm.u&gt;0),_xlpm.u,
   IF(AND(ISNUMBER(_xlpm.q),_xlpm.q&gt;0,ISNUMBER(_xlpm.r),ISNUMBER(_xlpm.d),_xlpm.d&gt;=0,_xlpm.d&lt;1),
      _xlpm.r/(_xlpm.q*(1-_xlpm.d)),
      ""
   )
)
)</f>
        <v>11.7</v>
      </c>
      <c r="I543" s="5">
        <f>_xlfn.LET(
_xlpm.q,RawData!G543,
_xlpm.u,RawData!H543,
_xlpm.d,RawData!I543,
_xlpm.r,RawData!J543,
IF(AND(ISNUMBER(_xlpm.d),_xlpm.d&gt;=0,_xlpm.d&lt;1),_xlpm.d,
   IF(AND(ISNUMBER(_xlpm.q),_xlpm.q&gt;0,ISNUMBER(_xlpm.u),_xlpm.u&gt;0,ISNUMBER(_xlpm.r),_xlpm.r&gt;=0),
      1-(_xlpm.r/(_xlpm.q*_xlpm.u)),
      ""
   )
)
)</f>
        <v>0.1</v>
      </c>
      <c r="J543" s="4">
        <f>_xlfn.LET(
_xlpm.q,RawData!G543,
_xlpm.u,RawData!H543,
_xlpm.d,RawData!I543,
_xlpm.r,RawData!J543,
IF(AND(ISNUMBER(_xlpm.r),_xlpm.r&gt;=0),_xlpm.r,
   IF(AND(ISNUMBER(_xlpm.q),_xlpm.q&gt;0,ISNUMBER(_xlpm.u),_xlpm.u&gt;0,ISNUMBER(_xlpm.d),_xlpm.d&gt;=0,_xlpm.d&lt;1),
      _xlpm.q*_xlpm.u*(1-_xlpm.d),
      ""
   )
)
)</f>
        <v>73.709999999999994</v>
      </c>
      <c r="K543" s="4">
        <f>_xlfn.LET(
_xlpm.c,RawData!K543,
_xlpm.r,RawData!J543,
_xlpm.p,RawData!L543,
IF(AND(ISNUMBER(_xlpm.c),_xlpm.c&gt;=0),_xlpm.c,
   IF(AND(ISNUMBER(_xlpm.r),ISNUMBER(_xlpm.p)),
      _xlpm.r-_xlpm.p,
      ""
   )
)
)</f>
        <v>58.04</v>
      </c>
      <c r="L543" s="4">
        <f>_xlfn.LET(
_xlpm.p,RawData!L543,
_xlpm.r,RawData!J543,
_xlpm.c,RawData!K543,
IF(ISNUMBER(_xlpm.p),_xlpm.p,
IF(AND(ISNUMBER(_xlpm.r),ISNUMBER(_xlpm.c)),
_xlpm.r-_xlpm.c,
""
)
))</f>
        <v>15.67</v>
      </c>
    </row>
    <row r="544" spans="1:14" x14ac:dyDescent="0.35">
      <c r="A544" t="s">
        <v>586</v>
      </c>
      <c r="B544" s="7">
        <v>45907</v>
      </c>
      <c r="C544" t="str">
        <f>IF(RawData!C544="","Unknown",PROPER(TRIM(CLEAN(SUBSTITUTE(RawData!C544,CHAR(160)," ")))))</f>
        <v>South</v>
      </c>
      <c r="D544" t="str">
        <f>IF(RawData!D544="","Unknown",PROPER(TRIM(CLEAN(SUBSTITUTE(RawData!D544,CHAR(160)," ")))))</f>
        <v>Chennai</v>
      </c>
      <c r="E544" t="str">
        <f>IF(RawData!E544="","Unknown",PROPER(TRIM(CLEAN(SUBSTITUTE(RawData!E544,CHAR(160)," ")))))</f>
        <v>Notebook</v>
      </c>
      <c r="F544" t="str">
        <f>IF(RawData!F544="","Unknown",PROPER(TRIM(CLEAN(SUBSTITUTE(RawData!F544,CHAR(160)," ")))))</f>
        <v>Office Supplies</v>
      </c>
      <c r="G544">
        <f>_xlfn.LET(
_xlpm.q,RawData!G544,
_xlpm.u,RawData!H544,
_xlpm.d,RawData!I544,
_xlpm.r,RawData!J544,
IF(AND(ISNUMBER(_xlpm.q),_xlpm.q&gt;0),_xlpm.q,
   IF(AND(ISNUMBER(_xlpm.r),ISNUMBER(_xlpm.u),_xlpm.u&gt;0,ISNUMBER(_xlpm.d),_xlpm.d&gt;=0,_xlpm.d&lt;1),
      ROUND(_xlpm.r/(_xlpm.u*(1-_xlpm.d)),0),
      ""
   )
)
)</f>
        <v>3</v>
      </c>
      <c r="H544" s="4">
        <f>_xlfn.LET(
_xlpm.q,RawData!G544,
_xlpm.u,RawData!H544,
_xlpm.d,RawData!I544,
_xlpm.r,RawData!J544,
IF(AND(ISNUMBER(_xlpm.u),_xlpm.u&gt;0),_xlpm.u,
   IF(AND(ISNUMBER(_xlpm.q),_xlpm.q&gt;0,ISNUMBER(_xlpm.r),ISNUMBER(_xlpm.d),_xlpm.d&gt;=0,_xlpm.d&lt;1),
      _xlpm.r/(_xlpm.q*(1-_xlpm.d)),
      ""
   )
)
)</f>
        <v>9.07</v>
      </c>
      <c r="I544" s="5">
        <f>_xlfn.LET(
_xlpm.q,RawData!G544,
_xlpm.u,RawData!H544,
_xlpm.d,RawData!I544,
_xlpm.r,RawData!J544,
IF(AND(ISNUMBER(_xlpm.d),_xlpm.d&gt;=0,_xlpm.d&lt;1),_xlpm.d,
   IF(AND(ISNUMBER(_xlpm.q),_xlpm.q&gt;0,ISNUMBER(_xlpm.u),_xlpm.u&gt;0,ISNUMBER(_xlpm.r),_xlpm.r&gt;=0),
      1-(_xlpm.r/(_xlpm.q*_xlpm.u)),
      ""
   )
)
)</f>
        <v>0.1</v>
      </c>
      <c r="J544" s="4">
        <f>_xlfn.LET(
_xlpm.q,RawData!G544,
_xlpm.u,RawData!H544,
_xlpm.d,RawData!I544,
_xlpm.r,RawData!J544,
IF(AND(ISNUMBER(_xlpm.r),_xlpm.r&gt;=0),_xlpm.r,
   IF(AND(ISNUMBER(_xlpm.q),_xlpm.q&gt;0,ISNUMBER(_xlpm.u),_xlpm.u&gt;0,ISNUMBER(_xlpm.d),_xlpm.d&gt;=0,_xlpm.d&lt;1),
      _xlpm.q*_xlpm.u*(1-_xlpm.d),
      ""
   )
)
)</f>
        <v>24.49</v>
      </c>
      <c r="K544" s="4">
        <f>_xlfn.LET(
_xlpm.c,RawData!K544,
_xlpm.r,RawData!J544,
_xlpm.p,RawData!L544,
IF(AND(ISNUMBER(_xlpm.c),_xlpm.c&gt;=0),_xlpm.c,
   IF(AND(ISNUMBER(_xlpm.r),ISNUMBER(_xlpm.p)),
      _xlpm.r-_xlpm.p,
      ""
   )
)
)</f>
        <v>16.559999999999999</v>
      </c>
      <c r="L544" s="4">
        <f>_xlfn.LET(
_xlpm.p,RawData!L544,
_xlpm.r,RawData!J544,
_xlpm.c,RawData!K544,
IF(ISNUMBER(_xlpm.p),_xlpm.p,
IF(AND(ISNUMBER(_xlpm.r),ISNUMBER(_xlpm.c)),
_xlpm.r-_xlpm.c,
""
)
))</f>
        <v>7.93</v>
      </c>
    </row>
    <row r="545" spans="1:12" x14ac:dyDescent="0.35">
      <c r="A545" t="s">
        <v>587</v>
      </c>
      <c r="B545" s="7">
        <v>45729</v>
      </c>
      <c r="C545" t="str">
        <f>IF(RawData!C545="","Unknown",PROPER(TRIM(CLEAN(SUBSTITUTE(RawData!C545,CHAR(160)," ")))))</f>
        <v>South</v>
      </c>
      <c r="D545" t="str">
        <f>IF(RawData!D545="","Unknown",PROPER(TRIM(CLEAN(SUBSTITUTE(RawData!D545,CHAR(160)," ")))))</f>
        <v>Hyderabad</v>
      </c>
      <c r="E545" t="str">
        <f>IF(RawData!E545="","Unknown",PROPER(TRIM(CLEAN(SUBSTITUTE(RawData!E545,CHAR(160)," ")))))</f>
        <v>Desk</v>
      </c>
      <c r="F545" t="str">
        <f>IF(RawData!F545="","Unknown",PROPER(TRIM(CLEAN(SUBSTITUTE(RawData!F545,CHAR(160)," ")))))</f>
        <v>Furniture</v>
      </c>
      <c r="G545">
        <f>_xlfn.LET(
_xlpm.q,RawData!G545,
_xlpm.u,RawData!H545,
_xlpm.d,RawData!I545,
_xlpm.r,RawData!J545,
IF(AND(ISNUMBER(_xlpm.q),_xlpm.q&gt;0),_xlpm.q,
   IF(AND(ISNUMBER(_xlpm.r),ISNUMBER(_xlpm.u),_xlpm.u&gt;0,ISNUMBER(_xlpm.d),_xlpm.d&gt;=0,_xlpm.d&lt;1),
      ROUND(_xlpm.r/(_xlpm.u*(1-_xlpm.d)),0),
      ""
   )
)
)</f>
        <v>8</v>
      </c>
      <c r="H545" s="4">
        <f>_xlfn.LET(
_xlpm.q,RawData!G545,
_xlpm.u,RawData!H545,
_xlpm.d,RawData!I545,
_xlpm.r,RawData!J545,
IF(AND(ISNUMBER(_xlpm.u),_xlpm.u&gt;0),_xlpm.u,
   IF(AND(ISNUMBER(_xlpm.q),_xlpm.q&gt;0,ISNUMBER(_xlpm.r),ISNUMBER(_xlpm.d),_xlpm.d&gt;=0,_xlpm.d&lt;1),
      _xlpm.r/(_xlpm.q*(1-_xlpm.d)),
      ""
   )
)
)</f>
        <v>258.51</v>
      </c>
      <c r="I545" s="5">
        <f>_xlfn.LET(
_xlpm.q,RawData!G545,
_xlpm.u,RawData!H545,
_xlpm.d,RawData!I545,
_xlpm.r,RawData!J545,
IF(AND(ISNUMBER(_xlpm.d),_xlpm.d&gt;=0,_xlpm.d&lt;1),_xlpm.d,
   IF(AND(ISNUMBER(_xlpm.q),_xlpm.q&gt;0,ISNUMBER(_xlpm.u),_xlpm.u&gt;0,ISNUMBER(_xlpm.r),_xlpm.r&gt;=0),
      1-(_xlpm.r/(_xlpm.q*_xlpm.u)),
      ""
   )
)
)</f>
        <v>0.15</v>
      </c>
      <c r="J545" s="4">
        <f>_xlfn.LET(
_xlpm.q,RawData!G545,
_xlpm.u,RawData!H545,
_xlpm.d,RawData!I545,
_xlpm.r,RawData!J545,
IF(AND(ISNUMBER(_xlpm.r),_xlpm.r&gt;=0),_xlpm.r,
   IF(AND(ISNUMBER(_xlpm.q),_xlpm.q&gt;0,ISNUMBER(_xlpm.u),_xlpm.u&gt;0,ISNUMBER(_xlpm.d),_xlpm.d&gt;=0,_xlpm.d&lt;1),
      _xlpm.q*_xlpm.u*(1-_xlpm.d),
      ""
   )
)
)</f>
        <v>1757.87</v>
      </c>
      <c r="K545" s="4">
        <f>_xlfn.LET(
_xlpm.c,RawData!K545,
_xlpm.r,RawData!J545,
_xlpm.p,RawData!L545,
IF(AND(ISNUMBER(_xlpm.c),_xlpm.c&gt;=0),_xlpm.c,
   IF(AND(ISNUMBER(_xlpm.r),ISNUMBER(_xlpm.p)),
      _xlpm.r-_xlpm.p,
      ""
   )
)
)</f>
        <v>1046.1099999999999</v>
      </c>
      <c r="L545" s="4">
        <f>_xlfn.LET(
_xlpm.p,RawData!L545,
_xlpm.r,RawData!J545,
_xlpm.c,RawData!K545,
IF(ISNUMBER(_xlpm.p),_xlpm.p,
IF(AND(ISNUMBER(_xlpm.r),ISNUMBER(_xlpm.c)),
_xlpm.r-_xlpm.c,
""
)
))</f>
        <v>711.76</v>
      </c>
    </row>
    <row r="546" spans="1:12" x14ac:dyDescent="0.35">
      <c r="A546" t="s">
        <v>588</v>
      </c>
      <c r="B546" s="7">
        <v>45841</v>
      </c>
      <c r="C546" t="str">
        <f>IF(RawData!C546="","Unknown",PROPER(TRIM(CLEAN(SUBSTITUTE(RawData!C546,CHAR(160)," ")))))</f>
        <v>North</v>
      </c>
      <c r="D546" t="str">
        <f>IF(RawData!D546="","Unknown",PROPER(TRIM(CLEAN(SUBSTITUTE(RawData!D546,CHAR(160)," ")))))</f>
        <v>Jaipur</v>
      </c>
      <c r="E546" t="str">
        <f>IF(RawData!E546="","Unknown",PROPER(TRIM(CLEAN(SUBSTITUTE(RawData!E546,CHAR(160)," ")))))</f>
        <v>Printer</v>
      </c>
      <c r="F546" t="str">
        <f>IF(RawData!F546="","Unknown",PROPER(TRIM(CLEAN(SUBSTITUTE(RawData!F546,CHAR(160)," ")))))</f>
        <v>Office Supplies</v>
      </c>
      <c r="G546">
        <f>_xlfn.LET(
_xlpm.q,RawData!G546,
_xlpm.u,RawData!H546,
_xlpm.d,RawData!I546,
_xlpm.r,RawData!J546,
IF(AND(ISNUMBER(_xlpm.q),_xlpm.q&gt;0),_xlpm.q,
   IF(AND(ISNUMBER(_xlpm.r),ISNUMBER(_xlpm.u),_xlpm.u&gt;0,ISNUMBER(_xlpm.d),_xlpm.d&gt;=0,_xlpm.d&lt;1),
      ROUND(_xlpm.r/(_xlpm.u*(1-_xlpm.d)),0),
      ""
   )
)
)</f>
        <v>3</v>
      </c>
      <c r="H546" s="4">
        <f>_xlfn.LET(
_xlpm.q,RawData!G546,
_xlpm.u,RawData!H546,
_xlpm.d,RawData!I546,
_xlpm.r,RawData!J546,
IF(AND(ISNUMBER(_xlpm.u),_xlpm.u&gt;0),_xlpm.u,
   IF(AND(ISNUMBER(_xlpm.q),_xlpm.q&gt;0,ISNUMBER(_xlpm.r),ISNUMBER(_xlpm.d),_xlpm.d&gt;=0,_xlpm.d&lt;1),
      _xlpm.r/(_xlpm.q*(1-_xlpm.d)),
      ""
   )
)
)</f>
        <v>183.58</v>
      </c>
      <c r="I546" s="5">
        <f>_xlfn.LET(
_xlpm.q,RawData!G546,
_xlpm.u,RawData!H546,
_xlpm.d,RawData!I546,
_xlpm.r,RawData!J546,
IF(AND(ISNUMBER(_xlpm.d),_xlpm.d&gt;=0,_xlpm.d&lt;1),_xlpm.d,
   IF(AND(ISNUMBER(_xlpm.q),_xlpm.q&gt;0,ISNUMBER(_xlpm.u),_xlpm.u&gt;0,ISNUMBER(_xlpm.r),_xlpm.r&gt;=0),
      1-(_xlpm.r/(_xlpm.q*_xlpm.u)),
      ""
   )
)
)</f>
        <v>0.02</v>
      </c>
      <c r="J546" s="4">
        <f>_xlfn.LET(
_xlpm.q,RawData!G546,
_xlpm.u,RawData!H546,
_xlpm.d,RawData!I546,
_xlpm.r,RawData!J546,
IF(AND(ISNUMBER(_xlpm.r),_xlpm.r&gt;=0),_xlpm.r,
   IF(AND(ISNUMBER(_xlpm.q),_xlpm.q&gt;0,ISNUMBER(_xlpm.u),_xlpm.u&gt;0,ISNUMBER(_xlpm.d),_xlpm.d&gt;=0,_xlpm.d&lt;1),
      _xlpm.q*_xlpm.u*(1-_xlpm.d),
      ""
   )
)
)</f>
        <v>539.73</v>
      </c>
      <c r="K546" s="4">
        <f>_xlfn.LET(
_xlpm.c,RawData!K546,
_xlpm.r,RawData!J546,
_xlpm.p,RawData!L546,
IF(AND(ISNUMBER(_xlpm.c),_xlpm.c&gt;=0),_xlpm.c,
   IF(AND(ISNUMBER(_xlpm.r),ISNUMBER(_xlpm.p)),
      _xlpm.r-_xlpm.p,
      ""
   )
)
)</f>
        <v>330.61</v>
      </c>
      <c r="L546" s="4">
        <f>_xlfn.LET(
_xlpm.p,RawData!L546,
_xlpm.r,RawData!J546,
_xlpm.c,RawData!K546,
IF(ISNUMBER(_xlpm.p),_xlpm.p,
IF(AND(ISNUMBER(_xlpm.r),ISNUMBER(_xlpm.c)),
_xlpm.r-_xlpm.c,
""
)
))</f>
        <v>209.12</v>
      </c>
    </row>
    <row r="547" spans="1:12" x14ac:dyDescent="0.35">
      <c r="A547" t="s">
        <v>589</v>
      </c>
      <c r="B547" s="7">
        <v>45945</v>
      </c>
      <c r="C547" t="str">
        <f>IF(RawData!C547="","Unknown",PROPER(TRIM(CLEAN(SUBSTITUTE(RawData!C547,CHAR(160)," ")))))</f>
        <v>West</v>
      </c>
      <c r="D547" t="str">
        <f>IF(RawData!D547="","Unknown",PROPER(TRIM(CLEAN(SUBSTITUTE(RawData!D547,CHAR(160)," ")))))</f>
        <v>Ahmedabad</v>
      </c>
      <c r="E547" t="str">
        <f>IF(RawData!E547="","Unknown",PROPER(TRIM(CLEAN(SUBSTITUTE(RawData!E547,CHAR(160)," ")))))</f>
        <v>Bookshelf</v>
      </c>
      <c r="F547" t="str">
        <f>IF(RawData!F547="","Unknown",PROPER(TRIM(CLEAN(SUBSTITUTE(RawData!F547,CHAR(160)," ")))))</f>
        <v>Furniture</v>
      </c>
      <c r="G547">
        <f>_xlfn.LET(
_xlpm.q,RawData!G547,
_xlpm.u,RawData!H547,
_xlpm.d,RawData!I547,
_xlpm.r,RawData!J547,
IF(AND(ISNUMBER(_xlpm.q),_xlpm.q&gt;0),_xlpm.q,
   IF(AND(ISNUMBER(_xlpm.r),ISNUMBER(_xlpm.u),_xlpm.u&gt;0,ISNUMBER(_xlpm.d),_xlpm.d&gt;=0,_xlpm.d&lt;1),
      ROUND(_xlpm.r/(_xlpm.u*(1-_xlpm.d)),0),
      ""
   )
)
)</f>
        <v>8</v>
      </c>
      <c r="H547" s="4">
        <f>_xlfn.LET(
_xlpm.q,RawData!G547,
_xlpm.u,RawData!H547,
_xlpm.d,RawData!I547,
_xlpm.r,RawData!J547,
IF(AND(ISNUMBER(_xlpm.u),_xlpm.u&gt;0),_xlpm.u,
   IF(AND(ISNUMBER(_xlpm.q),_xlpm.q&gt;0,ISNUMBER(_xlpm.r),ISNUMBER(_xlpm.d),_xlpm.d&gt;=0,_xlpm.d&lt;1),
      _xlpm.r/(_xlpm.q*(1-_xlpm.d)),
      ""
   )
)
)</f>
        <v>158.59</v>
      </c>
      <c r="I547" s="5">
        <f>_xlfn.LET(
_xlpm.q,RawData!G547,
_xlpm.u,RawData!H547,
_xlpm.d,RawData!I547,
_xlpm.r,RawData!J547,
IF(AND(ISNUMBER(_xlpm.d),_xlpm.d&gt;=0,_xlpm.d&lt;1),_xlpm.d,
   IF(AND(ISNUMBER(_xlpm.q),_xlpm.q&gt;0,ISNUMBER(_xlpm.u),_xlpm.u&gt;0,ISNUMBER(_xlpm.r),_xlpm.r&gt;=0),
      1-(_xlpm.r/(_xlpm.q*_xlpm.u)),
      ""
   )
)
)</f>
        <v>0.1</v>
      </c>
      <c r="J547" s="4">
        <f>_xlfn.LET(
_xlpm.q,RawData!G547,
_xlpm.u,RawData!H547,
_xlpm.d,RawData!I547,
_xlpm.r,RawData!J547,
IF(AND(ISNUMBER(_xlpm.r),_xlpm.r&gt;=0),_xlpm.r,
   IF(AND(ISNUMBER(_xlpm.q),_xlpm.q&gt;0,ISNUMBER(_xlpm.u),_xlpm.u&gt;0,ISNUMBER(_xlpm.d),_xlpm.d&gt;=0,_xlpm.d&lt;1),
      _xlpm.q*_xlpm.u*(1-_xlpm.d),
      ""
   )
)
)</f>
        <v>1141.8499999999999</v>
      </c>
      <c r="K547" s="4">
        <f>_xlfn.LET(
_xlpm.c,RawData!K547,
_xlpm.r,RawData!J547,
_xlpm.p,RawData!L547,
IF(AND(ISNUMBER(_xlpm.c),_xlpm.c&gt;=0),_xlpm.c,
   IF(AND(ISNUMBER(_xlpm.r),ISNUMBER(_xlpm.p)),
      _xlpm.r-_xlpm.p,
      ""
   )
)
)</f>
        <v>828.3</v>
      </c>
      <c r="L547" s="4">
        <f>_xlfn.LET(
_xlpm.p,RawData!L547,
_xlpm.r,RawData!J547,
_xlpm.c,RawData!K547,
IF(ISNUMBER(_xlpm.p),_xlpm.p,
IF(AND(ISNUMBER(_xlpm.r),ISNUMBER(_xlpm.c)),
_xlpm.r-_xlpm.c,
""
)
))</f>
        <v>313.55</v>
      </c>
    </row>
    <row r="548" spans="1:12" x14ac:dyDescent="0.35">
      <c r="A548" t="s">
        <v>590</v>
      </c>
      <c r="B548" s="7">
        <v>45885</v>
      </c>
      <c r="C548" t="str">
        <f>IF(RawData!C548="","Unknown",PROPER(TRIM(CLEAN(SUBSTITUTE(RawData!C548,CHAR(160)," ")))))</f>
        <v>West</v>
      </c>
      <c r="D548" t="str">
        <f>IF(RawData!D548="","Unknown",PROPER(TRIM(CLEAN(SUBSTITUTE(RawData!D548,CHAR(160)," ")))))</f>
        <v>Mumbai</v>
      </c>
      <c r="E548" t="str">
        <f>IF(RawData!E548="","Unknown",PROPER(TRIM(CLEAN(SUBSTITUTE(RawData!E548,CHAR(160)," ")))))</f>
        <v>Headphones</v>
      </c>
      <c r="F548" t="str">
        <f>IF(RawData!F548="","Unknown",PROPER(TRIM(CLEAN(SUBSTITUTE(RawData!F548,CHAR(160)," ")))))</f>
        <v>Electronics</v>
      </c>
      <c r="G548">
        <f>_xlfn.LET(
_xlpm.q,RawData!G548,
_xlpm.u,RawData!H548,
_xlpm.d,RawData!I548,
_xlpm.r,RawData!J548,
IF(AND(ISNUMBER(_xlpm.q),_xlpm.q&gt;0),_xlpm.q,
   IF(AND(ISNUMBER(_xlpm.r),ISNUMBER(_xlpm.u),_xlpm.u&gt;0,ISNUMBER(_xlpm.d),_xlpm.d&gt;=0,_xlpm.d&lt;1),
      ROUND(_xlpm.r/(_xlpm.u*(1-_xlpm.d)),0),
      ""
   )
)
)</f>
        <v>2</v>
      </c>
      <c r="H548" s="4">
        <f>_xlfn.LET(
_xlpm.q,RawData!G548,
_xlpm.u,RawData!H548,
_xlpm.d,RawData!I548,
_xlpm.r,RawData!J548,
IF(AND(ISNUMBER(_xlpm.u),_xlpm.u&gt;0),_xlpm.u,
   IF(AND(ISNUMBER(_xlpm.q),_xlpm.q&gt;0,ISNUMBER(_xlpm.r),ISNUMBER(_xlpm.d),_xlpm.d&gt;=0,_xlpm.d&lt;1),
      _xlpm.r/(_xlpm.q*(1-_xlpm.d)),
      ""
   )
)
)</f>
        <v>82.59</v>
      </c>
      <c r="I548" s="5">
        <f>_xlfn.LET(
_xlpm.q,RawData!G548,
_xlpm.u,RawData!H548,
_xlpm.d,RawData!I548,
_xlpm.r,RawData!J548,
IF(AND(ISNUMBER(_xlpm.d),_xlpm.d&gt;=0,_xlpm.d&lt;1),_xlpm.d,
   IF(AND(ISNUMBER(_xlpm.q),_xlpm.q&gt;0,ISNUMBER(_xlpm.u),_xlpm.u&gt;0,ISNUMBER(_xlpm.r),_xlpm.r&gt;=0),
      1-(_xlpm.r/(_xlpm.q*_xlpm.u)),
      ""
   )
)
)</f>
        <v>0.15</v>
      </c>
      <c r="J548" s="4">
        <f>_xlfn.LET(
_xlpm.q,RawData!G548,
_xlpm.u,RawData!H548,
_xlpm.d,RawData!I548,
_xlpm.r,RawData!J548,
IF(AND(ISNUMBER(_xlpm.r),_xlpm.r&gt;=0),_xlpm.r,
   IF(AND(ISNUMBER(_xlpm.q),_xlpm.q&gt;0,ISNUMBER(_xlpm.u),_xlpm.u&gt;0,ISNUMBER(_xlpm.d),_xlpm.d&gt;=0,_xlpm.d&lt;1),
      _xlpm.q*_xlpm.u*(1-_xlpm.d),
      ""
   )
)
)</f>
        <v>140.4</v>
      </c>
      <c r="K548" s="4">
        <f>_xlfn.LET(
_xlpm.c,RawData!K548,
_xlpm.r,RawData!J548,
_xlpm.p,RawData!L548,
IF(AND(ISNUMBER(_xlpm.c),_xlpm.c&gt;=0),_xlpm.c,
   IF(AND(ISNUMBER(_xlpm.r),ISNUMBER(_xlpm.p)),
      _xlpm.r-_xlpm.p,
      ""
   )
)
)</f>
        <v>96.65</v>
      </c>
      <c r="L548" s="4">
        <f>_xlfn.LET(
_xlpm.p,RawData!L548,
_xlpm.r,RawData!J548,
_xlpm.c,RawData!K548,
IF(ISNUMBER(_xlpm.p),_xlpm.p,
IF(AND(ISNUMBER(_xlpm.r),ISNUMBER(_xlpm.c)),
_xlpm.r-_xlpm.c,
""
)
))</f>
        <v>43.75</v>
      </c>
    </row>
    <row r="549" spans="1:12" x14ac:dyDescent="0.35">
      <c r="A549" t="s">
        <v>591</v>
      </c>
      <c r="B549" s="7">
        <v>45770</v>
      </c>
      <c r="C549" t="str">
        <f>IF(RawData!C549="","Unknown",PROPER(TRIM(CLEAN(SUBSTITUTE(RawData!C549,CHAR(160)," ")))))</f>
        <v>East</v>
      </c>
      <c r="D549" t="str">
        <f>IF(RawData!D549="","Unknown",PROPER(TRIM(CLEAN(SUBSTITUTE(RawData!D549,CHAR(160)," ")))))</f>
        <v>Patna</v>
      </c>
      <c r="E549" t="str">
        <f>IF(RawData!E549="","Unknown",PROPER(TRIM(CLEAN(SUBSTITUTE(RawData!E549,CHAR(160)," ")))))</f>
        <v>Laptop</v>
      </c>
      <c r="F549" t="str">
        <f>IF(RawData!F549="","Unknown",PROPER(TRIM(CLEAN(SUBSTITUTE(RawData!F549,CHAR(160)," ")))))</f>
        <v>Electronics</v>
      </c>
      <c r="G549">
        <f>_xlfn.LET(
_xlpm.q,RawData!G549,
_xlpm.u,RawData!H549,
_xlpm.d,RawData!I549,
_xlpm.r,RawData!J549,
IF(AND(ISNUMBER(_xlpm.q),_xlpm.q&gt;0),_xlpm.q,
   IF(AND(ISNUMBER(_xlpm.r),ISNUMBER(_xlpm.u),_xlpm.u&gt;0,ISNUMBER(_xlpm.d),_xlpm.d&gt;=0,_xlpm.d&lt;1),
      ROUND(_xlpm.r/(_xlpm.u*(1-_xlpm.d)),0),
      ""
   )
)
)</f>
        <v>5</v>
      </c>
      <c r="H549" s="4">
        <f>_xlfn.LET(
_xlpm.q,RawData!G549,
_xlpm.u,RawData!H549,
_xlpm.d,RawData!I549,
_xlpm.r,RawData!J549,
IF(AND(ISNUMBER(_xlpm.u),_xlpm.u&gt;0),_xlpm.u,
   IF(AND(ISNUMBER(_xlpm.q),_xlpm.q&gt;0,ISNUMBER(_xlpm.r),ISNUMBER(_xlpm.d),_xlpm.d&gt;=0,_xlpm.d&lt;1),
      _xlpm.r/(_xlpm.q*(1-_xlpm.d)),
      ""
   )
)
)</f>
        <v>781.32</v>
      </c>
      <c r="I549" s="5">
        <f>_xlfn.LET(
_xlpm.q,RawData!G549,
_xlpm.u,RawData!H549,
_xlpm.d,RawData!I549,
_xlpm.r,RawData!J549,
IF(AND(ISNUMBER(_xlpm.d),_xlpm.d&gt;=0,_xlpm.d&lt;1),_xlpm.d,
   IF(AND(ISNUMBER(_xlpm.q),_xlpm.q&gt;0,ISNUMBER(_xlpm.u),_xlpm.u&gt;0,ISNUMBER(_xlpm.r),_xlpm.r&gt;=0),
      1-(_xlpm.r/(_xlpm.q*_xlpm.u)),
      ""
   )
)
)</f>
        <v>0.02</v>
      </c>
      <c r="J549" s="4">
        <f>_xlfn.LET(
_xlpm.q,RawData!G549,
_xlpm.u,RawData!H549,
_xlpm.d,RawData!I549,
_xlpm.r,RawData!J549,
IF(AND(ISNUMBER(_xlpm.r),_xlpm.r&gt;=0),_xlpm.r,
   IF(AND(ISNUMBER(_xlpm.q),_xlpm.q&gt;0,ISNUMBER(_xlpm.u),_xlpm.u&gt;0,ISNUMBER(_xlpm.d),_xlpm.d&gt;=0,_xlpm.d&lt;1),
      _xlpm.q*_xlpm.u*(1-_xlpm.d),
      ""
   )
)
)</f>
        <v>3828.47</v>
      </c>
      <c r="K549" s="4">
        <f>_xlfn.LET(
_xlpm.c,RawData!K549,
_xlpm.r,RawData!J549,
_xlpm.p,RawData!L549,
IF(AND(ISNUMBER(_xlpm.c),_xlpm.c&gt;=0),_xlpm.c,
   IF(AND(ISNUMBER(_xlpm.r),ISNUMBER(_xlpm.p)),
      _xlpm.r-_xlpm.p,
      ""
   )
)
)</f>
        <v>2288.13</v>
      </c>
      <c r="L549" s="4">
        <f>_xlfn.LET(
_xlpm.p,RawData!L549,
_xlpm.r,RawData!J549,
_xlpm.c,RawData!K549,
IF(ISNUMBER(_xlpm.p),_xlpm.p,
IF(AND(ISNUMBER(_xlpm.r),ISNUMBER(_xlpm.c)),
_xlpm.r-_xlpm.c,
""
)
))</f>
        <v>1540.34</v>
      </c>
    </row>
    <row r="550" spans="1:12" x14ac:dyDescent="0.35">
      <c r="A550" t="s">
        <v>592</v>
      </c>
      <c r="B550" s="7">
        <v>45805</v>
      </c>
      <c r="C550" t="str">
        <f>IF(RawData!C550="","Unknown",PROPER(TRIM(CLEAN(SUBSTITUTE(RawData!C550,CHAR(160)," ")))))</f>
        <v>South</v>
      </c>
      <c r="D550" t="str">
        <f>IF(RawData!D550="","Unknown",PROPER(TRIM(CLEAN(SUBSTITUTE(RawData!D550,CHAR(160)," ")))))</f>
        <v>Chennai</v>
      </c>
      <c r="E550" t="str">
        <f>IF(RawData!E550="","Unknown",PROPER(TRIM(CLEAN(SUBSTITUTE(RawData!E550,CHAR(160)," ")))))</f>
        <v>Printer</v>
      </c>
      <c r="F550" t="str">
        <f>IF(RawData!F550="","Unknown",PROPER(TRIM(CLEAN(SUBSTITUTE(RawData!F550,CHAR(160)," ")))))</f>
        <v>Office Supplies</v>
      </c>
      <c r="G550">
        <f>_xlfn.LET(
_xlpm.q,RawData!G550,
_xlpm.u,RawData!H550,
_xlpm.d,RawData!I550,
_xlpm.r,RawData!J550,
IF(AND(ISNUMBER(_xlpm.q),_xlpm.q&gt;0),_xlpm.q,
   IF(AND(ISNUMBER(_xlpm.r),ISNUMBER(_xlpm.u),_xlpm.u&gt;0,ISNUMBER(_xlpm.d),_xlpm.d&gt;=0,_xlpm.d&lt;1),
      ROUND(_xlpm.r/(_xlpm.u*(1-_xlpm.d)),0),
      ""
   )
)
)</f>
        <v>10</v>
      </c>
      <c r="H550" s="4">
        <f>_xlfn.LET(
_xlpm.q,RawData!G550,
_xlpm.u,RawData!H550,
_xlpm.d,RawData!I550,
_xlpm.r,RawData!J550,
IF(AND(ISNUMBER(_xlpm.u),_xlpm.u&gt;0),_xlpm.u,
   IF(AND(ISNUMBER(_xlpm.q),_xlpm.q&gt;0,ISNUMBER(_xlpm.r),ISNUMBER(_xlpm.d),_xlpm.d&gt;=0,_xlpm.d&lt;1),
      _xlpm.r/(_xlpm.q*(1-_xlpm.d)),
      ""
   )
)
)</f>
        <v>146.58000000000001</v>
      </c>
      <c r="I550" s="5">
        <f>_xlfn.LET(
_xlpm.q,RawData!G550,
_xlpm.u,RawData!H550,
_xlpm.d,RawData!I550,
_xlpm.r,RawData!J550,
IF(AND(ISNUMBER(_xlpm.d),_xlpm.d&gt;=0,_xlpm.d&lt;1),_xlpm.d,
   IF(AND(ISNUMBER(_xlpm.q),_xlpm.q&gt;0,ISNUMBER(_xlpm.u),_xlpm.u&gt;0,ISNUMBER(_xlpm.r),_xlpm.r&gt;=0),
      1-(_xlpm.r/(_xlpm.q*_xlpm.u)),
      ""
   )
)
)</f>
        <v>0.2</v>
      </c>
      <c r="J550" s="4">
        <f>_xlfn.LET(
_xlpm.q,RawData!G550,
_xlpm.u,RawData!H550,
_xlpm.d,RawData!I550,
_xlpm.r,RawData!J550,
IF(AND(ISNUMBER(_xlpm.r),_xlpm.r&gt;=0),_xlpm.r,
   IF(AND(ISNUMBER(_xlpm.q),_xlpm.q&gt;0,ISNUMBER(_xlpm.u),_xlpm.u&gt;0,ISNUMBER(_xlpm.d),_xlpm.d&gt;=0,_xlpm.d&lt;1),
      _xlpm.q*_xlpm.u*(1-_xlpm.d),
      ""
   )
)
)</f>
        <v>1172.6400000000001</v>
      </c>
      <c r="K550" s="4">
        <f>_xlfn.LET(
_xlpm.c,RawData!K550,
_xlpm.r,RawData!J550,
_xlpm.p,RawData!L550,
IF(AND(ISNUMBER(_xlpm.c),_xlpm.c&gt;=0),_xlpm.c,
   IF(AND(ISNUMBER(_xlpm.r),ISNUMBER(_xlpm.p)),
      _xlpm.r-_xlpm.p,
      ""
   )
)
)</f>
        <v>703.98</v>
      </c>
      <c r="L550" s="4">
        <f>_xlfn.LET(
_xlpm.p,RawData!L550,
_xlpm.r,RawData!J550,
_xlpm.c,RawData!K550,
IF(ISNUMBER(_xlpm.p),_xlpm.p,
IF(AND(ISNUMBER(_xlpm.r),ISNUMBER(_xlpm.c)),
_xlpm.r-_xlpm.c,
""
)
))</f>
        <v>468.66</v>
      </c>
    </row>
    <row r="551" spans="1:12" x14ac:dyDescent="0.35">
      <c r="A551" t="s">
        <v>593</v>
      </c>
      <c r="B551" s="7">
        <v>45939</v>
      </c>
      <c r="C551" t="str">
        <f>IF(RawData!C551="","Unknown",PROPER(TRIM(CLEAN(SUBSTITUTE(RawData!C551,CHAR(160)," ")))))</f>
        <v>North</v>
      </c>
      <c r="D551" t="str">
        <f>IF(RawData!D551="","Unknown",PROPER(TRIM(CLEAN(SUBSTITUTE(RawData!D551,CHAR(160)," ")))))</f>
        <v>Lucknow</v>
      </c>
      <c r="E551" t="str">
        <f>IF(RawData!E551="","Unknown",PROPER(TRIM(CLEAN(SUBSTITUTE(RawData!E551,CHAR(160)," ")))))</f>
        <v>Pen Set</v>
      </c>
      <c r="F551" t="str">
        <f>IF(RawData!F551="","Unknown",PROPER(TRIM(CLEAN(SUBSTITUTE(RawData!F551,CHAR(160)," ")))))</f>
        <v>Office Supplies</v>
      </c>
      <c r="G551">
        <f>_xlfn.LET(
_xlpm.q,RawData!G551,
_xlpm.u,RawData!H551,
_xlpm.d,RawData!I551,
_xlpm.r,RawData!J551,
IF(AND(ISNUMBER(_xlpm.q),_xlpm.q&gt;0),_xlpm.q,
   IF(AND(ISNUMBER(_xlpm.r),ISNUMBER(_xlpm.u),_xlpm.u&gt;0,ISNUMBER(_xlpm.d),_xlpm.d&gt;=0,_xlpm.d&lt;1),
      ROUND(_xlpm.r/(_xlpm.u*(1-_xlpm.d)),0),
      ""
   )
)
)</f>
        <v>2</v>
      </c>
      <c r="H551" s="4">
        <f>_xlfn.LET(
_xlpm.q,RawData!G551,
_xlpm.u,RawData!H551,
_xlpm.d,RawData!I551,
_xlpm.r,RawData!J551,
IF(AND(ISNUMBER(_xlpm.u),_xlpm.u&gt;0),_xlpm.u,
   IF(AND(ISNUMBER(_xlpm.q),_xlpm.q&gt;0,ISNUMBER(_xlpm.r),ISNUMBER(_xlpm.d),_xlpm.d&gt;=0,_xlpm.d&lt;1),
      _xlpm.r/(_xlpm.q*(1-_xlpm.d)),
      ""
   )
)
)</f>
        <v>13.01</v>
      </c>
      <c r="I551" s="5">
        <f>_xlfn.LET(
_xlpm.q,RawData!G551,
_xlpm.u,RawData!H551,
_xlpm.d,RawData!I551,
_xlpm.r,RawData!J551,
IF(AND(ISNUMBER(_xlpm.d),_xlpm.d&gt;=0,_xlpm.d&lt;1),_xlpm.d,
   IF(AND(ISNUMBER(_xlpm.q),_xlpm.q&gt;0,ISNUMBER(_xlpm.u),_xlpm.u&gt;0,ISNUMBER(_xlpm.r),_xlpm.r&gt;=0),
      1-(_xlpm.r/(_xlpm.q*_xlpm.u)),
      ""
   )
)
)</f>
        <v>0.05</v>
      </c>
      <c r="J551" s="4">
        <f>_xlfn.LET(
_xlpm.q,RawData!G551,
_xlpm.u,RawData!H551,
_xlpm.d,RawData!I551,
_xlpm.r,RawData!J551,
IF(AND(ISNUMBER(_xlpm.r),_xlpm.r&gt;=0),_xlpm.r,
   IF(AND(ISNUMBER(_xlpm.q),_xlpm.q&gt;0,ISNUMBER(_xlpm.u),_xlpm.u&gt;0,ISNUMBER(_xlpm.d),_xlpm.d&gt;=0,_xlpm.d&lt;1),
      _xlpm.q*_xlpm.u*(1-_xlpm.d),
      ""
   )
)
)</f>
        <v>24.72</v>
      </c>
      <c r="K551" s="4">
        <f>_xlfn.LET(
_xlpm.c,RawData!K551,
_xlpm.r,RawData!J551,
_xlpm.p,RawData!L551,
IF(AND(ISNUMBER(_xlpm.c),_xlpm.c&gt;=0),_xlpm.c,
   IF(AND(ISNUMBER(_xlpm.r),ISNUMBER(_xlpm.p)),
      _xlpm.r-_xlpm.p,
      ""
   )
)
)</f>
        <v>15.93</v>
      </c>
      <c r="L551" s="4">
        <f>_xlfn.LET(
_xlpm.p,RawData!L551,
_xlpm.r,RawData!J551,
_xlpm.c,RawData!K551,
IF(ISNUMBER(_xlpm.p),_xlpm.p,
IF(AND(ISNUMBER(_xlpm.r),ISNUMBER(_xlpm.c)),
_xlpm.r-_xlpm.c,
""
)
))</f>
        <v>8.7899999999999991</v>
      </c>
    </row>
    <row r="552" spans="1:12" x14ac:dyDescent="0.35">
      <c r="A552" t="s">
        <v>594</v>
      </c>
      <c r="B552" s="7">
        <v>45845</v>
      </c>
      <c r="C552" t="str">
        <f>IF(RawData!C552="","Unknown",PROPER(TRIM(CLEAN(SUBSTITUTE(RawData!C552,CHAR(160)," ")))))</f>
        <v>North</v>
      </c>
      <c r="D552" t="str">
        <f>IF(RawData!D552="","Unknown",PROPER(TRIM(CLEAN(SUBSTITUTE(RawData!D552,CHAR(160)," ")))))</f>
        <v>Delhi</v>
      </c>
      <c r="E552" t="str">
        <f>IF(RawData!E552="","Unknown",PROPER(TRIM(CLEAN(SUBSTITUTE(RawData!E552,CHAR(160)," ")))))</f>
        <v>Keyboard</v>
      </c>
      <c r="F552" t="str">
        <f>IF(RawData!F552="","Unknown",PROPER(TRIM(CLEAN(SUBSTITUTE(RawData!F552,CHAR(160)," ")))))</f>
        <v>Accessories</v>
      </c>
      <c r="G552">
        <f>_xlfn.LET(
_xlpm.q,RawData!G552,
_xlpm.u,RawData!H552,
_xlpm.d,RawData!I552,
_xlpm.r,RawData!J552,
IF(AND(ISNUMBER(_xlpm.q),_xlpm.q&gt;0),_xlpm.q,
   IF(AND(ISNUMBER(_xlpm.r),ISNUMBER(_xlpm.u),_xlpm.u&gt;0,ISNUMBER(_xlpm.d),_xlpm.d&gt;=0,_xlpm.d&lt;1),
      ROUND(_xlpm.r/(_xlpm.u*(1-_xlpm.d)),0),
      ""
   )
)
)</f>
        <v>8</v>
      </c>
      <c r="H552" s="4">
        <f>_xlfn.LET(
_xlpm.q,RawData!G552,
_xlpm.u,RawData!H552,
_xlpm.d,RawData!I552,
_xlpm.r,RawData!J552,
IF(AND(ISNUMBER(_xlpm.u),_xlpm.u&gt;0),_xlpm.u,
   IF(AND(ISNUMBER(_xlpm.q),_xlpm.q&gt;0,ISNUMBER(_xlpm.r),ISNUMBER(_xlpm.d),_xlpm.d&gt;=0,_xlpm.d&lt;1),
      _xlpm.r/(_xlpm.q*(1-_xlpm.d)),
      ""
   )
)
)</f>
        <v>30.36</v>
      </c>
      <c r="I552" s="5">
        <f>_xlfn.LET(
_xlpm.q,RawData!G552,
_xlpm.u,RawData!H552,
_xlpm.d,RawData!I552,
_xlpm.r,RawData!J552,
IF(AND(ISNUMBER(_xlpm.d),_xlpm.d&gt;=0,_xlpm.d&lt;1),_xlpm.d,
   IF(AND(ISNUMBER(_xlpm.q),_xlpm.q&gt;0,ISNUMBER(_xlpm.u),_xlpm.u&gt;0,ISNUMBER(_xlpm.r),_xlpm.r&gt;=0),
      1-(_xlpm.r/(_xlpm.q*_xlpm.u)),
      ""
   )
)
)</f>
        <v>0.15</v>
      </c>
      <c r="J552" s="4">
        <f>_xlfn.LET(
_xlpm.q,RawData!G552,
_xlpm.u,RawData!H552,
_xlpm.d,RawData!I552,
_xlpm.r,RawData!J552,
IF(AND(ISNUMBER(_xlpm.r),_xlpm.r&gt;=0),_xlpm.r,
   IF(AND(ISNUMBER(_xlpm.q),_xlpm.q&gt;0,ISNUMBER(_xlpm.u),_xlpm.u&gt;0,ISNUMBER(_xlpm.d),_xlpm.d&gt;=0,_xlpm.d&lt;1),
      _xlpm.q*_xlpm.u*(1-_xlpm.d),
      ""
   )
)
)</f>
        <v>206.45</v>
      </c>
      <c r="K552" s="4">
        <f>_xlfn.LET(
_xlpm.c,RawData!K552,
_xlpm.r,RawData!J552,
_xlpm.p,RawData!L552,
IF(AND(ISNUMBER(_xlpm.c),_xlpm.c&gt;=0),_xlpm.c,
   IF(AND(ISNUMBER(_xlpm.r),ISNUMBER(_xlpm.p)),
      _xlpm.r-_xlpm.p,
      ""
   )
)
)</f>
        <v>167.57</v>
      </c>
      <c r="L552" s="4">
        <f>_xlfn.LET(
_xlpm.p,RawData!L552,
_xlpm.r,RawData!J552,
_xlpm.c,RawData!K552,
IF(ISNUMBER(_xlpm.p),_xlpm.p,
IF(AND(ISNUMBER(_xlpm.r),ISNUMBER(_xlpm.c)),
_xlpm.r-_xlpm.c,
""
)
))</f>
        <v>38.880000000000003</v>
      </c>
    </row>
    <row r="553" spans="1:12" x14ac:dyDescent="0.35">
      <c r="A553" t="s">
        <v>595</v>
      </c>
      <c r="B553" s="7">
        <v>45875</v>
      </c>
      <c r="C553" t="str">
        <f>IF(RawData!C553="","Unknown",PROPER(TRIM(CLEAN(SUBSTITUTE(RawData!C553,CHAR(160)," ")))))</f>
        <v>North</v>
      </c>
      <c r="D553" t="str">
        <f>IF(RawData!D553="","Unknown",PROPER(TRIM(CLEAN(SUBSTITUTE(RawData!D553,CHAR(160)," ")))))</f>
        <v>Delhi</v>
      </c>
      <c r="E553" t="str">
        <f>IF(RawData!E553="","Unknown",PROPER(TRIM(CLEAN(SUBSTITUTE(RawData!E553,CHAR(160)," ")))))</f>
        <v>Keyboard</v>
      </c>
      <c r="F553" t="str">
        <f>IF(RawData!F553="","Unknown",PROPER(TRIM(CLEAN(SUBSTITUTE(RawData!F553,CHAR(160)," ")))))</f>
        <v>Accessories</v>
      </c>
      <c r="G553">
        <f>_xlfn.LET(
_xlpm.q,RawData!G553,
_xlpm.u,RawData!H553,
_xlpm.d,RawData!I553,
_xlpm.r,RawData!J553,
IF(AND(ISNUMBER(_xlpm.q),_xlpm.q&gt;0),_xlpm.q,
   IF(AND(ISNUMBER(_xlpm.r),ISNUMBER(_xlpm.u),_xlpm.u&gt;0,ISNUMBER(_xlpm.d),_xlpm.d&gt;=0,_xlpm.d&lt;1),
      ROUND(_xlpm.r/(_xlpm.u*(1-_xlpm.d)),0),
      ""
   )
)
)</f>
        <v>4</v>
      </c>
      <c r="H553" s="4">
        <f>_xlfn.LET(
_xlpm.q,RawData!G553,
_xlpm.u,RawData!H553,
_xlpm.d,RawData!I553,
_xlpm.r,RawData!J553,
IF(AND(ISNUMBER(_xlpm.u),_xlpm.u&gt;0),_xlpm.u,
   IF(AND(ISNUMBER(_xlpm.q),_xlpm.q&gt;0,ISNUMBER(_xlpm.r),ISNUMBER(_xlpm.d),_xlpm.d&gt;=0,_xlpm.d&lt;1),
      _xlpm.r/(_xlpm.q*(1-_xlpm.d)),
      ""
   )
)
)</f>
        <v>39.03</v>
      </c>
      <c r="I553" s="5">
        <f>_xlfn.LET(
_xlpm.q,RawData!G553,
_xlpm.u,RawData!H553,
_xlpm.d,RawData!I553,
_xlpm.r,RawData!J553,
IF(AND(ISNUMBER(_xlpm.d),_xlpm.d&gt;=0,_xlpm.d&lt;1),_xlpm.d,
   IF(AND(ISNUMBER(_xlpm.q),_xlpm.q&gt;0,ISNUMBER(_xlpm.u),_xlpm.u&gt;0,ISNUMBER(_xlpm.r),_xlpm.r&gt;=0),
      1-(_xlpm.r/(_xlpm.q*_xlpm.u)),
      ""
   )
)
)</f>
        <v>0.05</v>
      </c>
      <c r="J553" s="4">
        <f>_xlfn.LET(
_xlpm.q,RawData!G553,
_xlpm.u,RawData!H553,
_xlpm.d,RawData!I553,
_xlpm.r,RawData!J553,
IF(AND(ISNUMBER(_xlpm.r),_xlpm.r&gt;=0),_xlpm.r,
   IF(AND(ISNUMBER(_xlpm.q),_xlpm.q&gt;0,ISNUMBER(_xlpm.u),_xlpm.u&gt;0,ISNUMBER(_xlpm.d),_xlpm.d&gt;=0,_xlpm.d&lt;1),
      _xlpm.q*_xlpm.u*(1-_xlpm.d),
      ""
   )
)
)</f>
        <v>148.31</v>
      </c>
      <c r="K553" s="4">
        <f>_xlfn.LET(
_xlpm.c,RawData!K553,
_xlpm.r,RawData!J553,
_xlpm.p,RawData!L553,
IF(AND(ISNUMBER(_xlpm.c),_xlpm.c&gt;=0),_xlpm.c,
   IF(AND(ISNUMBER(_xlpm.r),ISNUMBER(_xlpm.p)),
      _xlpm.r-_xlpm.p,
      ""
   )
)
)</f>
        <v>118.72</v>
      </c>
      <c r="L553" s="4">
        <f>_xlfn.LET(
_xlpm.p,RawData!L553,
_xlpm.r,RawData!J553,
_xlpm.c,RawData!K553,
IF(ISNUMBER(_xlpm.p),_xlpm.p,
IF(AND(ISNUMBER(_xlpm.r),ISNUMBER(_xlpm.c)),
_xlpm.r-_xlpm.c,
""
)
))</f>
        <v>29.59</v>
      </c>
    </row>
    <row r="554" spans="1:12" x14ac:dyDescent="0.35">
      <c r="A554" t="s">
        <v>596</v>
      </c>
      <c r="B554" s="7">
        <v>45888</v>
      </c>
      <c r="C554" t="str">
        <f>IF(RawData!C554="","Unknown",PROPER(TRIM(CLEAN(SUBSTITUTE(RawData!C554,CHAR(160)," ")))))</f>
        <v>East</v>
      </c>
      <c r="D554" t="str">
        <f>IF(RawData!D554="","Unknown",PROPER(TRIM(CLEAN(SUBSTITUTE(RawData!D554,CHAR(160)," ")))))</f>
        <v>Kolkata</v>
      </c>
      <c r="E554" t="str">
        <f>IF(RawData!E554="","Unknown",PROPER(TRIM(CLEAN(SUBSTITUTE(RawData!E554,CHAR(160)," ")))))</f>
        <v>Desk</v>
      </c>
      <c r="F554" t="str">
        <f>IF(RawData!F554="","Unknown",PROPER(TRIM(CLEAN(SUBSTITUTE(RawData!F554,CHAR(160)," ")))))</f>
        <v>Furniture</v>
      </c>
      <c r="G554">
        <f>_xlfn.LET(
_xlpm.q,RawData!G554,
_xlpm.u,RawData!H554,
_xlpm.d,RawData!I554,
_xlpm.r,RawData!J554,
IF(AND(ISNUMBER(_xlpm.q),_xlpm.q&gt;0),_xlpm.q,
   IF(AND(ISNUMBER(_xlpm.r),ISNUMBER(_xlpm.u),_xlpm.u&gt;0,ISNUMBER(_xlpm.d),_xlpm.d&gt;=0,_xlpm.d&lt;1),
      ROUND(_xlpm.r/(_xlpm.u*(1-_xlpm.d)),0),
      ""
   )
)
)</f>
        <v>2</v>
      </c>
      <c r="H554" s="4">
        <f>_xlfn.LET(
_xlpm.q,RawData!G554,
_xlpm.u,RawData!H554,
_xlpm.d,RawData!I554,
_xlpm.r,RawData!J554,
IF(AND(ISNUMBER(_xlpm.u),_xlpm.u&gt;0),_xlpm.u,
   IF(AND(ISNUMBER(_xlpm.q),_xlpm.q&gt;0,ISNUMBER(_xlpm.r),ISNUMBER(_xlpm.d),_xlpm.d&gt;=0,_xlpm.d&lt;1),
      _xlpm.r/(_xlpm.q*(1-_xlpm.d)),
      ""
   )
)
)</f>
        <v>287.12</v>
      </c>
      <c r="I554" s="5">
        <f>_xlfn.LET(
_xlpm.q,RawData!G554,
_xlpm.u,RawData!H554,
_xlpm.d,RawData!I554,
_xlpm.r,RawData!J554,
IF(AND(ISNUMBER(_xlpm.d),_xlpm.d&gt;=0,_xlpm.d&lt;1),_xlpm.d,
   IF(AND(ISNUMBER(_xlpm.q),_xlpm.q&gt;0,ISNUMBER(_xlpm.u),_xlpm.u&gt;0,ISNUMBER(_xlpm.r),_xlpm.r&gt;=0),
      1-(_xlpm.r/(_xlpm.q*_xlpm.u)),
      ""
   )
)
)</f>
        <v>0.1</v>
      </c>
      <c r="J554" s="4">
        <f>_xlfn.LET(
_xlpm.q,RawData!G554,
_xlpm.u,RawData!H554,
_xlpm.d,RawData!I554,
_xlpm.r,RawData!J554,
IF(AND(ISNUMBER(_xlpm.r),_xlpm.r&gt;=0),_xlpm.r,
   IF(AND(ISNUMBER(_xlpm.q),_xlpm.q&gt;0,ISNUMBER(_xlpm.u),_xlpm.u&gt;0,ISNUMBER(_xlpm.d),_xlpm.d&gt;=0,_xlpm.d&lt;1),
      _xlpm.q*_xlpm.u*(1-_xlpm.d),
      ""
   )
)
)</f>
        <v>516.82000000000005</v>
      </c>
      <c r="K554" s="4">
        <f>_xlfn.LET(
_xlpm.c,RawData!K554,
_xlpm.r,RawData!J554,
_xlpm.p,RawData!L554,
IF(AND(ISNUMBER(_xlpm.c),_xlpm.c&gt;=0),_xlpm.c,
   IF(AND(ISNUMBER(_xlpm.r),ISNUMBER(_xlpm.p)),
      _xlpm.r-_xlpm.p,
      ""
   )
)
)</f>
        <v>308.52</v>
      </c>
      <c r="L554" s="4">
        <f>_xlfn.LET(
_xlpm.p,RawData!L554,
_xlpm.r,RawData!J554,
_xlpm.c,RawData!K554,
IF(ISNUMBER(_xlpm.p),_xlpm.p,
IF(AND(ISNUMBER(_xlpm.r),ISNUMBER(_xlpm.c)),
_xlpm.r-_xlpm.c,
""
)
))</f>
        <v>208.3</v>
      </c>
    </row>
    <row r="555" spans="1:12" x14ac:dyDescent="0.35">
      <c r="A555" t="s">
        <v>597</v>
      </c>
      <c r="B555" s="7">
        <v>45779</v>
      </c>
      <c r="C555" t="str">
        <f>IF(RawData!C555="","Unknown",PROPER(TRIM(CLEAN(SUBSTITUTE(RawData!C555,CHAR(160)," ")))))</f>
        <v>South</v>
      </c>
      <c r="D555" t="str">
        <f>IF(RawData!D555="","Unknown",PROPER(TRIM(CLEAN(SUBSTITUTE(RawData!D555,CHAR(160)," ")))))</f>
        <v>Chennai</v>
      </c>
      <c r="E555" t="str">
        <f>IF(RawData!E555="","Unknown",PROPER(TRIM(CLEAN(SUBSTITUTE(RawData!E555,CHAR(160)," ")))))</f>
        <v>Keyboard</v>
      </c>
      <c r="F555" t="str">
        <f>IF(RawData!F555="","Unknown",PROPER(TRIM(CLEAN(SUBSTITUTE(RawData!F555,CHAR(160)," ")))))</f>
        <v>Accessories</v>
      </c>
      <c r="G555">
        <f>_xlfn.LET(
_xlpm.q,RawData!G555,
_xlpm.u,RawData!H555,
_xlpm.d,RawData!I555,
_xlpm.r,RawData!J555,
IF(AND(ISNUMBER(_xlpm.q),_xlpm.q&gt;0),_xlpm.q,
   IF(AND(ISNUMBER(_xlpm.r),ISNUMBER(_xlpm.u),_xlpm.u&gt;0,ISNUMBER(_xlpm.d),_xlpm.d&gt;=0,_xlpm.d&lt;1),
      ROUND(_xlpm.r/(_xlpm.u*(1-_xlpm.d)),0),
      ""
   )
)
)</f>
        <v>10</v>
      </c>
      <c r="H555" s="4">
        <f>_xlfn.LET(
_xlpm.q,RawData!G555,
_xlpm.u,RawData!H555,
_xlpm.d,RawData!I555,
_xlpm.r,RawData!J555,
IF(AND(ISNUMBER(_xlpm.u),_xlpm.u&gt;0),_xlpm.u,
   IF(AND(ISNUMBER(_xlpm.q),_xlpm.q&gt;0,ISNUMBER(_xlpm.r),ISNUMBER(_xlpm.d),_xlpm.d&gt;=0,_xlpm.d&lt;1),
      _xlpm.r/(_xlpm.q*(1-_xlpm.d)),
      ""
   )
)
)</f>
        <v>33.909999999999997</v>
      </c>
      <c r="I555" s="5">
        <f>_xlfn.LET(
_xlpm.q,RawData!G555,
_xlpm.u,RawData!H555,
_xlpm.d,RawData!I555,
_xlpm.r,RawData!J555,
IF(AND(ISNUMBER(_xlpm.d),_xlpm.d&gt;=0,_xlpm.d&lt;1),_xlpm.d,
   IF(AND(ISNUMBER(_xlpm.q),_xlpm.q&gt;0,ISNUMBER(_xlpm.u),_xlpm.u&gt;0,ISNUMBER(_xlpm.r),_xlpm.r&gt;=0),
      1-(_xlpm.r/(_xlpm.q*_xlpm.u)),
      ""
   )
)
)</f>
        <v>0.2</v>
      </c>
      <c r="J555" s="4">
        <f>_xlfn.LET(
_xlpm.q,RawData!G555,
_xlpm.u,RawData!H555,
_xlpm.d,RawData!I555,
_xlpm.r,RawData!J555,
IF(AND(ISNUMBER(_xlpm.r),_xlpm.r&gt;=0),_xlpm.r,
   IF(AND(ISNUMBER(_xlpm.q),_xlpm.q&gt;0,ISNUMBER(_xlpm.u),_xlpm.u&gt;0,ISNUMBER(_xlpm.d),_xlpm.d&gt;=0,_xlpm.d&lt;1),
      _xlpm.q*_xlpm.u*(1-_xlpm.d),
      ""
   )
)
)</f>
        <v>271.27999999999997</v>
      </c>
      <c r="K555" s="4">
        <f>_xlfn.LET(
_xlpm.c,RawData!K555,
_xlpm.r,RawData!J555,
_xlpm.p,RawData!L555,
IF(AND(ISNUMBER(_xlpm.c),_xlpm.c&gt;=0),_xlpm.c,
   IF(AND(ISNUMBER(_xlpm.r),ISNUMBER(_xlpm.p)),
      _xlpm.r-_xlpm.p,
      ""
   )
)
)</f>
        <v>204.74</v>
      </c>
      <c r="L555" s="4">
        <f>_xlfn.LET(
_xlpm.p,RawData!L555,
_xlpm.r,RawData!J555,
_xlpm.c,RawData!K555,
IF(ISNUMBER(_xlpm.p),_xlpm.p,
IF(AND(ISNUMBER(_xlpm.r),ISNUMBER(_xlpm.c)),
_xlpm.r-_xlpm.c,
""
)
))</f>
        <v>66.540000000000006</v>
      </c>
    </row>
    <row r="556" spans="1:12" x14ac:dyDescent="0.35">
      <c r="A556" t="s">
        <v>598</v>
      </c>
      <c r="B556" s="7">
        <v>46021</v>
      </c>
      <c r="C556" t="str">
        <f>IF(RawData!C556="","Unknown",PROPER(TRIM(CLEAN(SUBSTITUTE(RawData!C556,CHAR(160)," ")))))</f>
        <v>West</v>
      </c>
      <c r="D556" t="str">
        <f>IF(RawData!D556="","Unknown",PROPER(TRIM(CLEAN(SUBSTITUTE(RawData!D556,CHAR(160)," ")))))</f>
        <v>Mumbai</v>
      </c>
      <c r="E556" t="str">
        <f>IF(RawData!E556="","Unknown",PROPER(TRIM(CLEAN(SUBSTITUTE(RawData!E556,CHAR(160)," ")))))</f>
        <v>Headphones</v>
      </c>
      <c r="F556" t="str">
        <f>IF(RawData!F556="","Unknown",PROPER(TRIM(CLEAN(SUBSTITUTE(RawData!F556,CHAR(160)," ")))))</f>
        <v>Electronics</v>
      </c>
      <c r="G556">
        <f>_xlfn.LET(
_xlpm.q,RawData!G556,
_xlpm.u,RawData!H556,
_xlpm.d,RawData!I556,
_xlpm.r,RawData!J556,
IF(AND(ISNUMBER(_xlpm.q),_xlpm.q&gt;0),_xlpm.q,
   IF(AND(ISNUMBER(_xlpm.r),ISNUMBER(_xlpm.u),_xlpm.u&gt;0,ISNUMBER(_xlpm.d),_xlpm.d&gt;=0,_xlpm.d&lt;1),
      ROUND(_xlpm.r/(_xlpm.u*(1-_xlpm.d)),0),
      ""
   )
)
)</f>
        <v>10</v>
      </c>
      <c r="H556" s="4">
        <f>_xlfn.LET(
_xlpm.q,RawData!G556,
_xlpm.u,RawData!H556,
_xlpm.d,RawData!I556,
_xlpm.r,RawData!J556,
IF(AND(ISNUMBER(_xlpm.u),_xlpm.u&gt;0),_xlpm.u,
   IF(AND(ISNUMBER(_xlpm.q),_xlpm.q&gt;0,ISNUMBER(_xlpm.r),ISNUMBER(_xlpm.d),_xlpm.d&gt;=0,_xlpm.d&lt;1),
      _xlpm.r/(_xlpm.q*(1-_xlpm.d)),
      ""
   )
)
)</f>
        <v>84.7</v>
      </c>
      <c r="I556" s="5">
        <f>_xlfn.LET(
_xlpm.q,RawData!G556,
_xlpm.u,RawData!H556,
_xlpm.d,RawData!I556,
_xlpm.r,RawData!J556,
IF(AND(ISNUMBER(_xlpm.d),_xlpm.d&gt;=0,_xlpm.d&lt;1),_xlpm.d,
   IF(AND(ISNUMBER(_xlpm.q),_xlpm.q&gt;0,ISNUMBER(_xlpm.u),_xlpm.u&gt;0,ISNUMBER(_xlpm.r),_xlpm.r&gt;=0),
      1-(_xlpm.r/(_xlpm.q*_xlpm.u)),
      ""
   )
)
)</f>
        <v>0.02</v>
      </c>
      <c r="J556" s="4">
        <f>_xlfn.LET(
_xlpm.q,RawData!G556,
_xlpm.u,RawData!H556,
_xlpm.d,RawData!I556,
_xlpm.r,RawData!J556,
IF(AND(ISNUMBER(_xlpm.r),_xlpm.r&gt;=0),_xlpm.r,
   IF(AND(ISNUMBER(_xlpm.q),_xlpm.q&gt;0,ISNUMBER(_xlpm.u),_xlpm.u&gt;0,ISNUMBER(_xlpm.d),_xlpm.d&gt;=0,_xlpm.d&lt;1),
      _xlpm.q*_xlpm.u*(1-_xlpm.d),
      ""
   )
)
)</f>
        <v>830.06</v>
      </c>
      <c r="K556" s="4">
        <f>_xlfn.LET(
_xlpm.c,RawData!K556,
_xlpm.r,RawData!J556,
_xlpm.p,RawData!L556,
IF(AND(ISNUMBER(_xlpm.c),_xlpm.c&gt;=0),_xlpm.c,
   IF(AND(ISNUMBER(_xlpm.r),ISNUMBER(_xlpm.p)),
      _xlpm.r-_xlpm.p,
      ""
   )
)
)</f>
        <v>491.02</v>
      </c>
      <c r="L556" s="4">
        <f>_xlfn.LET(
_xlpm.p,RawData!L556,
_xlpm.r,RawData!J556,
_xlpm.c,RawData!K556,
IF(ISNUMBER(_xlpm.p),_xlpm.p,
IF(AND(ISNUMBER(_xlpm.r),ISNUMBER(_xlpm.c)),
_xlpm.r-_xlpm.c,
""
)
))</f>
        <v>339.04</v>
      </c>
    </row>
    <row r="557" spans="1:12" x14ac:dyDescent="0.35">
      <c r="A557" t="s">
        <v>599</v>
      </c>
      <c r="B557" s="7">
        <v>45763</v>
      </c>
      <c r="C557" t="str">
        <f>IF(RawData!C557="","Unknown",PROPER(TRIM(CLEAN(SUBSTITUTE(RawData!C557,CHAR(160)," ")))))</f>
        <v>North</v>
      </c>
      <c r="D557" t="str">
        <f>IF(RawData!D557="","Unknown",PROPER(TRIM(CLEAN(SUBSTITUTE(RawData!D557,CHAR(160)," ")))))</f>
        <v>Jaipur</v>
      </c>
      <c r="E557" t="str">
        <f>IF(RawData!E557="","Unknown",PROPER(TRIM(CLEAN(SUBSTITUTE(RawData!E557,CHAR(160)," ")))))</f>
        <v>Pen Set</v>
      </c>
      <c r="F557" t="str">
        <f>IF(RawData!F557="","Unknown",PROPER(TRIM(CLEAN(SUBSTITUTE(RawData!F557,CHAR(160)," ")))))</f>
        <v>Office Supplies</v>
      </c>
      <c r="G557">
        <f>_xlfn.LET(
_xlpm.q,RawData!G557,
_xlpm.u,RawData!H557,
_xlpm.d,RawData!I557,
_xlpm.r,RawData!J557,
IF(AND(ISNUMBER(_xlpm.q),_xlpm.q&gt;0),_xlpm.q,
   IF(AND(ISNUMBER(_xlpm.r),ISNUMBER(_xlpm.u),_xlpm.u&gt;0,ISNUMBER(_xlpm.d),_xlpm.d&gt;=0,_xlpm.d&lt;1),
      ROUND(_xlpm.r/(_xlpm.u*(1-_xlpm.d)),0),
      ""
   )
)
)</f>
        <v>6</v>
      </c>
      <c r="H557" s="4">
        <f>_xlfn.LET(
_xlpm.q,RawData!G557,
_xlpm.u,RawData!H557,
_xlpm.d,RawData!I557,
_xlpm.r,RawData!J557,
IF(AND(ISNUMBER(_xlpm.u),_xlpm.u&gt;0),_xlpm.u,
   IF(AND(ISNUMBER(_xlpm.q),_xlpm.q&gt;0,ISNUMBER(_xlpm.r),ISNUMBER(_xlpm.d),_xlpm.d&gt;=0,_xlpm.d&lt;1),
      _xlpm.r/(_xlpm.q*(1-_xlpm.d)),
      ""
   )
)
)</f>
        <v>13.14</v>
      </c>
      <c r="I557" s="5">
        <f>_xlfn.LET(
_xlpm.q,RawData!G557,
_xlpm.u,RawData!H557,
_xlpm.d,RawData!I557,
_xlpm.r,RawData!J557,
IF(AND(ISNUMBER(_xlpm.d),_xlpm.d&gt;=0,_xlpm.d&lt;1),_xlpm.d,
   IF(AND(ISNUMBER(_xlpm.q),_xlpm.q&gt;0,ISNUMBER(_xlpm.u),_xlpm.u&gt;0,ISNUMBER(_xlpm.r),_xlpm.r&gt;=0),
      1-(_xlpm.r/(_xlpm.q*_xlpm.u)),
      ""
   )
)
)</f>
        <v>0.15</v>
      </c>
      <c r="J557" s="4">
        <f>_xlfn.LET(
_xlpm.q,RawData!G557,
_xlpm.u,RawData!H557,
_xlpm.d,RawData!I557,
_xlpm.r,RawData!J557,
IF(AND(ISNUMBER(_xlpm.r),_xlpm.r&gt;=0),_xlpm.r,
   IF(AND(ISNUMBER(_xlpm.q),_xlpm.q&gt;0,ISNUMBER(_xlpm.u),_xlpm.u&gt;0,ISNUMBER(_xlpm.d),_xlpm.d&gt;=0,_xlpm.d&lt;1),
      _xlpm.q*_xlpm.u*(1-_xlpm.d),
      ""
   )
)
)</f>
        <v>67.010000000000005</v>
      </c>
      <c r="K557" s="4">
        <f>_xlfn.LET(
_xlpm.c,RawData!K557,
_xlpm.r,RawData!J557,
_xlpm.p,RawData!L557,
IF(AND(ISNUMBER(_xlpm.c),_xlpm.c&gt;=0),_xlpm.c,
   IF(AND(ISNUMBER(_xlpm.r),ISNUMBER(_xlpm.p)),
      _xlpm.r-_xlpm.p,
      ""
   )
)
)</f>
        <v>40.92</v>
      </c>
      <c r="L557" s="4">
        <f>_xlfn.LET(
_xlpm.p,RawData!L557,
_xlpm.r,RawData!J557,
_xlpm.c,RawData!K557,
IF(ISNUMBER(_xlpm.p),_xlpm.p,
IF(AND(ISNUMBER(_xlpm.r),ISNUMBER(_xlpm.c)),
_xlpm.r-_xlpm.c,
""
)
))</f>
        <v>26.09</v>
      </c>
    </row>
    <row r="558" spans="1:12" x14ac:dyDescent="0.35">
      <c r="A558" t="s">
        <v>600</v>
      </c>
      <c r="B558" s="7">
        <v>45963</v>
      </c>
      <c r="C558" t="str">
        <f>IF(RawData!C558="","Unknown",PROPER(TRIM(CLEAN(SUBSTITUTE(RawData!C558,CHAR(160)," ")))))</f>
        <v>South</v>
      </c>
      <c r="D558" t="str">
        <f>IF(RawData!D558="","Unknown",PROPER(TRIM(CLEAN(SUBSTITUTE(RawData!D558,CHAR(160)," ")))))</f>
        <v>Bengaluru</v>
      </c>
      <c r="E558" t="str">
        <f>IF(RawData!E558="","Unknown",PROPER(TRIM(CLEAN(SUBSTITUTE(RawData!E558,CHAR(160)," ")))))</f>
        <v>Desk</v>
      </c>
      <c r="F558" t="str">
        <f>IF(RawData!F558="","Unknown",PROPER(TRIM(CLEAN(SUBSTITUTE(RawData!F558,CHAR(160)," ")))))</f>
        <v>Furniture</v>
      </c>
      <c r="G558">
        <f>_xlfn.LET(
_xlpm.q,RawData!G558,
_xlpm.u,RawData!H558,
_xlpm.d,RawData!I558,
_xlpm.r,RawData!J558,
IF(AND(ISNUMBER(_xlpm.q),_xlpm.q&gt;0),_xlpm.q,
   IF(AND(ISNUMBER(_xlpm.r),ISNUMBER(_xlpm.u),_xlpm.u&gt;0,ISNUMBER(_xlpm.d),_xlpm.d&gt;=0,_xlpm.d&lt;1),
      ROUND(_xlpm.r/(_xlpm.u*(1-_xlpm.d)),0),
      ""
   )
)
)</f>
        <v>5</v>
      </c>
      <c r="H558" s="4">
        <f>_xlfn.LET(
_xlpm.q,RawData!G558,
_xlpm.u,RawData!H558,
_xlpm.d,RawData!I558,
_xlpm.r,RawData!J558,
IF(AND(ISNUMBER(_xlpm.u),_xlpm.u&gt;0),_xlpm.u,
   IF(AND(ISNUMBER(_xlpm.q),_xlpm.q&gt;0,ISNUMBER(_xlpm.r),ISNUMBER(_xlpm.d),_xlpm.d&gt;=0,_xlpm.d&lt;1),
      _xlpm.r/(_xlpm.q*(1-_xlpm.d)),
      ""
   )
)
)</f>
        <v>229.29</v>
      </c>
      <c r="I558" s="5">
        <f>_xlfn.LET(
_xlpm.q,RawData!G558,
_xlpm.u,RawData!H558,
_xlpm.d,RawData!I558,
_xlpm.r,RawData!J558,
IF(AND(ISNUMBER(_xlpm.d),_xlpm.d&gt;=0,_xlpm.d&lt;1),_xlpm.d,
   IF(AND(ISNUMBER(_xlpm.q),_xlpm.q&gt;0,ISNUMBER(_xlpm.u),_xlpm.u&gt;0,ISNUMBER(_xlpm.r),_xlpm.r&gt;=0),
      1-(_xlpm.r/(_xlpm.q*_xlpm.u)),
      ""
   )
)
)</f>
        <v>0.05</v>
      </c>
      <c r="J558" s="4">
        <f>_xlfn.LET(
_xlpm.q,RawData!G558,
_xlpm.u,RawData!H558,
_xlpm.d,RawData!I558,
_xlpm.r,RawData!J558,
IF(AND(ISNUMBER(_xlpm.r),_xlpm.r&gt;=0),_xlpm.r,
   IF(AND(ISNUMBER(_xlpm.q),_xlpm.q&gt;0,ISNUMBER(_xlpm.u),_xlpm.u&gt;0,ISNUMBER(_xlpm.d),_xlpm.d&gt;=0,_xlpm.d&lt;1),
      _xlpm.q*_xlpm.u*(1-_xlpm.d),
      ""
   )
)
)</f>
        <v>1089.1300000000001</v>
      </c>
      <c r="K558" s="4">
        <f>_xlfn.LET(
_xlpm.c,RawData!K558,
_xlpm.r,RawData!J558,
_xlpm.p,RawData!L558,
IF(AND(ISNUMBER(_xlpm.c),_xlpm.c&gt;=0),_xlpm.c,
   IF(AND(ISNUMBER(_xlpm.r),ISNUMBER(_xlpm.p)),
      _xlpm.r-_xlpm.p,
      ""
   )
)
)</f>
        <v>756.93</v>
      </c>
      <c r="L558" s="4">
        <f>_xlfn.LET(
_xlpm.p,RawData!L558,
_xlpm.r,RawData!J558,
_xlpm.c,RawData!K558,
IF(ISNUMBER(_xlpm.p),_xlpm.p,
IF(AND(ISNUMBER(_xlpm.r),ISNUMBER(_xlpm.c)),
_xlpm.r-_xlpm.c,
""
)
))</f>
        <v>332.2</v>
      </c>
    </row>
    <row r="559" spans="1:12" x14ac:dyDescent="0.35">
      <c r="A559" t="s">
        <v>601</v>
      </c>
      <c r="B559" s="7">
        <v>45794</v>
      </c>
      <c r="C559" t="str">
        <f>IF(RawData!C559="","Unknown",PROPER(TRIM(CLEAN(SUBSTITUTE(RawData!C559,CHAR(160)," ")))))</f>
        <v>North</v>
      </c>
      <c r="D559" t="str">
        <f>IF(RawData!D559="","Unknown",PROPER(TRIM(CLEAN(SUBSTITUTE(RawData!D559,CHAR(160)," ")))))</f>
        <v>Jaipur</v>
      </c>
      <c r="E559" t="str">
        <f>IF(RawData!E559="","Unknown",PROPER(TRIM(CLEAN(SUBSTITUTE(RawData!E559,CHAR(160)," ")))))</f>
        <v>Headphones</v>
      </c>
      <c r="F559" t="str">
        <f>IF(RawData!F559="","Unknown",PROPER(TRIM(CLEAN(SUBSTITUTE(RawData!F559,CHAR(160)," ")))))</f>
        <v>Electronics</v>
      </c>
      <c r="G559">
        <f>_xlfn.LET(
_xlpm.q,RawData!G559,
_xlpm.u,RawData!H559,
_xlpm.d,RawData!I559,
_xlpm.r,RawData!J559,
IF(AND(ISNUMBER(_xlpm.q),_xlpm.q&gt;0),_xlpm.q,
   IF(AND(ISNUMBER(_xlpm.r),ISNUMBER(_xlpm.u),_xlpm.u&gt;0,ISNUMBER(_xlpm.d),_xlpm.d&gt;=0,_xlpm.d&lt;1),
      ROUND(_xlpm.r/(_xlpm.u*(1-_xlpm.d)),0),
      ""
   )
)
)</f>
        <v>7</v>
      </c>
      <c r="H559" s="4">
        <f>_xlfn.LET(
_xlpm.q,RawData!G559,
_xlpm.u,RawData!H559,
_xlpm.d,RawData!I559,
_xlpm.r,RawData!J559,
IF(AND(ISNUMBER(_xlpm.u),_xlpm.u&gt;0),_xlpm.u,
   IF(AND(ISNUMBER(_xlpm.q),_xlpm.q&gt;0,ISNUMBER(_xlpm.r),ISNUMBER(_xlpm.d),_xlpm.d&gt;=0,_xlpm.d&lt;1),
      _xlpm.r/(_xlpm.q*(1-_xlpm.d)),
      ""
   )
)
)</f>
        <v>82.23</v>
      </c>
      <c r="I559" s="5">
        <f>_xlfn.LET(
_xlpm.q,RawData!G559,
_xlpm.u,RawData!H559,
_xlpm.d,RawData!I559,
_xlpm.r,RawData!J559,
IF(AND(ISNUMBER(_xlpm.d),_xlpm.d&gt;=0,_xlpm.d&lt;1),_xlpm.d,
   IF(AND(ISNUMBER(_xlpm.q),_xlpm.q&gt;0,ISNUMBER(_xlpm.u),_xlpm.u&gt;0,ISNUMBER(_xlpm.r),_xlpm.r&gt;=0),
      1-(_xlpm.r/(_xlpm.q*_xlpm.u)),
      ""
   )
)
)</f>
        <v>0</v>
      </c>
      <c r="J559" s="4">
        <f>_xlfn.LET(
_xlpm.q,RawData!G559,
_xlpm.u,RawData!H559,
_xlpm.d,RawData!I559,
_xlpm.r,RawData!J559,
IF(AND(ISNUMBER(_xlpm.r),_xlpm.r&gt;=0),_xlpm.r,
   IF(AND(ISNUMBER(_xlpm.q),_xlpm.q&gt;0,ISNUMBER(_xlpm.u),_xlpm.u&gt;0,ISNUMBER(_xlpm.d),_xlpm.d&gt;=0,_xlpm.d&lt;1),
      _xlpm.q*_xlpm.u*(1-_xlpm.d),
      ""
   )
)
)</f>
        <v>575.61</v>
      </c>
      <c r="K559" s="4">
        <f>_xlfn.LET(
_xlpm.c,RawData!K559,
_xlpm.r,RawData!J559,
_xlpm.p,RawData!L559,
IF(AND(ISNUMBER(_xlpm.c),_xlpm.c&gt;=0),_xlpm.c,
   IF(AND(ISNUMBER(_xlpm.r),ISNUMBER(_xlpm.p)),
      _xlpm.r-_xlpm.p,
      ""
   )
)
)</f>
        <v>406.74</v>
      </c>
      <c r="L559" s="4">
        <f>_xlfn.LET(
_xlpm.p,RawData!L559,
_xlpm.r,RawData!J559,
_xlpm.c,RawData!K559,
IF(ISNUMBER(_xlpm.p),_xlpm.p,
IF(AND(ISNUMBER(_xlpm.r),ISNUMBER(_xlpm.c)),
_xlpm.r-_xlpm.c,
""
)
))</f>
        <v>168.87</v>
      </c>
    </row>
    <row r="560" spans="1:12" x14ac:dyDescent="0.35">
      <c r="A560" t="s">
        <v>602</v>
      </c>
      <c r="B560" s="7">
        <v>45993</v>
      </c>
      <c r="C560" t="str">
        <f>IF(RawData!C560="","Unknown",PROPER(TRIM(CLEAN(SUBSTITUTE(RawData!C560,CHAR(160)," ")))))</f>
        <v>South</v>
      </c>
      <c r="D560" t="str">
        <f>IF(RawData!D560="","Unknown",PROPER(TRIM(CLEAN(SUBSTITUTE(RawData!D560,CHAR(160)," ")))))</f>
        <v>Hyderabad</v>
      </c>
      <c r="E560" t="str">
        <f>IF(RawData!E560="","Unknown",PROPER(TRIM(CLEAN(SUBSTITUTE(RawData!E560,CHAR(160)," ")))))</f>
        <v>Keyboard</v>
      </c>
      <c r="F560" t="str">
        <f>IF(RawData!F560="","Unknown",PROPER(TRIM(CLEAN(SUBSTITUTE(RawData!F560,CHAR(160)," ")))))</f>
        <v>Accessories</v>
      </c>
      <c r="G560">
        <f>_xlfn.LET(
_xlpm.q,RawData!G560,
_xlpm.u,RawData!H560,
_xlpm.d,RawData!I560,
_xlpm.r,RawData!J560,
IF(AND(ISNUMBER(_xlpm.q),_xlpm.q&gt;0),_xlpm.q,
   IF(AND(ISNUMBER(_xlpm.r),ISNUMBER(_xlpm.u),_xlpm.u&gt;0,ISNUMBER(_xlpm.d),_xlpm.d&gt;=0,_xlpm.d&lt;1),
      ROUND(_xlpm.r/(_xlpm.u*(1-_xlpm.d)),0),
      ""
   )
)
)</f>
        <v>3</v>
      </c>
      <c r="H560" s="4">
        <f>_xlfn.LET(
_xlpm.q,RawData!G560,
_xlpm.u,RawData!H560,
_xlpm.d,RawData!I560,
_xlpm.r,RawData!J560,
IF(AND(ISNUMBER(_xlpm.u),_xlpm.u&gt;0),_xlpm.u,
   IF(AND(ISNUMBER(_xlpm.q),_xlpm.q&gt;0,ISNUMBER(_xlpm.r),ISNUMBER(_xlpm.d),_xlpm.d&gt;=0,_xlpm.d&lt;1),
      _xlpm.r/(_xlpm.q*(1-_xlpm.d)),
      ""
   )
)
)</f>
        <v>30.71</v>
      </c>
      <c r="I560" s="5">
        <f>_xlfn.LET(
_xlpm.q,RawData!G560,
_xlpm.u,RawData!H560,
_xlpm.d,RawData!I560,
_xlpm.r,RawData!J560,
IF(AND(ISNUMBER(_xlpm.d),_xlpm.d&gt;=0,_xlpm.d&lt;1),_xlpm.d,
   IF(AND(ISNUMBER(_xlpm.q),_xlpm.q&gt;0,ISNUMBER(_xlpm.u),_xlpm.u&gt;0,ISNUMBER(_xlpm.r),_xlpm.r&gt;=0),
      1-(_xlpm.r/(_xlpm.q*_xlpm.u)),
      ""
   )
)
)</f>
        <v>0.02</v>
      </c>
      <c r="J560" s="4">
        <f>_xlfn.LET(
_xlpm.q,RawData!G560,
_xlpm.u,RawData!H560,
_xlpm.d,RawData!I560,
_xlpm.r,RawData!J560,
IF(AND(ISNUMBER(_xlpm.r),_xlpm.r&gt;=0),_xlpm.r,
   IF(AND(ISNUMBER(_xlpm.q),_xlpm.q&gt;0,ISNUMBER(_xlpm.u),_xlpm.u&gt;0,ISNUMBER(_xlpm.d),_xlpm.d&gt;=0,_xlpm.d&lt;1),
      _xlpm.q*_xlpm.u*(1-_xlpm.d),
      ""
   )
)
)</f>
        <v>90.29</v>
      </c>
      <c r="K560" s="4">
        <f>_xlfn.LET(
_xlpm.c,RawData!K560,
_xlpm.r,RawData!J560,
_xlpm.p,RawData!L560,
IF(AND(ISNUMBER(_xlpm.c),_xlpm.c&gt;=0),_xlpm.c,
   IF(AND(ISNUMBER(_xlpm.r),ISNUMBER(_xlpm.p)),
      _xlpm.r-_xlpm.p,
      ""
   )
)
)</f>
        <v>71.05</v>
      </c>
      <c r="L560" s="4">
        <f>_xlfn.LET(
_xlpm.p,RawData!L560,
_xlpm.r,RawData!J560,
_xlpm.c,RawData!K560,
IF(ISNUMBER(_xlpm.p),_xlpm.p,
IF(AND(ISNUMBER(_xlpm.r),ISNUMBER(_xlpm.c)),
_xlpm.r-_xlpm.c,
""
)
))</f>
        <v>19.239999999999998</v>
      </c>
    </row>
    <row r="561" spans="1:12" x14ac:dyDescent="0.35">
      <c r="A561" t="s">
        <v>603</v>
      </c>
      <c r="B561" s="7">
        <v>46022</v>
      </c>
      <c r="C561" t="str">
        <f>IF(RawData!C561="","Unknown",PROPER(TRIM(CLEAN(SUBSTITUTE(RawData!C561,CHAR(160)," ")))))</f>
        <v>East</v>
      </c>
      <c r="D561" t="str">
        <f>IF(RawData!D561="","Unknown",PROPER(TRIM(CLEAN(SUBSTITUTE(RawData!D561,CHAR(160)," ")))))</f>
        <v>Kolkata</v>
      </c>
      <c r="E561" t="str">
        <f>IF(RawData!E561="","Unknown",PROPER(TRIM(CLEAN(SUBSTITUTE(RawData!E561,CHAR(160)," ")))))</f>
        <v>Monitor</v>
      </c>
      <c r="F561" t="str">
        <f>IF(RawData!F561="","Unknown",PROPER(TRIM(CLEAN(SUBSTITUTE(RawData!F561,CHAR(160)," ")))))</f>
        <v>Electronics</v>
      </c>
      <c r="G561">
        <f>_xlfn.LET(
_xlpm.q,RawData!G561,
_xlpm.u,RawData!H561,
_xlpm.d,RawData!I561,
_xlpm.r,RawData!J561,
IF(AND(ISNUMBER(_xlpm.q),_xlpm.q&gt;0),_xlpm.q,
   IF(AND(ISNUMBER(_xlpm.r),ISNUMBER(_xlpm.u),_xlpm.u&gt;0,ISNUMBER(_xlpm.d),_xlpm.d&gt;=0,_xlpm.d&lt;1),
      ROUND(_xlpm.r/(_xlpm.u*(1-_xlpm.d)),0),
      ""
   )
)
)</f>
        <v>7</v>
      </c>
      <c r="H561" s="4">
        <f>_xlfn.LET(
_xlpm.q,RawData!G561,
_xlpm.u,RawData!H561,
_xlpm.d,RawData!I561,
_xlpm.r,RawData!J561,
IF(AND(ISNUMBER(_xlpm.u),_xlpm.u&gt;0),_xlpm.u,
   IF(AND(ISNUMBER(_xlpm.q),_xlpm.q&gt;0,ISNUMBER(_xlpm.r),ISNUMBER(_xlpm.d),_xlpm.d&gt;=0,_xlpm.d&lt;1),
      _xlpm.r/(_xlpm.q*(1-_xlpm.d)),
      ""
   )
)
)</f>
        <v>204.53</v>
      </c>
      <c r="I561" s="5">
        <f>_xlfn.LET(
_xlpm.q,RawData!G561,
_xlpm.u,RawData!H561,
_xlpm.d,RawData!I561,
_xlpm.r,RawData!J561,
IF(AND(ISNUMBER(_xlpm.d),_xlpm.d&gt;=0,_xlpm.d&lt;1),_xlpm.d,
   IF(AND(ISNUMBER(_xlpm.q),_xlpm.q&gt;0,ISNUMBER(_xlpm.u),_xlpm.u&gt;0,ISNUMBER(_xlpm.r),_xlpm.r&gt;=0),
      1-(_xlpm.r/(_xlpm.q*_xlpm.u)),
      ""
   )
)
)</f>
        <v>0.1</v>
      </c>
      <c r="J561" s="4">
        <f>_xlfn.LET(
_xlpm.q,RawData!G561,
_xlpm.u,RawData!H561,
_xlpm.d,RawData!I561,
_xlpm.r,RawData!J561,
IF(AND(ISNUMBER(_xlpm.r),_xlpm.r&gt;=0),_xlpm.r,
   IF(AND(ISNUMBER(_xlpm.q),_xlpm.q&gt;0,ISNUMBER(_xlpm.u),_xlpm.u&gt;0,ISNUMBER(_xlpm.d),_xlpm.d&gt;=0,_xlpm.d&lt;1),
      _xlpm.q*_xlpm.u*(1-_xlpm.d),
      ""
   )
)
)</f>
        <v>1288.54</v>
      </c>
      <c r="K561" s="4">
        <f>_xlfn.LET(
_xlpm.c,RawData!K561,
_xlpm.r,RawData!J561,
_xlpm.p,RawData!L561,
IF(AND(ISNUMBER(_xlpm.c),_xlpm.c&gt;=0),_xlpm.c,
   IF(AND(ISNUMBER(_xlpm.r),ISNUMBER(_xlpm.p)),
      _xlpm.r-_xlpm.p,
      ""
   )
)
)</f>
        <v>753.76</v>
      </c>
      <c r="L561" s="4">
        <f>_xlfn.LET(
_xlpm.p,RawData!L561,
_xlpm.r,RawData!J561,
_xlpm.c,RawData!K561,
IF(ISNUMBER(_xlpm.p),_xlpm.p,
IF(AND(ISNUMBER(_xlpm.r),ISNUMBER(_xlpm.c)),
_xlpm.r-_xlpm.c,
""
)
))</f>
        <v>534.78</v>
      </c>
    </row>
    <row r="562" spans="1:12" x14ac:dyDescent="0.35">
      <c r="A562" t="s">
        <v>604</v>
      </c>
      <c r="B562" s="7">
        <v>45953</v>
      </c>
      <c r="C562" t="str">
        <f>IF(RawData!C562="","Unknown",PROPER(TRIM(CLEAN(SUBSTITUTE(RawData!C562,CHAR(160)," ")))))</f>
        <v>East</v>
      </c>
      <c r="D562" t="str">
        <f>IF(RawData!D562="","Unknown",PROPER(TRIM(CLEAN(SUBSTITUTE(RawData!D562,CHAR(160)," ")))))</f>
        <v>Bhubaneswar</v>
      </c>
      <c r="E562" t="str">
        <f>IF(RawData!E562="","Unknown",PROPER(TRIM(CLEAN(SUBSTITUTE(RawData!E562,CHAR(160)," ")))))</f>
        <v>Backpack</v>
      </c>
      <c r="F562" t="str">
        <f>IF(RawData!F562="","Unknown",PROPER(TRIM(CLEAN(SUBSTITUTE(RawData!F562,CHAR(160)," ")))))</f>
        <v>Accessories</v>
      </c>
      <c r="G562">
        <f>_xlfn.LET(
_xlpm.q,RawData!G562,
_xlpm.u,RawData!H562,
_xlpm.d,RawData!I562,
_xlpm.r,RawData!J562,
IF(AND(ISNUMBER(_xlpm.q),_xlpm.q&gt;0),_xlpm.q,
   IF(AND(ISNUMBER(_xlpm.r),ISNUMBER(_xlpm.u),_xlpm.u&gt;0,ISNUMBER(_xlpm.d),_xlpm.d&gt;=0,_xlpm.d&lt;1),
      ROUND(_xlpm.r/(_xlpm.u*(1-_xlpm.d)),0),
      ""
   )
)
)</f>
        <v>7</v>
      </c>
      <c r="H562" s="4">
        <f>_xlfn.LET(
_xlpm.q,RawData!G562,
_xlpm.u,RawData!H562,
_xlpm.d,RawData!I562,
_xlpm.r,RawData!J562,
IF(AND(ISNUMBER(_xlpm.u),_xlpm.u&gt;0),_xlpm.u,
   IF(AND(ISNUMBER(_xlpm.q),_xlpm.q&gt;0,ISNUMBER(_xlpm.r),ISNUMBER(_xlpm.d),_xlpm.d&gt;=0,_xlpm.d&lt;1),
      _xlpm.r/(_xlpm.q*(1-_xlpm.d)),
      ""
   )
)
)</f>
        <v>50.25</v>
      </c>
      <c r="I562" s="5">
        <f>_xlfn.LET(
_xlpm.q,RawData!G562,
_xlpm.u,RawData!H562,
_xlpm.d,RawData!I562,
_xlpm.r,RawData!J562,
IF(AND(ISNUMBER(_xlpm.d),_xlpm.d&gt;=0,_xlpm.d&lt;1),_xlpm.d,
   IF(AND(ISNUMBER(_xlpm.q),_xlpm.q&gt;0,ISNUMBER(_xlpm.u),_xlpm.u&gt;0,ISNUMBER(_xlpm.r),_xlpm.r&gt;=0),
      1-(_xlpm.r/(_xlpm.q*_xlpm.u)),
      ""
   )
)
)</f>
        <v>0.1</v>
      </c>
      <c r="J562" s="4">
        <f>_xlfn.LET(
_xlpm.q,RawData!G562,
_xlpm.u,RawData!H562,
_xlpm.d,RawData!I562,
_xlpm.r,RawData!J562,
IF(AND(ISNUMBER(_xlpm.r),_xlpm.r&gt;=0),_xlpm.r,
   IF(AND(ISNUMBER(_xlpm.q),_xlpm.q&gt;0,ISNUMBER(_xlpm.u),_xlpm.u&gt;0,ISNUMBER(_xlpm.d),_xlpm.d&gt;=0,_xlpm.d&lt;1),
      _xlpm.q*_xlpm.u*(1-_xlpm.d),
      ""
   )
)
)</f>
        <v>316.57</v>
      </c>
      <c r="K562" s="4">
        <f>_xlfn.LET(
_xlpm.c,RawData!K562,
_xlpm.r,RawData!J562,
_xlpm.p,RawData!L562,
IF(AND(ISNUMBER(_xlpm.c),_xlpm.c&gt;=0),_xlpm.c,
   IF(AND(ISNUMBER(_xlpm.r),ISNUMBER(_xlpm.p)),
      _xlpm.r-_xlpm.p,
      ""
   )
)
)</f>
        <v>255.8</v>
      </c>
      <c r="L562" s="4">
        <f>_xlfn.LET(
_xlpm.p,RawData!L562,
_xlpm.r,RawData!J562,
_xlpm.c,RawData!K562,
IF(ISNUMBER(_xlpm.p),_xlpm.p,
IF(AND(ISNUMBER(_xlpm.r),ISNUMBER(_xlpm.c)),
_xlpm.r-_xlpm.c,
""
)
))</f>
        <v>60.77</v>
      </c>
    </row>
    <row r="563" spans="1:12" x14ac:dyDescent="0.35">
      <c r="A563" t="s">
        <v>605</v>
      </c>
      <c r="B563" s="7">
        <v>45696</v>
      </c>
      <c r="C563" t="str">
        <f>IF(RawData!C563="","Unknown",PROPER(TRIM(CLEAN(SUBSTITUTE(RawData!C563,CHAR(160)," ")))))</f>
        <v>North</v>
      </c>
      <c r="D563" t="str">
        <f>IF(RawData!D563="","Unknown",PROPER(TRIM(CLEAN(SUBSTITUTE(RawData!D563,CHAR(160)," ")))))</f>
        <v>Jaipur</v>
      </c>
      <c r="E563" t="str">
        <f>IF(RawData!E563="","Unknown",PROPER(TRIM(CLEAN(SUBSTITUTE(RawData!E563,CHAR(160)," ")))))</f>
        <v>Bookshelf</v>
      </c>
      <c r="F563" t="str">
        <f>IF(RawData!F563="","Unknown",PROPER(TRIM(CLEAN(SUBSTITUTE(RawData!F563,CHAR(160)," ")))))</f>
        <v>Furniture</v>
      </c>
      <c r="G563">
        <f>_xlfn.LET(
_xlpm.q,RawData!G563,
_xlpm.u,RawData!H563,
_xlpm.d,RawData!I563,
_xlpm.r,RawData!J563,
IF(AND(ISNUMBER(_xlpm.q),_xlpm.q&gt;0),_xlpm.q,
   IF(AND(ISNUMBER(_xlpm.r),ISNUMBER(_xlpm.u),_xlpm.u&gt;0,ISNUMBER(_xlpm.d),_xlpm.d&gt;=0,_xlpm.d&lt;1),
      ROUND(_xlpm.r/(_xlpm.u*(1-_xlpm.d)),0),
      ""
   )
)
)</f>
        <v>9</v>
      </c>
      <c r="H563" s="4">
        <f>_xlfn.LET(
_xlpm.q,RawData!G563,
_xlpm.u,RawData!H563,
_xlpm.d,RawData!I563,
_xlpm.r,RawData!J563,
IF(AND(ISNUMBER(_xlpm.u),_xlpm.u&gt;0),_xlpm.u,
   IF(AND(ISNUMBER(_xlpm.q),_xlpm.q&gt;0,ISNUMBER(_xlpm.r),ISNUMBER(_xlpm.d),_xlpm.d&gt;=0,_xlpm.d&lt;1),
      _xlpm.r/(_xlpm.q*(1-_xlpm.d)),
      ""
   )
)
)</f>
        <v>155.21</v>
      </c>
      <c r="I563" s="5">
        <f>_xlfn.LET(
_xlpm.q,RawData!G563,
_xlpm.u,RawData!H563,
_xlpm.d,RawData!I563,
_xlpm.r,RawData!J563,
IF(AND(ISNUMBER(_xlpm.d),_xlpm.d&gt;=0,_xlpm.d&lt;1),_xlpm.d,
   IF(AND(ISNUMBER(_xlpm.q),_xlpm.q&gt;0,ISNUMBER(_xlpm.u),_xlpm.u&gt;0,ISNUMBER(_xlpm.r),_xlpm.r&gt;=0),
      1-(_xlpm.r/(_xlpm.q*_xlpm.u)),
      ""
   )
)
)</f>
        <v>0.2</v>
      </c>
      <c r="J563" s="4">
        <f>_xlfn.LET(
_xlpm.q,RawData!G563,
_xlpm.u,RawData!H563,
_xlpm.d,RawData!I563,
_xlpm.r,RawData!J563,
IF(AND(ISNUMBER(_xlpm.r),_xlpm.r&gt;=0),_xlpm.r,
   IF(AND(ISNUMBER(_xlpm.q),_xlpm.q&gt;0,ISNUMBER(_xlpm.u),_xlpm.u&gt;0,ISNUMBER(_xlpm.d),_xlpm.d&gt;=0,_xlpm.d&lt;1),
      _xlpm.q*_xlpm.u*(1-_xlpm.d),
      ""
   )
)
)</f>
        <v>1117.51</v>
      </c>
      <c r="K563" s="4">
        <f>_xlfn.LET(
_xlpm.c,RawData!K563,
_xlpm.r,RawData!J563,
_xlpm.p,RawData!L563,
IF(AND(ISNUMBER(_xlpm.c),_xlpm.c&gt;=0),_xlpm.c,
   IF(AND(ISNUMBER(_xlpm.r),ISNUMBER(_xlpm.p)),
      _xlpm.r-_xlpm.p,
      ""
   )
)
)</f>
        <v>858.88</v>
      </c>
      <c r="L563" s="4">
        <f>_xlfn.LET(
_xlpm.p,RawData!L563,
_xlpm.r,RawData!J563,
_xlpm.c,RawData!K563,
IF(ISNUMBER(_xlpm.p),_xlpm.p,
IF(AND(ISNUMBER(_xlpm.r),ISNUMBER(_xlpm.c)),
_xlpm.r-_xlpm.c,
""
)
))</f>
        <v>258.63</v>
      </c>
    </row>
    <row r="564" spans="1:12" x14ac:dyDescent="0.35">
      <c r="A564" t="s">
        <v>606</v>
      </c>
      <c r="B564" s="7">
        <v>46013</v>
      </c>
      <c r="C564" t="str">
        <f>IF(RawData!C564="","Unknown",PROPER(TRIM(CLEAN(SUBSTITUTE(RawData!C564,CHAR(160)," ")))))</f>
        <v>East</v>
      </c>
      <c r="D564" t="str">
        <f>IF(RawData!D564="","Unknown",PROPER(TRIM(CLEAN(SUBSTITUTE(RawData!D564,CHAR(160)," ")))))</f>
        <v>Patna</v>
      </c>
      <c r="E564" t="str">
        <f>IF(RawData!E564="","Unknown",PROPER(TRIM(CLEAN(SUBSTITUTE(RawData!E564,CHAR(160)," ")))))</f>
        <v>Printer</v>
      </c>
      <c r="F564" t="str">
        <f>IF(RawData!F564="","Unknown",PROPER(TRIM(CLEAN(SUBSTITUTE(RawData!F564,CHAR(160)," ")))))</f>
        <v>Office Supplies</v>
      </c>
      <c r="G564">
        <f>_xlfn.LET(
_xlpm.q,RawData!G564,
_xlpm.u,RawData!H564,
_xlpm.d,RawData!I564,
_xlpm.r,RawData!J564,
IF(AND(ISNUMBER(_xlpm.q),_xlpm.q&gt;0),_xlpm.q,
   IF(AND(ISNUMBER(_xlpm.r),ISNUMBER(_xlpm.u),_xlpm.u&gt;0,ISNUMBER(_xlpm.d),_xlpm.d&gt;=0,_xlpm.d&lt;1),
      ROUND(_xlpm.r/(_xlpm.u*(1-_xlpm.d)),0),
      ""
   )
)
)</f>
        <v>8</v>
      </c>
      <c r="H564" s="4">
        <f>_xlfn.LET(
_xlpm.q,RawData!G564,
_xlpm.u,RawData!H564,
_xlpm.d,RawData!I564,
_xlpm.r,RawData!J564,
IF(AND(ISNUMBER(_xlpm.u),_xlpm.u&gt;0),_xlpm.u,
   IF(AND(ISNUMBER(_xlpm.q),_xlpm.q&gt;0,ISNUMBER(_xlpm.r),ISNUMBER(_xlpm.d),_xlpm.d&gt;=0,_xlpm.d&lt;1),
      _xlpm.r/(_xlpm.q*(1-_xlpm.d)),
      ""
   )
)
)</f>
        <v>167.45</v>
      </c>
      <c r="I564" s="5">
        <f>_xlfn.LET(
_xlpm.q,RawData!G564,
_xlpm.u,RawData!H564,
_xlpm.d,RawData!I564,
_xlpm.r,RawData!J564,
IF(AND(ISNUMBER(_xlpm.d),_xlpm.d&gt;=0,_xlpm.d&lt;1),_xlpm.d,
   IF(AND(ISNUMBER(_xlpm.q),_xlpm.q&gt;0,ISNUMBER(_xlpm.u),_xlpm.u&gt;0,ISNUMBER(_xlpm.r),_xlpm.r&gt;=0),
      1-(_xlpm.r/(_xlpm.q*_xlpm.u)),
      ""
   )
)
)</f>
        <v>0.05</v>
      </c>
      <c r="J564" s="4">
        <f>_xlfn.LET(
_xlpm.q,RawData!G564,
_xlpm.u,RawData!H564,
_xlpm.d,RawData!I564,
_xlpm.r,RawData!J564,
IF(AND(ISNUMBER(_xlpm.r),_xlpm.r&gt;=0),_xlpm.r,
   IF(AND(ISNUMBER(_xlpm.q),_xlpm.q&gt;0,ISNUMBER(_xlpm.u),_xlpm.u&gt;0,ISNUMBER(_xlpm.d),_xlpm.d&gt;=0,_xlpm.d&lt;1),
      _xlpm.q*_xlpm.u*(1-_xlpm.d),
      ""
   )
)
)</f>
        <v>1272.6199999999999</v>
      </c>
      <c r="K564" s="4">
        <f>_xlfn.LET(
_xlpm.c,RawData!K564,
_xlpm.r,RawData!J564,
_xlpm.p,RawData!L564,
IF(AND(ISNUMBER(_xlpm.c),_xlpm.c&gt;=0),_xlpm.c,
   IF(AND(ISNUMBER(_xlpm.r),ISNUMBER(_xlpm.p)),
      _xlpm.r-_xlpm.p,
      ""
   )
)
)</f>
        <v>889.22</v>
      </c>
      <c r="L564" s="4">
        <f>_xlfn.LET(
_xlpm.p,RawData!L564,
_xlpm.r,RawData!J564,
_xlpm.c,RawData!K564,
IF(ISNUMBER(_xlpm.p),_xlpm.p,
IF(AND(ISNUMBER(_xlpm.r),ISNUMBER(_xlpm.c)),
_xlpm.r-_xlpm.c,
""
)
))</f>
        <v>383.4</v>
      </c>
    </row>
    <row r="565" spans="1:12" x14ac:dyDescent="0.35">
      <c r="A565" t="s">
        <v>607</v>
      </c>
      <c r="B565" s="7">
        <v>45659</v>
      </c>
      <c r="C565" t="str">
        <f>IF(RawData!C565="","Unknown",PROPER(TRIM(CLEAN(SUBSTITUTE(RawData!C565,CHAR(160)," ")))))</f>
        <v>North</v>
      </c>
      <c r="D565" t="str">
        <f>IF(RawData!D565="","Unknown",PROPER(TRIM(CLEAN(SUBSTITUTE(RawData!D565,CHAR(160)," ")))))</f>
        <v>Lucknow</v>
      </c>
      <c r="E565" t="str">
        <f>IF(RawData!E565="","Unknown",PROPER(TRIM(CLEAN(SUBSTITUTE(RawData!E565,CHAR(160)," ")))))</f>
        <v>Keyboard</v>
      </c>
      <c r="F565" t="str">
        <f>IF(RawData!F565="","Unknown",PROPER(TRIM(CLEAN(SUBSTITUTE(RawData!F565,CHAR(160)," ")))))</f>
        <v>Accessories</v>
      </c>
      <c r="G565">
        <f>_xlfn.LET(
_xlpm.q,RawData!G565,
_xlpm.u,RawData!H565,
_xlpm.d,RawData!I565,
_xlpm.r,RawData!J565,
IF(AND(ISNUMBER(_xlpm.q),_xlpm.q&gt;0),_xlpm.q,
   IF(AND(ISNUMBER(_xlpm.r),ISNUMBER(_xlpm.u),_xlpm.u&gt;0,ISNUMBER(_xlpm.d),_xlpm.d&gt;=0,_xlpm.d&lt;1),
      ROUND(_xlpm.r/(_xlpm.u*(1-_xlpm.d)),0),
      ""
   )
)
)</f>
        <v>8</v>
      </c>
      <c r="H565" s="4">
        <f>_xlfn.LET(
_xlpm.q,RawData!G565,
_xlpm.u,RawData!H565,
_xlpm.d,RawData!I565,
_xlpm.r,RawData!J565,
IF(AND(ISNUMBER(_xlpm.u),_xlpm.u&gt;0),_xlpm.u,
   IF(AND(ISNUMBER(_xlpm.q),_xlpm.q&gt;0,ISNUMBER(_xlpm.r),ISNUMBER(_xlpm.d),_xlpm.d&gt;=0,_xlpm.d&lt;1),
      _xlpm.r/(_xlpm.q*(1-_xlpm.d)),
      ""
   )
)
)</f>
        <v>30.66</v>
      </c>
      <c r="I565" s="5">
        <f>_xlfn.LET(
_xlpm.q,RawData!G565,
_xlpm.u,RawData!H565,
_xlpm.d,RawData!I565,
_xlpm.r,RawData!J565,
IF(AND(ISNUMBER(_xlpm.d),_xlpm.d&gt;=0,_xlpm.d&lt;1),_xlpm.d,
   IF(AND(ISNUMBER(_xlpm.q),_xlpm.q&gt;0,ISNUMBER(_xlpm.u),_xlpm.u&gt;0,ISNUMBER(_xlpm.r),_xlpm.r&gt;=0),
      1-(_xlpm.r/(_xlpm.q*_xlpm.u)),
      ""
   )
)
)</f>
        <v>0.2</v>
      </c>
      <c r="J565" s="4">
        <f>_xlfn.LET(
_xlpm.q,RawData!G565,
_xlpm.u,RawData!H565,
_xlpm.d,RawData!I565,
_xlpm.r,RawData!J565,
IF(AND(ISNUMBER(_xlpm.r),_xlpm.r&gt;=0),_xlpm.r,
   IF(AND(ISNUMBER(_xlpm.q),_xlpm.q&gt;0,ISNUMBER(_xlpm.u),_xlpm.u&gt;0,ISNUMBER(_xlpm.d),_xlpm.d&gt;=0,_xlpm.d&lt;1),
      _xlpm.q*_xlpm.u*(1-_xlpm.d),
      ""
   )
)
)</f>
        <v>196.22</v>
      </c>
      <c r="K565" s="4">
        <f>_xlfn.LET(
_xlpm.c,RawData!K565,
_xlpm.r,RawData!J565,
_xlpm.p,RawData!L565,
IF(AND(ISNUMBER(_xlpm.c),_xlpm.c&gt;=0),_xlpm.c,
   IF(AND(ISNUMBER(_xlpm.r),ISNUMBER(_xlpm.p)),
      _xlpm.r-_xlpm.p,
      ""
   )
)
)</f>
        <v>129.56</v>
      </c>
      <c r="L565" s="4">
        <f>_xlfn.LET(
_xlpm.p,RawData!L565,
_xlpm.r,RawData!J565,
_xlpm.c,RawData!K565,
IF(ISNUMBER(_xlpm.p),_xlpm.p,
IF(AND(ISNUMBER(_xlpm.r),ISNUMBER(_xlpm.c)),
_xlpm.r-_xlpm.c,
""
)
))</f>
        <v>66.66</v>
      </c>
    </row>
    <row r="566" spans="1:12" x14ac:dyDescent="0.35">
      <c r="A566" t="s">
        <v>608</v>
      </c>
      <c r="B566" s="7">
        <v>46015</v>
      </c>
      <c r="C566" t="str">
        <f>IF(RawData!C566="","Unknown",PROPER(TRIM(CLEAN(SUBSTITUTE(RawData!C566,CHAR(160)," ")))))</f>
        <v>East</v>
      </c>
      <c r="D566" t="str">
        <f>IF(RawData!D566="","Unknown",PROPER(TRIM(CLEAN(SUBSTITUTE(RawData!D566,CHAR(160)," ")))))</f>
        <v>Kolkata</v>
      </c>
      <c r="E566" t="str">
        <f>IF(RawData!E566="","Unknown",PROPER(TRIM(CLEAN(SUBSTITUTE(RawData!E566,CHAR(160)," ")))))</f>
        <v>Smartphone</v>
      </c>
      <c r="F566" t="str">
        <f>IF(RawData!F566="","Unknown",PROPER(TRIM(CLEAN(SUBSTITUTE(RawData!F566,CHAR(160)," ")))))</f>
        <v>Electronics</v>
      </c>
      <c r="G566">
        <f>_xlfn.LET(
_xlpm.q,RawData!G566,
_xlpm.u,RawData!H566,
_xlpm.d,RawData!I566,
_xlpm.r,RawData!J566,
IF(AND(ISNUMBER(_xlpm.q),_xlpm.q&gt;0),_xlpm.q,
   IF(AND(ISNUMBER(_xlpm.r),ISNUMBER(_xlpm.u),_xlpm.u&gt;0,ISNUMBER(_xlpm.d),_xlpm.d&gt;=0,_xlpm.d&lt;1),
      ROUND(_xlpm.r/(_xlpm.u*(1-_xlpm.d)),0),
      ""
   )
)
)</f>
        <v>9</v>
      </c>
      <c r="H566" s="4">
        <f>_xlfn.LET(
_xlpm.q,RawData!G566,
_xlpm.u,RawData!H566,
_xlpm.d,RawData!I566,
_xlpm.r,RawData!J566,
IF(AND(ISNUMBER(_xlpm.u),_xlpm.u&gt;0),_xlpm.u,
   IF(AND(ISNUMBER(_xlpm.q),_xlpm.q&gt;0,ISNUMBER(_xlpm.r),ISNUMBER(_xlpm.d),_xlpm.d&gt;=0,_xlpm.d&lt;1),
      _xlpm.r/(_xlpm.q*(1-_xlpm.d)),
      ""
   )
)
)</f>
        <v>528.99</v>
      </c>
      <c r="I566" s="5">
        <f>_xlfn.LET(
_xlpm.q,RawData!G566,
_xlpm.u,RawData!H566,
_xlpm.d,RawData!I566,
_xlpm.r,RawData!J566,
IF(AND(ISNUMBER(_xlpm.d),_xlpm.d&gt;=0,_xlpm.d&lt;1),_xlpm.d,
   IF(AND(ISNUMBER(_xlpm.q),_xlpm.q&gt;0,ISNUMBER(_xlpm.u),_xlpm.u&gt;0,ISNUMBER(_xlpm.r),_xlpm.r&gt;=0),
      1-(_xlpm.r/(_xlpm.q*_xlpm.u)),
      ""
   )
)
)</f>
        <v>0.1</v>
      </c>
      <c r="J566" s="4">
        <f>_xlfn.LET(
_xlpm.q,RawData!G566,
_xlpm.u,RawData!H566,
_xlpm.d,RawData!I566,
_xlpm.r,RawData!J566,
IF(AND(ISNUMBER(_xlpm.r),_xlpm.r&gt;=0),_xlpm.r,
   IF(AND(ISNUMBER(_xlpm.q),_xlpm.q&gt;0,ISNUMBER(_xlpm.u),_xlpm.u&gt;0,ISNUMBER(_xlpm.d),_xlpm.d&gt;=0,_xlpm.d&lt;1),
      _xlpm.q*_xlpm.u*(1-_xlpm.d),
      ""
   )
)
)</f>
        <v>4284.82</v>
      </c>
      <c r="K566" s="4">
        <f>_xlfn.LET(
_xlpm.c,RawData!K566,
_xlpm.r,RawData!J566,
_xlpm.p,RawData!L566,
IF(AND(ISNUMBER(_xlpm.c),_xlpm.c&gt;=0),_xlpm.c,
   IF(AND(ISNUMBER(_xlpm.r),ISNUMBER(_xlpm.p)),
      _xlpm.r-_xlpm.p,
      ""
   )
)
)</f>
        <v>2657.16</v>
      </c>
      <c r="L566" s="4">
        <f>_xlfn.LET(
_xlpm.p,RawData!L566,
_xlpm.r,RawData!J566,
_xlpm.c,RawData!K566,
IF(ISNUMBER(_xlpm.p),_xlpm.p,
IF(AND(ISNUMBER(_xlpm.r),ISNUMBER(_xlpm.c)),
_xlpm.r-_xlpm.c,
""
)
))</f>
        <v>1627.66</v>
      </c>
    </row>
    <row r="567" spans="1:12" x14ac:dyDescent="0.35">
      <c r="A567" t="s">
        <v>609</v>
      </c>
      <c r="B567" s="7">
        <v>45877</v>
      </c>
      <c r="C567" t="str">
        <f>IF(RawData!C567="","Unknown",PROPER(TRIM(CLEAN(SUBSTITUTE(RawData!C567,CHAR(160)," ")))))</f>
        <v>South</v>
      </c>
      <c r="D567" t="str">
        <f>IF(RawData!D567="","Unknown",PROPER(TRIM(CLEAN(SUBSTITUTE(RawData!D567,CHAR(160)," ")))))</f>
        <v>Chennai</v>
      </c>
      <c r="E567" t="str">
        <f>IF(RawData!E567="","Unknown",PROPER(TRIM(CLEAN(SUBSTITUTE(RawData!E567,CHAR(160)," ")))))</f>
        <v>Printer</v>
      </c>
      <c r="F567" t="str">
        <f>IF(RawData!F567="","Unknown",PROPER(TRIM(CLEAN(SUBSTITUTE(RawData!F567,CHAR(160)," ")))))</f>
        <v>Office Supplies</v>
      </c>
      <c r="G567">
        <f>_xlfn.LET(
_xlpm.q,RawData!G567,
_xlpm.u,RawData!H567,
_xlpm.d,RawData!I567,
_xlpm.r,RawData!J567,
IF(AND(ISNUMBER(_xlpm.q),_xlpm.q&gt;0),_xlpm.q,
   IF(AND(ISNUMBER(_xlpm.r),ISNUMBER(_xlpm.u),_xlpm.u&gt;0,ISNUMBER(_xlpm.d),_xlpm.d&gt;=0,_xlpm.d&lt;1),
      ROUND(_xlpm.r/(_xlpm.u*(1-_xlpm.d)),0),
      ""
   )
)
)</f>
        <v>5</v>
      </c>
      <c r="H567" s="4">
        <f>_xlfn.LET(
_xlpm.q,RawData!G567,
_xlpm.u,RawData!H567,
_xlpm.d,RawData!I567,
_xlpm.r,RawData!J567,
IF(AND(ISNUMBER(_xlpm.u),_xlpm.u&gt;0),_xlpm.u,
   IF(AND(ISNUMBER(_xlpm.q),_xlpm.q&gt;0,ISNUMBER(_xlpm.r),ISNUMBER(_xlpm.d),_xlpm.d&gt;=0,_xlpm.d&lt;1),
      _xlpm.r/(_xlpm.q*(1-_xlpm.d)),
      ""
   )
)
)</f>
        <v>170.72</v>
      </c>
      <c r="I567" s="5">
        <f>_xlfn.LET(
_xlpm.q,RawData!G567,
_xlpm.u,RawData!H567,
_xlpm.d,RawData!I567,
_xlpm.r,RawData!J567,
IF(AND(ISNUMBER(_xlpm.d),_xlpm.d&gt;=0,_xlpm.d&lt;1),_xlpm.d,
   IF(AND(ISNUMBER(_xlpm.q),_xlpm.q&gt;0,ISNUMBER(_xlpm.u),_xlpm.u&gt;0,ISNUMBER(_xlpm.r),_xlpm.r&gt;=0),
      1-(_xlpm.r/(_xlpm.q*_xlpm.u)),
      ""
   )
)
)</f>
        <v>0.05</v>
      </c>
      <c r="J567" s="4">
        <f>_xlfn.LET(
_xlpm.q,RawData!G567,
_xlpm.u,RawData!H567,
_xlpm.d,RawData!I567,
_xlpm.r,RawData!J567,
IF(AND(ISNUMBER(_xlpm.r),_xlpm.r&gt;=0),_xlpm.r,
   IF(AND(ISNUMBER(_xlpm.q),_xlpm.q&gt;0,ISNUMBER(_xlpm.u),_xlpm.u&gt;0,ISNUMBER(_xlpm.d),_xlpm.d&gt;=0,_xlpm.d&lt;1),
      _xlpm.q*_xlpm.u*(1-_xlpm.d),
      ""
   )
)
)</f>
        <v>810.92</v>
      </c>
      <c r="K567" s="4">
        <f>_xlfn.LET(
_xlpm.c,RawData!K567,
_xlpm.r,RawData!J567,
_xlpm.p,RawData!L567,
IF(AND(ISNUMBER(_xlpm.c),_xlpm.c&gt;=0),_xlpm.c,
   IF(AND(ISNUMBER(_xlpm.r),ISNUMBER(_xlpm.p)),
      _xlpm.r-_xlpm.p,
      ""
   )
)
)</f>
        <v>554.58000000000004</v>
      </c>
      <c r="L567" s="4">
        <f>_xlfn.LET(
_xlpm.p,RawData!L567,
_xlpm.r,RawData!J567,
_xlpm.c,RawData!K567,
IF(ISNUMBER(_xlpm.p),_xlpm.p,
IF(AND(ISNUMBER(_xlpm.r),ISNUMBER(_xlpm.c)),
_xlpm.r-_xlpm.c,
""
)
))</f>
        <v>256.33999999999997</v>
      </c>
    </row>
    <row r="568" spans="1:12" x14ac:dyDescent="0.35">
      <c r="A568" t="s">
        <v>610</v>
      </c>
      <c r="B568" s="7">
        <v>45830</v>
      </c>
      <c r="C568" t="str">
        <f>IF(RawData!C568="","Unknown",PROPER(TRIM(CLEAN(SUBSTITUTE(RawData!C568,CHAR(160)," ")))))</f>
        <v>South</v>
      </c>
      <c r="D568" t="str">
        <f>IF(RawData!D568="","Unknown",PROPER(TRIM(CLEAN(SUBSTITUTE(RawData!D568,CHAR(160)," ")))))</f>
        <v>Bengaluru</v>
      </c>
      <c r="E568" t="str">
        <f>IF(RawData!E568="","Unknown",PROPER(TRIM(CLEAN(SUBSTITUTE(RawData!E568,CHAR(160)," ")))))</f>
        <v>Pen Set</v>
      </c>
      <c r="F568" t="str">
        <f>IF(RawData!F568="","Unknown",PROPER(TRIM(CLEAN(SUBSTITUTE(RawData!F568,CHAR(160)," ")))))</f>
        <v>Office Supplies</v>
      </c>
      <c r="G568">
        <f>_xlfn.LET(
_xlpm.q,RawData!G568,
_xlpm.u,RawData!H568,
_xlpm.d,RawData!I568,
_xlpm.r,RawData!J568,
IF(AND(ISNUMBER(_xlpm.q),_xlpm.q&gt;0),_xlpm.q,
   IF(AND(ISNUMBER(_xlpm.r),ISNUMBER(_xlpm.u),_xlpm.u&gt;0,ISNUMBER(_xlpm.d),_xlpm.d&gt;=0,_xlpm.d&lt;1),
      ROUND(_xlpm.r/(_xlpm.u*(1-_xlpm.d)),0),
      ""
   )
)
)</f>
        <v>8</v>
      </c>
      <c r="H568" s="4">
        <f>_xlfn.LET(
_xlpm.q,RawData!G568,
_xlpm.u,RawData!H568,
_xlpm.d,RawData!I568,
_xlpm.r,RawData!J568,
IF(AND(ISNUMBER(_xlpm.u),_xlpm.u&gt;0),_xlpm.u,
   IF(AND(ISNUMBER(_xlpm.q),_xlpm.q&gt;0,ISNUMBER(_xlpm.r),ISNUMBER(_xlpm.d),_xlpm.d&gt;=0,_xlpm.d&lt;1),
      _xlpm.r/(_xlpm.q*(1-_xlpm.d)),
      ""
   )
)
)</f>
        <v>10.49</v>
      </c>
      <c r="I568" s="5">
        <f>_xlfn.LET(
_xlpm.q,RawData!G568,
_xlpm.u,RawData!H568,
_xlpm.d,RawData!I568,
_xlpm.r,RawData!J568,
IF(AND(ISNUMBER(_xlpm.d),_xlpm.d&gt;=0,_xlpm.d&lt;1),_xlpm.d,
   IF(AND(ISNUMBER(_xlpm.q),_xlpm.q&gt;0,ISNUMBER(_xlpm.u),_xlpm.u&gt;0,ISNUMBER(_xlpm.r),_xlpm.r&gt;=0),
      1-(_xlpm.r/(_xlpm.q*_xlpm.u)),
      ""
   )
)
)</f>
        <v>0.05</v>
      </c>
      <c r="J568" s="4">
        <f>_xlfn.LET(
_xlpm.q,RawData!G568,
_xlpm.u,RawData!H568,
_xlpm.d,RawData!I568,
_xlpm.r,RawData!J568,
IF(AND(ISNUMBER(_xlpm.r),_xlpm.r&gt;=0),_xlpm.r,
   IF(AND(ISNUMBER(_xlpm.q),_xlpm.q&gt;0,ISNUMBER(_xlpm.u),_xlpm.u&gt;0,ISNUMBER(_xlpm.d),_xlpm.d&gt;=0,_xlpm.d&lt;1),
      _xlpm.q*_xlpm.u*(1-_xlpm.d),
      ""
   )
)
)</f>
        <v>79.72</v>
      </c>
      <c r="K568" s="4">
        <f>_xlfn.LET(
_xlpm.c,RawData!K568,
_xlpm.r,RawData!J568,
_xlpm.p,RawData!L568,
IF(AND(ISNUMBER(_xlpm.c),_xlpm.c&gt;=0),_xlpm.c,
   IF(AND(ISNUMBER(_xlpm.r),ISNUMBER(_xlpm.p)),
      _xlpm.r-_xlpm.p,
      ""
   )
)
)</f>
        <v>48.59</v>
      </c>
      <c r="L568" s="4">
        <f>_xlfn.LET(
_xlpm.p,RawData!L568,
_xlpm.r,RawData!J568,
_xlpm.c,RawData!K568,
IF(ISNUMBER(_xlpm.p),_xlpm.p,
IF(AND(ISNUMBER(_xlpm.r),ISNUMBER(_xlpm.c)),
_xlpm.r-_xlpm.c,
""
)
))</f>
        <v>31.13</v>
      </c>
    </row>
    <row r="569" spans="1:12" x14ac:dyDescent="0.35">
      <c r="A569" t="s">
        <v>611</v>
      </c>
      <c r="B569" s="7">
        <v>45682</v>
      </c>
      <c r="C569" t="str">
        <f>IF(RawData!C569="","Unknown",PROPER(TRIM(CLEAN(SUBSTITUTE(RawData!C569,CHAR(160)," ")))))</f>
        <v>North</v>
      </c>
      <c r="D569" t="str">
        <f>IF(RawData!D569="","Unknown",PROPER(TRIM(CLEAN(SUBSTITUTE(RawData!D569,CHAR(160)," ")))))</f>
        <v>Delhi</v>
      </c>
      <c r="E569" t="str">
        <f>IF(RawData!E569="","Unknown",PROPER(TRIM(CLEAN(SUBSTITUTE(RawData!E569,CHAR(160)," ")))))</f>
        <v>Smartphone</v>
      </c>
      <c r="F569" t="str">
        <f>IF(RawData!F569="","Unknown",PROPER(TRIM(CLEAN(SUBSTITUTE(RawData!F569,CHAR(160)," ")))))</f>
        <v>Electronics</v>
      </c>
      <c r="G569">
        <f>_xlfn.LET(
_xlpm.q,RawData!G569,
_xlpm.u,RawData!H569,
_xlpm.d,RawData!I569,
_xlpm.r,RawData!J569,
IF(AND(ISNUMBER(_xlpm.q),_xlpm.q&gt;0),_xlpm.q,
   IF(AND(ISNUMBER(_xlpm.r),ISNUMBER(_xlpm.u),_xlpm.u&gt;0,ISNUMBER(_xlpm.d),_xlpm.d&gt;=0,_xlpm.d&lt;1),
      ROUND(_xlpm.r/(_xlpm.u*(1-_xlpm.d)),0),
      ""
   )
)
)</f>
        <v>8</v>
      </c>
      <c r="H569" s="4">
        <f>_xlfn.LET(
_xlpm.q,RawData!G569,
_xlpm.u,RawData!H569,
_xlpm.d,RawData!I569,
_xlpm.r,RawData!J569,
IF(AND(ISNUMBER(_xlpm.u),_xlpm.u&gt;0),_xlpm.u,
   IF(AND(ISNUMBER(_xlpm.q),_xlpm.q&gt;0,ISNUMBER(_xlpm.r),ISNUMBER(_xlpm.d),_xlpm.d&gt;=0,_xlpm.d&lt;1),
      _xlpm.r/(_xlpm.q*(1-_xlpm.d)),
      ""
   )
)
)</f>
        <v>580.24</v>
      </c>
      <c r="I569" s="5">
        <f>_xlfn.LET(
_xlpm.q,RawData!G569,
_xlpm.u,RawData!H569,
_xlpm.d,RawData!I569,
_xlpm.r,RawData!J569,
IF(AND(ISNUMBER(_xlpm.d),_xlpm.d&gt;=0,_xlpm.d&lt;1),_xlpm.d,
   IF(AND(ISNUMBER(_xlpm.q),_xlpm.q&gt;0,ISNUMBER(_xlpm.u),_xlpm.u&gt;0,ISNUMBER(_xlpm.r),_xlpm.r&gt;=0),
      1-(_xlpm.r/(_xlpm.q*_xlpm.u)),
      ""
   )
)
)</f>
        <v>0</v>
      </c>
      <c r="J569" s="4">
        <f>_xlfn.LET(
_xlpm.q,RawData!G569,
_xlpm.u,RawData!H569,
_xlpm.d,RawData!I569,
_xlpm.r,RawData!J569,
IF(AND(ISNUMBER(_xlpm.r),_xlpm.r&gt;=0),_xlpm.r,
   IF(AND(ISNUMBER(_xlpm.q),_xlpm.q&gt;0,ISNUMBER(_xlpm.u),_xlpm.u&gt;0,ISNUMBER(_xlpm.d),_xlpm.d&gt;=0,_xlpm.d&lt;1),
      _xlpm.q*_xlpm.u*(1-_xlpm.d),
      ""
   )
)
)</f>
        <v>4641.92</v>
      </c>
      <c r="K569" s="4">
        <f>_xlfn.LET(
_xlpm.c,RawData!K569,
_xlpm.r,RawData!J569,
_xlpm.p,RawData!L569,
IF(AND(ISNUMBER(_xlpm.c),_xlpm.c&gt;=0),_xlpm.c,
   IF(AND(ISNUMBER(_xlpm.r),ISNUMBER(_xlpm.p)),
      _xlpm.r-_xlpm.p,
      ""
   )
)
)</f>
        <v>2648.47</v>
      </c>
      <c r="L569" s="4">
        <f>_xlfn.LET(
_xlpm.p,RawData!L569,
_xlpm.r,RawData!J569,
_xlpm.c,RawData!K569,
IF(ISNUMBER(_xlpm.p),_xlpm.p,
IF(AND(ISNUMBER(_xlpm.r),ISNUMBER(_xlpm.c)),
_xlpm.r-_xlpm.c,
""
)
))</f>
        <v>1993.45</v>
      </c>
    </row>
    <row r="570" spans="1:12" x14ac:dyDescent="0.35">
      <c r="A570" t="s">
        <v>612</v>
      </c>
      <c r="B570" s="7">
        <v>45738</v>
      </c>
      <c r="C570" t="str">
        <f>IF(RawData!C570="","Unknown",PROPER(TRIM(CLEAN(SUBSTITUTE(RawData!C570,CHAR(160)," ")))))</f>
        <v>West</v>
      </c>
      <c r="D570" t="str">
        <f>IF(RawData!D570="","Unknown",PROPER(TRIM(CLEAN(SUBSTITUTE(RawData!D570,CHAR(160)," ")))))</f>
        <v>Mumbai</v>
      </c>
      <c r="E570" t="str">
        <f>IF(RawData!E570="","Unknown",PROPER(TRIM(CLEAN(SUBSTITUTE(RawData!E570,CHAR(160)," ")))))</f>
        <v>Printer</v>
      </c>
      <c r="F570" t="str">
        <f>IF(RawData!F570="","Unknown",PROPER(TRIM(CLEAN(SUBSTITUTE(RawData!F570,CHAR(160)," ")))))</f>
        <v>Office Supplies</v>
      </c>
      <c r="G570">
        <f>_xlfn.LET(
_xlpm.q,RawData!G570,
_xlpm.u,RawData!H570,
_xlpm.d,RawData!I570,
_xlpm.r,RawData!J570,
IF(AND(ISNUMBER(_xlpm.q),_xlpm.q&gt;0),_xlpm.q,
   IF(AND(ISNUMBER(_xlpm.r),ISNUMBER(_xlpm.u),_xlpm.u&gt;0,ISNUMBER(_xlpm.d),_xlpm.d&gt;=0,_xlpm.d&lt;1),
      ROUND(_xlpm.r/(_xlpm.u*(1-_xlpm.d)),0),
      ""
   )
)
)</f>
        <v>1</v>
      </c>
      <c r="H570" s="4">
        <f>_xlfn.LET(
_xlpm.q,RawData!G570,
_xlpm.u,RawData!H570,
_xlpm.d,RawData!I570,
_xlpm.r,RawData!J570,
IF(AND(ISNUMBER(_xlpm.u),_xlpm.u&gt;0),_xlpm.u,
   IF(AND(ISNUMBER(_xlpm.q),_xlpm.q&gt;0,ISNUMBER(_xlpm.r),ISNUMBER(_xlpm.d),_xlpm.d&gt;=0,_xlpm.d&lt;1),
      _xlpm.r/(_xlpm.q*(1-_xlpm.d)),
      ""
   )
)
)</f>
        <v>176.86</v>
      </c>
      <c r="I570" s="5">
        <f>_xlfn.LET(
_xlpm.q,RawData!G570,
_xlpm.u,RawData!H570,
_xlpm.d,RawData!I570,
_xlpm.r,RawData!J570,
IF(AND(ISNUMBER(_xlpm.d),_xlpm.d&gt;=0,_xlpm.d&lt;1),_xlpm.d,
   IF(AND(ISNUMBER(_xlpm.q),_xlpm.q&gt;0,ISNUMBER(_xlpm.u),_xlpm.u&gt;0,ISNUMBER(_xlpm.r),_xlpm.r&gt;=0),
      1-(_xlpm.r/(_xlpm.q*_xlpm.u)),
      ""
   )
)
)</f>
        <v>0.1</v>
      </c>
      <c r="J570" s="4">
        <f>_xlfn.LET(
_xlpm.q,RawData!G570,
_xlpm.u,RawData!H570,
_xlpm.d,RawData!I570,
_xlpm.r,RawData!J570,
IF(AND(ISNUMBER(_xlpm.r),_xlpm.r&gt;=0),_xlpm.r,
   IF(AND(ISNUMBER(_xlpm.q),_xlpm.q&gt;0,ISNUMBER(_xlpm.u),_xlpm.u&gt;0,ISNUMBER(_xlpm.d),_xlpm.d&gt;=0,_xlpm.d&lt;1),
      _xlpm.q*_xlpm.u*(1-_xlpm.d),
      ""
   )
)
)</f>
        <v>159.16999999999999</v>
      </c>
      <c r="K570" s="4">
        <f>_xlfn.LET(
_xlpm.c,RawData!K570,
_xlpm.r,RawData!J570,
_xlpm.p,RawData!L570,
IF(AND(ISNUMBER(_xlpm.c),_xlpm.c&gt;=0),_xlpm.c,
   IF(AND(ISNUMBER(_xlpm.r),ISNUMBER(_xlpm.p)),
      _xlpm.r-_xlpm.p,
      ""
   )
)
)</f>
        <v>108.82</v>
      </c>
      <c r="L570" s="4">
        <f>_xlfn.LET(
_xlpm.p,RawData!L570,
_xlpm.r,RawData!J570,
_xlpm.c,RawData!K570,
IF(ISNUMBER(_xlpm.p),_xlpm.p,
IF(AND(ISNUMBER(_xlpm.r),ISNUMBER(_xlpm.c)),
_xlpm.r-_xlpm.c,
""
)
))</f>
        <v>50.35</v>
      </c>
    </row>
    <row r="571" spans="1:12" x14ac:dyDescent="0.35">
      <c r="A571" t="s">
        <v>613</v>
      </c>
      <c r="B571" s="7">
        <v>46010</v>
      </c>
      <c r="C571" t="str">
        <f>IF(RawData!C571="","Unknown",PROPER(TRIM(CLEAN(SUBSTITUTE(RawData!C571,CHAR(160)," ")))))</f>
        <v>South</v>
      </c>
      <c r="D571" t="str">
        <f>IF(RawData!D571="","Unknown",PROPER(TRIM(CLEAN(SUBSTITUTE(RawData!D571,CHAR(160)," ")))))</f>
        <v>Chennai</v>
      </c>
      <c r="E571" t="str">
        <f>IF(RawData!E571="","Unknown",PROPER(TRIM(CLEAN(SUBSTITUTE(RawData!E571,CHAR(160)," ")))))</f>
        <v>Backpack</v>
      </c>
      <c r="F571" t="str">
        <f>IF(RawData!F571="","Unknown",PROPER(TRIM(CLEAN(SUBSTITUTE(RawData!F571,CHAR(160)," ")))))</f>
        <v>Accessories</v>
      </c>
      <c r="G571">
        <f>_xlfn.LET(
_xlpm.q,RawData!G571,
_xlpm.u,RawData!H571,
_xlpm.d,RawData!I571,
_xlpm.r,RawData!J571,
IF(AND(ISNUMBER(_xlpm.q),_xlpm.q&gt;0),_xlpm.q,
   IF(AND(ISNUMBER(_xlpm.r),ISNUMBER(_xlpm.u),_xlpm.u&gt;0,ISNUMBER(_xlpm.d),_xlpm.d&gt;=0,_xlpm.d&lt;1),
      ROUND(_xlpm.r/(_xlpm.u*(1-_xlpm.d)),0),
      ""
   )
)
)</f>
        <v>5</v>
      </c>
      <c r="H571" s="4">
        <f>_xlfn.LET(
_xlpm.q,RawData!G571,
_xlpm.u,RawData!H571,
_xlpm.d,RawData!I571,
_xlpm.r,RawData!J571,
IF(AND(ISNUMBER(_xlpm.u),_xlpm.u&gt;0),_xlpm.u,
   IF(AND(ISNUMBER(_xlpm.q),_xlpm.q&gt;0,ISNUMBER(_xlpm.r),ISNUMBER(_xlpm.d),_xlpm.d&gt;=0,_xlpm.d&lt;1),
      _xlpm.r/(_xlpm.q*(1-_xlpm.d)),
      ""
   )
)
)</f>
        <v>44.74</v>
      </c>
      <c r="I571" s="5">
        <f>_xlfn.LET(
_xlpm.q,RawData!G571,
_xlpm.u,RawData!H571,
_xlpm.d,RawData!I571,
_xlpm.r,RawData!J571,
IF(AND(ISNUMBER(_xlpm.d),_xlpm.d&gt;=0,_xlpm.d&lt;1),_xlpm.d,
   IF(AND(ISNUMBER(_xlpm.q),_xlpm.q&gt;0,ISNUMBER(_xlpm.u),_xlpm.u&gt;0,ISNUMBER(_xlpm.r),_xlpm.r&gt;=0),
      1-(_xlpm.r/(_xlpm.q*_xlpm.u)),
      ""
   )
)
)</f>
        <v>0.02</v>
      </c>
      <c r="J571" s="4">
        <f>_xlfn.LET(
_xlpm.q,RawData!G571,
_xlpm.u,RawData!H571,
_xlpm.d,RawData!I571,
_xlpm.r,RawData!J571,
IF(AND(ISNUMBER(_xlpm.r),_xlpm.r&gt;=0),_xlpm.r,
   IF(AND(ISNUMBER(_xlpm.q),_xlpm.q&gt;0,ISNUMBER(_xlpm.u),_xlpm.u&gt;0,ISNUMBER(_xlpm.d),_xlpm.d&gt;=0,_xlpm.d&lt;1),
      _xlpm.q*_xlpm.u*(1-_xlpm.d),
      ""
   )
)
)</f>
        <v>219.23</v>
      </c>
      <c r="K571" s="4">
        <f>_xlfn.LET(
_xlpm.c,RawData!K571,
_xlpm.r,RawData!J571,
_xlpm.p,RawData!L571,
IF(AND(ISNUMBER(_xlpm.c),_xlpm.c&gt;=0),_xlpm.c,
   IF(AND(ISNUMBER(_xlpm.r),ISNUMBER(_xlpm.p)),
      _xlpm.r-_xlpm.p,
      ""
   )
)
)</f>
        <v>155.63999999999999</v>
      </c>
      <c r="L571" s="4">
        <f>_xlfn.LET(
_xlpm.p,RawData!L571,
_xlpm.r,RawData!J571,
_xlpm.c,RawData!K571,
IF(ISNUMBER(_xlpm.p),_xlpm.p,
IF(AND(ISNUMBER(_xlpm.r),ISNUMBER(_xlpm.c)),
_xlpm.r-_xlpm.c,
""
)
))</f>
        <v>63.59</v>
      </c>
    </row>
    <row r="572" spans="1:12" x14ac:dyDescent="0.35">
      <c r="A572" t="s">
        <v>614</v>
      </c>
      <c r="B572" s="7">
        <v>45705</v>
      </c>
      <c r="C572" t="str">
        <f>IF(RawData!C572="","Unknown",PROPER(TRIM(CLEAN(SUBSTITUTE(RawData!C572,CHAR(160)," ")))))</f>
        <v>East</v>
      </c>
      <c r="D572" t="str">
        <f>IF(RawData!D572="","Unknown",PROPER(TRIM(CLEAN(SUBSTITUTE(RawData!D572,CHAR(160)," ")))))</f>
        <v>Patna</v>
      </c>
      <c r="E572" t="str">
        <f>IF(RawData!E572="","Unknown",PROPER(TRIM(CLEAN(SUBSTITUTE(RawData!E572,CHAR(160)," ")))))</f>
        <v>Office Chair</v>
      </c>
      <c r="F572" t="str">
        <f>IF(RawData!F572="","Unknown",PROPER(TRIM(CLEAN(SUBSTITUTE(RawData!F572,CHAR(160)," ")))))</f>
        <v>Furniture</v>
      </c>
      <c r="G572">
        <f>_xlfn.LET(
_xlpm.q,RawData!G572,
_xlpm.u,RawData!H572,
_xlpm.d,RawData!I572,
_xlpm.r,RawData!J572,
IF(AND(ISNUMBER(_xlpm.q),_xlpm.q&gt;0),_xlpm.q,
   IF(AND(ISNUMBER(_xlpm.r),ISNUMBER(_xlpm.u),_xlpm.u&gt;0,ISNUMBER(_xlpm.d),_xlpm.d&gt;=0,_xlpm.d&lt;1),
      ROUND(_xlpm.r/(_xlpm.u*(1-_xlpm.d)),0),
      ""
   )
)
)</f>
        <v>2</v>
      </c>
      <c r="H572" s="4">
        <f>_xlfn.LET(
_xlpm.q,RawData!G572,
_xlpm.u,RawData!H572,
_xlpm.d,RawData!I572,
_xlpm.r,RawData!J572,
IF(AND(ISNUMBER(_xlpm.u),_xlpm.u&gt;0),_xlpm.u,
   IF(AND(ISNUMBER(_xlpm.q),_xlpm.q&gt;0,ISNUMBER(_xlpm.r),ISNUMBER(_xlpm.d),_xlpm.d&gt;=0,_xlpm.d&lt;1),
      _xlpm.r/(_xlpm.q*(1-_xlpm.d)),
      ""
   )
)
)</f>
        <v>197.53</v>
      </c>
      <c r="I572" s="5">
        <f>_xlfn.LET(
_xlpm.q,RawData!G572,
_xlpm.u,RawData!H572,
_xlpm.d,RawData!I572,
_xlpm.r,RawData!J572,
IF(AND(ISNUMBER(_xlpm.d),_xlpm.d&gt;=0,_xlpm.d&lt;1),_xlpm.d,
   IF(AND(ISNUMBER(_xlpm.q),_xlpm.q&gt;0,ISNUMBER(_xlpm.u),_xlpm.u&gt;0,ISNUMBER(_xlpm.r),_xlpm.r&gt;=0),
      1-(_xlpm.r/(_xlpm.q*_xlpm.u)),
      ""
   )
)
)</f>
        <v>0.05</v>
      </c>
      <c r="J572" s="4">
        <f>_xlfn.LET(
_xlpm.q,RawData!G572,
_xlpm.u,RawData!H572,
_xlpm.d,RawData!I572,
_xlpm.r,RawData!J572,
IF(AND(ISNUMBER(_xlpm.r),_xlpm.r&gt;=0),_xlpm.r,
   IF(AND(ISNUMBER(_xlpm.q),_xlpm.q&gt;0,ISNUMBER(_xlpm.u),_xlpm.u&gt;0,ISNUMBER(_xlpm.d),_xlpm.d&gt;=0,_xlpm.d&lt;1),
      _xlpm.q*_xlpm.u*(1-_xlpm.d),
      ""
   )
)
)</f>
        <v>375.31</v>
      </c>
      <c r="K572" s="4">
        <f>_xlfn.LET(
_xlpm.c,RawData!K572,
_xlpm.r,RawData!J572,
_xlpm.p,RawData!L572,
IF(AND(ISNUMBER(_xlpm.c),_xlpm.c&gt;=0),_xlpm.c,
   IF(AND(ISNUMBER(_xlpm.r),ISNUMBER(_xlpm.p)),
      _xlpm.r-_xlpm.p,
      ""
   )
)
)</f>
        <v>241.67</v>
      </c>
      <c r="L572" s="4">
        <f>_xlfn.LET(
_xlpm.p,RawData!L572,
_xlpm.r,RawData!J572,
_xlpm.c,RawData!K572,
IF(ISNUMBER(_xlpm.p),_xlpm.p,
IF(AND(ISNUMBER(_xlpm.r),ISNUMBER(_xlpm.c)),
_xlpm.r-_xlpm.c,
""
)
))</f>
        <v>133.63999999999999</v>
      </c>
    </row>
    <row r="573" spans="1:12" x14ac:dyDescent="0.35">
      <c r="A573" t="s">
        <v>615</v>
      </c>
      <c r="B573" s="7">
        <v>45990</v>
      </c>
      <c r="C573" t="str">
        <f>IF(RawData!C573="","Unknown",PROPER(TRIM(CLEAN(SUBSTITUTE(RawData!C573,CHAR(160)," ")))))</f>
        <v>South</v>
      </c>
      <c r="D573" t="str">
        <f>IF(RawData!D573="","Unknown",PROPER(TRIM(CLEAN(SUBSTITUTE(RawData!D573,CHAR(160)," ")))))</f>
        <v>Chennai</v>
      </c>
      <c r="E573" t="str">
        <f>IF(RawData!E573="","Unknown",PROPER(TRIM(CLEAN(SUBSTITUTE(RawData!E573,CHAR(160)," ")))))</f>
        <v>Laptop</v>
      </c>
      <c r="F573" t="str">
        <f>IF(RawData!F573="","Unknown",PROPER(TRIM(CLEAN(SUBSTITUTE(RawData!F573,CHAR(160)," ")))))</f>
        <v>Electronics</v>
      </c>
      <c r="G573">
        <f>_xlfn.LET(
_xlpm.q,RawData!G573,
_xlpm.u,RawData!H573,
_xlpm.d,RawData!I573,
_xlpm.r,RawData!J573,
IF(AND(ISNUMBER(_xlpm.q),_xlpm.q&gt;0),_xlpm.q,
   IF(AND(ISNUMBER(_xlpm.r),ISNUMBER(_xlpm.u),_xlpm.u&gt;0,ISNUMBER(_xlpm.d),_xlpm.d&gt;=0,_xlpm.d&lt;1),
      ROUND(_xlpm.r/(_xlpm.u*(1-_xlpm.d)),0),
      ""
   )
)
)</f>
        <v>7</v>
      </c>
      <c r="H573" s="4">
        <f>_xlfn.LET(
_xlpm.q,RawData!G573,
_xlpm.u,RawData!H573,
_xlpm.d,RawData!I573,
_xlpm.r,RawData!J573,
IF(AND(ISNUMBER(_xlpm.u),_xlpm.u&gt;0),_xlpm.u,
   IF(AND(ISNUMBER(_xlpm.q),_xlpm.q&gt;0,ISNUMBER(_xlpm.r),ISNUMBER(_xlpm.d),_xlpm.d&gt;=0,_xlpm.d&lt;1),
      _xlpm.r/(_xlpm.q*(1-_xlpm.d)),
      ""
   )
)
)</f>
        <v>895.39</v>
      </c>
      <c r="I573" s="5">
        <f>_xlfn.LET(
_xlpm.q,RawData!G573,
_xlpm.u,RawData!H573,
_xlpm.d,RawData!I573,
_xlpm.r,RawData!J573,
IF(AND(ISNUMBER(_xlpm.d),_xlpm.d&gt;=0,_xlpm.d&lt;1),_xlpm.d,
   IF(AND(ISNUMBER(_xlpm.q),_xlpm.q&gt;0,ISNUMBER(_xlpm.u),_xlpm.u&gt;0,ISNUMBER(_xlpm.r),_xlpm.r&gt;=0),
      1-(_xlpm.r/(_xlpm.q*_xlpm.u)),
      ""
   )
)
)</f>
        <v>0.2</v>
      </c>
      <c r="J573" s="4">
        <f>_xlfn.LET(
_xlpm.q,RawData!G573,
_xlpm.u,RawData!H573,
_xlpm.d,RawData!I573,
_xlpm.r,RawData!J573,
IF(AND(ISNUMBER(_xlpm.r),_xlpm.r&gt;=0),_xlpm.r,
   IF(AND(ISNUMBER(_xlpm.q),_xlpm.q&gt;0,ISNUMBER(_xlpm.u),_xlpm.u&gt;0,ISNUMBER(_xlpm.d),_xlpm.d&gt;=0,_xlpm.d&lt;1),
      _xlpm.q*_xlpm.u*(1-_xlpm.d),
      ""
   )
)
)</f>
        <v>5014.18</v>
      </c>
      <c r="K573" s="4">
        <f>_xlfn.LET(
_xlpm.c,RawData!K573,
_xlpm.r,RawData!J573,
_xlpm.p,RawData!L573,
IF(AND(ISNUMBER(_xlpm.c),_xlpm.c&gt;=0),_xlpm.c,
   IF(AND(ISNUMBER(_xlpm.r),ISNUMBER(_xlpm.p)),
      _xlpm.r-_xlpm.p,
      ""
   )
)
)</f>
        <v>3523.7</v>
      </c>
      <c r="L573" s="4">
        <f>_xlfn.LET(
_xlpm.p,RawData!L573,
_xlpm.r,RawData!J573,
_xlpm.c,RawData!K573,
IF(ISNUMBER(_xlpm.p),_xlpm.p,
IF(AND(ISNUMBER(_xlpm.r),ISNUMBER(_xlpm.c)),
_xlpm.r-_xlpm.c,
""
)
))</f>
        <v>1490.48</v>
      </c>
    </row>
    <row r="574" spans="1:12" x14ac:dyDescent="0.35">
      <c r="A574" t="s">
        <v>616</v>
      </c>
      <c r="B574" s="7">
        <v>46016</v>
      </c>
      <c r="C574" t="str">
        <f>IF(RawData!C574="","Unknown",PROPER(TRIM(CLEAN(SUBSTITUTE(RawData!C574,CHAR(160)," ")))))</f>
        <v>South</v>
      </c>
      <c r="D574" t="str">
        <f>IF(RawData!D574="","Unknown",PROPER(TRIM(CLEAN(SUBSTITUTE(RawData!D574,CHAR(160)," ")))))</f>
        <v>Hyderabad</v>
      </c>
      <c r="E574" t="str">
        <f>IF(RawData!E574="","Unknown",PROPER(TRIM(CLEAN(SUBSTITUTE(RawData!E574,CHAR(160)," ")))))</f>
        <v>Bookshelf</v>
      </c>
      <c r="F574" t="str">
        <f>IF(RawData!F574="","Unknown",PROPER(TRIM(CLEAN(SUBSTITUTE(RawData!F574,CHAR(160)," ")))))</f>
        <v>Furniture</v>
      </c>
      <c r="G574">
        <f>_xlfn.LET(
_xlpm.q,RawData!G574,
_xlpm.u,RawData!H574,
_xlpm.d,RawData!I574,
_xlpm.r,RawData!J574,
IF(AND(ISNUMBER(_xlpm.q),_xlpm.q&gt;0),_xlpm.q,
   IF(AND(ISNUMBER(_xlpm.r),ISNUMBER(_xlpm.u),_xlpm.u&gt;0,ISNUMBER(_xlpm.d),_xlpm.d&gt;=0,_xlpm.d&lt;1),
      ROUND(_xlpm.r/(_xlpm.u*(1-_xlpm.d)),0),
      ""
   )
)
)</f>
        <v>2</v>
      </c>
      <c r="H574" s="4">
        <f>_xlfn.LET(
_xlpm.q,RawData!G574,
_xlpm.u,RawData!H574,
_xlpm.d,RawData!I574,
_xlpm.r,RawData!J574,
IF(AND(ISNUMBER(_xlpm.u),_xlpm.u&gt;0),_xlpm.u,
   IF(AND(ISNUMBER(_xlpm.q),_xlpm.q&gt;0,ISNUMBER(_xlpm.r),ISNUMBER(_xlpm.d),_xlpm.d&gt;=0,_xlpm.d&lt;1),
      _xlpm.r/(_xlpm.q*(1-_xlpm.d)),
      ""
   )
)
)</f>
        <v>130.22</v>
      </c>
      <c r="I574" s="5">
        <f>_xlfn.LET(
_xlpm.q,RawData!G574,
_xlpm.u,RawData!H574,
_xlpm.d,RawData!I574,
_xlpm.r,RawData!J574,
IF(AND(ISNUMBER(_xlpm.d),_xlpm.d&gt;=0,_xlpm.d&lt;1),_xlpm.d,
   IF(AND(ISNUMBER(_xlpm.q),_xlpm.q&gt;0,ISNUMBER(_xlpm.u),_xlpm.u&gt;0,ISNUMBER(_xlpm.r),_xlpm.r&gt;=0),
      1-(_xlpm.r/(_xlpm.q*_xlpm.u)),
      ""
   )
)
)</f>
        <v>0.2</v>
      </c>
      <c r="J574" s="4">
        <f>_xlfn.LET(
_xlpm.q,RawData!G574,
_xlpm.u,RawData!H574,
_xlpm.d,RawData!I574,
_xlpm.r,RawData!J574,
IF(AND(ISNUMBER(_xlpm.r),_xlpm.r&gt;=0),_xlpm.r,
   IF(AND(ISNUMBER(_xlpm.q),_xlpm.q&gt;0,ISNUMBER(_xlpm.u),_xlpm.u&gt;0,ISNUMBER(_xlpm.d),_xlpm.d&gt;=0,_xlpm.d&lt;1),
      _xlpm.q*_xlpm.u*(1-_xlpm.d),
      ""
   )
)
)</f>
        <v>208.35</v>
      </c>
      <c r="K574" s="4">
        <f>_xlfn.LET(
_xlpm.c,RawData!K574,
_xlpm.r,RawData!J574,
_xlpm.p,RawData!L574,
IF(AND(ISNUMBER(_xlpm.c),_xlpm.c&gt;=0),_xlpm.c,
   IF(AND(ISNUMBER(_xlpm.r),ISNUMBER(_xlpm.p)),
      _xlpm.r-_xlpm.p,
      ""
   )
)
)</f>
        <v>164.02</v>
      </c>
      <c r="L574" s="4">
        <f>_xlfn.LET(
_xlpm.p,RawData!L574,
_xlpm.r,RawData!J574,
_xlpm.c,RawData!K574,
IF(ISNUMBER(_xlpm.p),_xlpm.p,
IF(AND(ISNUMBER(_xlpm.r),ISNUMBER(_xlpm.c)),
_xlpm.r-_xlpm.c,
""
)
))</f>
        <v>44.33</v>
      </c>
    </row>
    <row r="575" spans="1:12" x14ac:dyDescent="0.35">
      <c r="A575" t="s">
        <v>617</v>
      </c>
      <c r="B575" s="7">
        <v>45658</v>
      </c>
      <c r="C575" t="str">
        <f>IF(RawData!C575="","Unknown",PROPER(TRIM(CLEAN(SUBSTITUTE(RawData!C575,CHAR(160)," ")))))</f>
        <v>South</v>
      </c>
      <c r="D575" t="str">
        <f>IF(RawData!D575="","Unknown",PROPER(TRIM(CLEAN(SUBSTITUTE(RawData!D575,CHAR(160)," ")))))</f>
        <v>Bengaluru</v>
      </c>
      <c r="E575" t="str">
        <f>IF(RawData!E575="","Unknown",PROPER(TRIM(CLEAN(SUBSTITUTE(RawData!E575,CHAR(160)," ")))))</f>
        <v>Printer</v>
      </c>
      <c r="F575" t="str">
        <f>IF(RawData!F575="","Unknown",PROPER(TRIM(CLEAN(SUBSTITUTE(RawData!F575,CHAR(160)," ")))))</f>
        <v>Office Supplies</v>
      </c>
      <c r="G575">
        <f>_xlfn.LET(
_xlpm.q,RawData!G575,
_xlpm.u,RawData!H575,
_xlpm.d,RawData!I575,
_xlpm.r,RawData!J575,
IF(AND(ISNUMBER(_xlpm.q),_xlpm.q&gt;0),_xlpm.q,
   IF(AND(ISNUMBER(_xlpm.r),ISNUMBER(_xlpm.u),_xlpm.u&gt;0,ISNUMBER(_xlpm.d),_xlpm.d&gt;=0,_xlpm.d&lt;1),
      ROUND(_xlpm.r/(_xlpm.u*(1-_xlpm.d)),0),
      ""
   )
)
)</f>
        <v>2</v>
      </c>
      <c r="H575" s="4">
        <f>_xlfn.LET(
_xlpm.q,RawData!G575,
_xlpm.u,RawData!H575,
_xlpm.d,RawData!I575,
_xlpm.r,RawData!J575,
IF(AND(ISNUMBER(_xlpm.u),_xlpm.u&gt;0),_xlpm.u,
   IF(AND(ISNUMBER(_xlpm.q),_xlpm.q&gt;0,ISNUMBER(_xlpm.r),ISNUMBER(_xlpm.d),_xlpm.d&gt;=0,_xlpm.d&lt;1),
      _xlpm.r/(_xlpm.q*(1-_xlpm.d)),
      ""
   )
)
)</f>
        <v>174.28</v>
      </c>
      <c r="I575" s="5">
        <f>_xlfn.LET(
_xlpm.q,RawData!G575,
_xlpm.u,RawData!H575,
_xlpm.d,RawData!I575,
_xlpm.r,RawData!J575,
IF(AND(ISNUMBER(_xlpm.d),_xlpm.d&gt;=0,_xlpm.d&lt;1),_xlpm.d,
   IF(AND(ISNUMBER(_xlpm.q),_xlpm.q&gt;0,ISNUMBER(_xlpm.u),_xlpm.u&gt;0,ISNUMBER(_xlpm.r),_xlpm.r&gt;=0),
      1-(_xlpm.r/(_xlpm.q*_xlpm.u)),
      ""
   )
)
)</f>
        <v>0.02</v>
      </c>
      <c r="J575" s="4">
        <f>_xlfn.LET(
_xlpm.q,RawData!G575,
_xlpm.u,RawData!H575,
_xlpm.d,RawData!I575,
_xlpm.r,RawData!J575,
IF(AND(ISNUMBER(_xlpm.r),_xlpm.r&gt;=0),_xlpm.r,
   IF(AND(ISNUMBER(_xlpm.q),_xlpm.q&gt;0,ISNUMBER(_xlpm.u),_xlpm.u&gt;0,ISNUMBER(_xlpm.d),_xlpm.d&gt;=0,_xlpm.d&lt;1),
      _xlpm.q*_xlpm.u*(1-_xlpm.d),
      ""
   )
)
)</f>
        <v>341.59</v>
      </c>
      <c r="K575" s="4">
        <f>_xlfn.LET(
_xlpm.c,RawData!K575,
_xlpm.r,RawData!J575,
_xlpm.p,RawData!L575,
IF(AND(ISNUMBER(_xlpm.c),_xlpm.c&gt;=0),_xlpm.c,
   IF(AND(ISNUMBER(_xlpm.r),ISNUMBER(_xlpm.p)),
      _xlpm.r-_xlpm.p,
      ""
   )
)
)</f>
        <v>248.6</v>
      </c>
      <c r="L575" s="4">
        <f>_xlfn.LET(
_xlpm.p,RawData!L575,
_xlpm.r,RawData!J575,
_xlpm.c,RawData!K575,
IF(ISNUMBER(_xlpm.p),_xlpm.p,
IF(AND(ISNUMBER(_xlpm.r),ISNUMBER(_xlpm.c)),
_xlpm.r-_xlpm.c,
""
)
))</f>
        <v>92.99</v>
      </c>
    </row>
    <row r="576" spans="1:12" x14ac:dyDescent="0.35">
      <c r="A576" t="s">
        <v>618</v>
      </c>
      <c r="B576" s="7">
        <v>45773</v>
      </c>
      <c r="C576" t="str">
        <f>IF(RawData!C576="","Unknown",PROPER(TRIM(CLEAN(SUBSTITUTE(RawData!C576,CHAR(160)," ")))))</f>
        <v>West</v>
      </c>
      <c r="D576" t="str">
        <f>IF(RawData!D576="","Unknown",PROPER(TRIM(CLEAN(SUBSTITUTE(RawData!D576,CHAR(160)," ")))))</f>
        <v>Pune</v>
      </c>
      <c r="E576" t="str">
        <f>IF(RawData!E576="","Unknown",PROPER(TRIM(CLEAN(SUBSTITUTE(RawData!E576,CHAR(160)," ")))))</f>
        <v>Laptop</v>
      </c>
      <c r="F576" t="str">
        <f>IF(RawData!F576="","Unknown",PROPER(TRIM(CLEAN(SUBSTITUTE(RawData!F576,CHAR(160)," ")))))</f>
        <v>Electronics</v>
      </c>
      <c r="G576">
        <f>_xlfn.LET(
_xlpm.q,RawData!G576,
_xlpm.u,RawData!H576,
_xlpm.d,RawData!I576,
_xlpm.r,RawData!J576,
IF(AND(ISNUMBER(_xlpm.q),_xlpm.q&gt;0),_xlpm.q,
   IF(AND(ISNUMBER(_xlpm.r),ISNUMBER(_xlpm.u),_xlpm.u&gt;0,ISNUMBER(_xlpm.d),_xlpm.d&gt;=0,_xlpm.d&lt;1),
      ROUND(_xlpm.r/(_xlpm.u*(1-_xlpm.d)),0),
      ""
   )
)
)</f>
        <v>1</v>
      </c>
      <c r="H576" s="4">
        <f>_xlfn.LET(
_xlpm.q,RawData!G576,
_xlpm.u,RawData!H576,
_xlpm.d,RawData!I576,
_xlpm.r,RawData!J576,
IF(AND(ISNUMBER(_xlpm.u),_xlpm.u&gt;0),_xlpm.u,
   IF(AND(ISNUMBER(_xlpm.q),_xlpm.q&gt;0,ISNUMBER(_xlpm.r),ISNUMBER(_xlpm.d),_xlpm.d&gt;=0,_xlpm.d&lt;1),
      _xlpm.r/(_xlpm.q*(1-_xlpm.d)),
      ""
   )
)
)</f>
        <v>939.4</v>
      </c>
      <c r="I576" s="5">
        <f>_xlfn.LET(
_xlpm.q,RawData!G576,
_xlpm.u,RawData!H576,
_xlpm.d,RawData!I576,
_xlpm.r,RawData!J576,
IF(AND(ISNUMBER(_xlpm.d),_xlpm.d&gt;=0,_xlpm.d&lt;1),_xlpm.d,
   IF(AND(ISNUMBER(_xlpm.q),_xlpm.q&gt;0,ISNUMBER(_xlpm.u),_xlpm.u&gt;0,ISNUMBER(_xlpm.r),_xlpm.r&gt;=0),
      1-(_xlpm.r/(_xlpm.q*_xlpm.u)),
      ""
   )
)
)</f>
        <v>0.2</v>
      </c>
      <c r="J576" s="4">
        <f>_xlfn.LET(
_xlpm.q,RawData!G576,
_xlpm.u,RawData!H576,
_xlpm.d,RawData!I576,
_xlpm.r,RawData!J576,
IF(AND(ISNUMBER(_xlpm.r),_xlpm.r&gt;=0),_xlpm.r,
   IF(AND(ISNUMBER(_xlpm.q),_xlpm.q&gt;0,ISNUMBER(_xlpm.u),_xlpm.u&gt;0,ISNUMBER(_xlpm.d),_xlpm.d&gt;=0,_xlpm.d&lt;1),
      _xlpm.q*_xlpm.u*(1-_xlpm.d),
      ""
   )
)
)</f>
        <v>751.52</v>
      </c>
      <c r="K576" s="4">
        <f>_xlfn.LET(
_xlpm.c,RawData!K576,
_xlpm.r,RawData!J576,
_xlpm.p,RawData!L576,
IF(AND(ISNUMBER(_xlpm.c),_xlpm.c&gt;=0),_xlpm.c,
   IF(AND(ISNUMBER(_xlpm.r),ISNUMBER(_xlpm.p)),
      _xlpm.r-_xlpm.p,
      ""
   )
)
)</f>
        <v>589.32000000000005</v>
      </c>
      <c r="L576" s="4">
        <f>_xlfn.LET(
_xlpm.p,RawData!L576,
_xlpm.r,RawData!J576,
_xlpm.c,RawData!K576,
IF(ISNUMBER(_xlpm.p),_xlpm.p,
IF(AND(ISNUMBER(_xlpm.r),ISNUMBER(_xlpm.c)),
_xlpm.r-_xlpm.c,
""
)
))</f>
        <v>162.19999999999999</v>
      </c>
    </row>
    <row r="577" spans="1:12" x14ac:dyDescent="0.35">
      <c r="A577" t="s">
        <v>619</v>
      </c>
      <c r="B577" s="7">
        <v>45719</v>
      </c>
      <c r="C577" t="str">
        <f>IF(RawData!C577="","Unknown",PROPER(TRIM(CLEAN(SUBSTITUTE(RawData!C577,CHAR(160)," ")))))</f>
        <v>West</v>
      </c>
      <c r="D577" t="str">
        <f>IF(RawData!D577="","Unknown",PROPER(TRIM(CLEAN(SUBSTITUTE(RawData!D577,CHAR(160)," ")))))</f>
        <v>Mumbai</v>
      </c>
      <c r="E577" t="str">
        <f>IF(RawData!E577="","Unknown",PROPER(TRIM(CLEAN(SUBSTITUTE(RawData!E577,CHAR(160)," ")))))</f>
        <v>Keyboard</v>
      </c>
      <c r="F577" t="str">
        <f>IF(RawData!F577="","Unknown",PROPER(TRIM(CLEAN(SUBSTITUTE(RawData!F577,CHAR(160)," ")))))</f>
        <v>Accessories</v>
      </c>
      <c r="G577">
        <f>_xlfn.LET(
_xlpm.q,RawData!G577,
_xlpm.u,RawData!H577,
_xlpm.d,RawData!I577,
_xlpm.r,RawData!J577,
IF(AND(ISNUMBER(_xlpm.q),_xlpm.q&gt;0),_xlpm.q,
   IF(AND(ISNUMBER(_xlpm.r),ISNUMBER(_xlpm.u),_xlpm.u&gt;0,ISNUMBER(_xlpm.d),_xlpm.d&gt;=0,_xlpm.d&lt;1),
      ROUND(_xlpm.r/(_xlpm.u*(1-_xlpm.d)),0),
      ""
   )
)
)</f>
        <v>3</v>
      </c>
      <c r="H577" s="4">
        <f>_xlfn.LET(
_xlpm.q,RawData!G577,
_xlpm.u,RawData!H577,
_xlpm.d,RawData!I577,
_xlpm.r,RawData!J577,
IF(AND(ISNUMBER(_xlpm.u),_xlpm.u&gt;0),_xlpm.u,
   IF(AND(ISNUMBER(_xlpm.q),_xlpm.q&gt;0,ISNUMBER(_xlpm.r),ISNUMBER(_xlpm.d),_xlpm.d&gt;=0,_xlpm.d&lt;1),
      _xlpm.r/(_xlpm.q*(1-_xlpm.d)),
      ""
   )
)
)</f>
        <v>37.19</v>
      </c>
      <c r="I577" s="5">
        <f>_xlfn.LET(
_xlpm.q,RawData!G577,
_xlpm.u,RawData!H577,
_xlpm.d,RawData!I577,
_xlpm.r,RawData!J577,
IF(AND(ISNUMBER(_xlpm.d),_xlpm.d&gt;=0,_xlpm.d&lt;1),_xlpm.d,
   IF(AND(ISNUMBER(_xlpm.q),_xlpm.q&gt;0,ISNUMBER(_xlpm.u),_xlpm.u&gt;0,ISNUMBER(_xlpm.r),_xlpm.r&gt;=0),
      1-(_xlpm.r/(_xlpm.q*_xlpm.u)),
      ""
   )
)
)</f>
        <v>0.1</v>
      </c>
      <c r="J577" s="4">
        <f>_xlfn.LET(
_xlpm.q,RawData!G577,
_xlpm.u,RawData!H577,
_xlpm.d,RawData!I577,
_xlpm.r,RawData!J577,
IF(AND(ISNUMBER(_xlpm.r),_xlpm.r&gt;=0),_xlpm.r,
   IF(AND(ISNUMBER(_xlpm.q),_xlpm.q&gt;0,ISNUMBER(_xlpm.u),_xlpm.u&gt;0,ISNUMBER(_xlpm.d),_xlpm.d&gt;=0,_xlpm.d&lt;1),
      _xlpm.q*_xlpm.u*(1-_xlpm.d),
      ""
   )
)
)</f>
        <v>100.41</v>
      </c>
      <c r="K577" s="4">
        <f>_xlfn.LET(
_xlpm.c,RawData!K577,
_xlpm.r,RawData!J577,
_xlpm.p,RawData!L577,
IF(AND(ISNUMBER(_xlpm.c),_xlpm.c&gt;=0),_xlpm.c,
   IF(AND(ISNUMBER(_xlpm.r),ISNUMBER(_xlpm.p)),
      _xlpm.r-_xlpm.p,
      ""
   )
)
)</f>
        <v>77.92</v>
      </c>
      <c r="L577" s="4">
        <f>_xlfn.LET(
_xlpm.p,RawData!L577,
_xlpm.r,RawData!J577,
_xlpm.c,RawData!K577,
IF(ISNUMBER(_xlpm.p),_xlpm.p,
IF(AND(ISNUMBER(_xlpm.r),ISNUMBER(_xlpm.c)),
_xlpm.r-_xlpm.c,
""
)
))</f>
        <v>22.49</v>
      </c>
    </row>
    <row r="578" spans="1:12" x14ac:dyDescent="0.35">
      <c r="A578" t="s">
        <v>620</v>
      </c>
      <c r="B578" s="7">
        <v>45775</v>
      </c>
      <c r="C578" t="str">
        <f>IF(RawData!C578="","Unknown",PROPER(TRIM(CLEAN(SUBSTITUTE(RawData!C578,CHAR(160)," ")))))</f>
        <v>West</v>
      </c>
      <c r="D578" t="str">
        <f>IF(RawData!D578="","Unknown",PROPER(TRIM(CLEAN(SUBSTITUTE(RawData!D578,CHAR(160)," ")))))</f>
        <v>Pune</v>
      </c>
      <c r="E578" t="str">
        <f>IF(RawData!E578="","Unknown",PROPER(TRIM(CLEAN(SUBSTITUTE(RawData!E578,CHAR(160)," ")))))</f>
        <v>Smartphone</v>
      </c>
      <c r="F578" t="str">
        <f>IF(RawData!F578="","Unknown",PROPER(TRIM(CLEAN(SUBSTITUTE(RawData!F578,CHAR(160)," ")))))</f>
        <v>Electronics</v>
      </c>
      <c r="G578">
        <f>_xlfn.LET(
_xlpm.q,RawData!G578,
_xlpm.u,RawData!H578,
_xlpm.d,RawData!I578,
_xlpm.r,RawData!J578,
IF(AND(ISNUMBER(_xlpm.q),_xlpm.q&gt;0),_xlpm.q,
   IF(AND(ISNUMBER(_xlpm.r),ISNUMBER(_xlpm.u),_xlpm.u&gt;0,ISNUMBER(_xlpm.d),_xlpm.d&gt;=0,_xlpm.d&lt;1),
      ROUND(_xlpm.r/(_xlpm.u*(1-_xlpm.d)),0),
      ""
   )
)
)</f>
        <v>2</v>
      </c>
      <c r="H578" s="4">
        <f>_xlfn.LET(
_xlpm.q,RawData!G578,
_xlpm.u,RawData!H578,
_xlpm.d,RawData!I578,
_xlpm.r,RawData!J578,
IF(AND(ISNUMBER(_xlpm.u),_xlpm.u&gt;0),_xlpm.u,
   IF(AND(ISNUMBER(_xlpm.q),_xlpm.q&gt;0,ISNUMBER(_xlpm.r),ISNUMBER(_xlpm.d),_xlpm.d&gt;=0,_xlpm.d&lt;1),
      _xlpm.r/(_xlpm.q*(1-_xlpm.d)),
      ""
   )
)
)</f>
        <v>582.58000000000004</v>
      </c>
      <c r="I578" s="5">
        <f>_xlfn.LET(
_xlpm.q,RawData!G578,
_xlpm.u,RawData!H578,
_xlpm.d,RawData!I578,
_xlpm.r,RawData!J578,
IF(AND(ISNUMBER(_xlpm.d),_xlpm.d&gt;=0,_xlpm.d&lt;1),_xlpm.d,
   IF(AND(ISNUMBER(_xlpm.q),_xlpm.q&gt;0,ISNUMBER(_xlpm.u),_xlpm.u&gt;0,ISNUMBER(_xlpm.r),_xlpm.r&gt;=0),
      1-(_xlpm.r/(_xlpm.q*_xlpm.u)),
      ""
   )
)
)</f>
        <v>0</v>
      </c>
      <c r="J578" s="4">
        <f>_xlfn.LET(
_xlpm.q,RawData!G578,
_xlpm.u,RawData!H578,
_xlpm.d,RawData!I578,
_xlpm.r,RawData!J578,
IF(AND(ISNUMBER(_xlpm.r),_xlpm.r&gt;=0),_xlpm.r,
   IF(AND(ISNUMBER(_xlpm.q),_xlpm.q&gt;0,ISNUMBER(_xlpm.u),_xlpm.u&gt;0,ISNUMBER(_xlpm.d),_xlpm.d&gt;=0,_xlpm.d&lt;1),
      _xlpm.q*_xlpm.u*(1-_xlpm.d),
      ""
   )
)
)</f>
        <v>1165.1600000000001</v>
      </c>
      <c r="K578" s="4">
        <f>_xlfn.LET(
_xlpm.c,RawData!K578,
_xlpm.r,RawData!J578,
_xlpm.p,RawData!L578,
IF(AND(ISNUMBER(_xlpm.c),_xlpm.c&gt;=0),_xlpm.c,
   IF(AND(ISNUMBER(_xlpm.r),ISNUMBER(_xlpm.p)),
      _xlpm.r-_xlpm.p,
      ""
   )
)
)</f>
        <v>854.81</v>
      </c>
      <c r="L578" s="4">
        <f>_xlfn.LET(
_xlpm.p,RawData!L578,
_xlpm.r,RawData!J578,
_xlpm.c,RawData!K578,
IF(ISNUMBER(_xlpm.p),_xlpm.p,
IF(AND(ISNUMBER(_xlpm.r),ISNUMBER(_xlpm.c)),
_xlpm.r-_xlpm.c,
""
)
))</f>
        <v>310.35000000000002</v>
      </c>
    </row>
    <row r="579" spans="1:12" x14ac:dyDescent="0.35">
      <c r="A579" t="s">
        <v>621</v>
      </c>
      <c r="B579" s="7">
        <v>45846</v>
      </c>
      <c r="C579" t="str">
        <f>IF(RawData!C579="","Unknown",PROPER(TRIM(CLEAN(SUBSTITUTE(RawData!C579,CHAR(160)," ")))))</f>
        <v>East</v>
      </c>
      <c r="D579" t="str">
        <f>IF(RawData!D579="","Unknown",PROPER(TRIM(CLEAN(SUBSTITUTE(RawData!D579,CHAR(160)," ")))))</f>
        <v>Patna</v>
      </c>
      <c r="E579" t="str">
        <f>IF(RawData!E579="","Unknown",PROPER(TRIM(CLEAN(SUBSTITUTE(RawData!E579,CHAR(160)," ")))))</f>
        <v>Headphones</v>
      </c>
      <c r="F579" t="str">
        <f>IF(RawData!F579="","Unknown",PROPER(TRIM(CLEAN(SUBSTITUTE(RawData!F579,CHAR(160)," ")))))</f>
        <v>Electronics</v>
      </c>
      <c r="G579">
        <f>_xlfn.LET(
_xlpm.q,RawData!G579,
_xlpm.u,RawData!H579,
_xlpm.d,RawData!I579,
_xlpm.r,RawData!J579,
IF(AND(ISNUMBER(_xlpm.q),_xlpm.q&gt;0),_xlpm.q,
   IF(AND(ISNUMBER(_xlpm.r),ISNUMBER(_xlpm.u),_xlpm.u&gt;0,ISNUMBER(_xlpm.d),_xlpm.d&gt;=0,_xlpm.d&lt;1),
      ROUND(_xlpm.r/(_xlpm.u*(1-_xlpm.d)),0),
      ""
   )
)
)</f>
        <v>7</v>
      </c>
      <c r="H579" s="4">
        <f>_xlfn.LET(
_xlpm.q,RawData!G579,
_xlpm.u,RawData!H579,
_xlpm.d,RawData!I579,
_xlpm.r,RawData!J579,
IF(AND(ISNUMBER(_xlpm.u),_xlpm.u&gt;0),_xlpm.u,
   IF(AND(ISNUMBER(_xlpm.q),_xlpm.q&gt;0,ISNUMBER(_xlpm.r),ISNUMBER(_xlpm.d),_xlpm.d&gt;=0,_xlpm.d&lt;1),
      _xlpm.r/(_xlpm.q*(1-_xlpm.d)),
      ""
   )
)
)</f>
        <v>82.85</v>
      </c>
      <c r="I579" s="5">
        <f>_xlfn.LET(
_xlpm.q,RawData!G579,
_xlpm.u,RawData!H579,
_xlpm.d,RawData!I579,
_xlpm.r,RawData!J579,
IF(AND(ISNUMBER(_xlpm.d),_xlpm.d&gt;=0,_xlpm.d&lt;1),_xlpm.d,
   IF(AND(ISNUMBER(_xlpm.q),_xlpm.q&gt;0,ISNUMBER(_xlpm.u),_xlpm.u&gt;0,ISNUMBER(_xlpm.r),_xlpm.r&gt;=0),
      1-(_xlpm.r/(_xlpm.q*_xlpm.u)),
      ""
   )
)
)</f>
        <v>0.02</v>
      </c>
      <c r="J579" s="4">
        <f>_xlfn.LET(
_xlpm.q,RawData!G579,
_xlpm.u,RawData!H579,
_xlpm.d,RawData!I579,
_xlpm.r,RawData!J579,
IF(AND(ISNUMBER(_xlpm.r),_xlpm.r&gt;=0),_xlpm.r,
   IF(AND(ISNUMBER(_xlpm.q),_xlpm.q&gt;0,ISNUMBER(_xlpm.u),_xlpm.u&gt;0,ISNUMBER(_xlpm.d),_xlpm.d&gt;=0,_xlpm.d&lt;1),
      _xlpm.q*_xlpm.u*(1-_xlpm.d),
      ""
   )
)
)</f>
        <v>568.35</v>
      </c>
      <c r="K579" s="4">
        <f>_xlfn.LET(
_xlpm.c,RawData!K579,
_xlpm.r,RawData!J579,
_xlpm.p,RawData!L579,
IF(AND(ISNUMBER(_xlpm.c),_xlpm.c&gt;=0),_xlpm.c,
   IF(AND(ISNUMBER(_xlpm.r),ISNUMBER(_xlpm.p)),
      _xlpm.r-_xlpm.p,
      ""
   )
)
)</f>
        <v>428.1</v>
      </c>
      <c r="L579" s="4">
        <f>_xlfn.LET(
_xlpm.p,RawData!L579,
_xlpm.r,RawData!J579,
_xlpm.c,RawData!K579,
IF(ISNUMBER(_xlpm.p),_xlpm.p,
IF(AND(ISNUMBER(_xlpm.r),ISNUMBER(_xlpm.c)),
_xlpm.r-_xlpm.c,
""
)
))</f>
        <v>140.25</v>
      </c>
    </row>
    <row r="580" spans="1:12" x14ac:dyDescent="0.35">
      <c r="A580" t="s">
        <v>622</v>
      </c>
      <c r="B580" s="7">
        <v>46004</v>
      </c>
      <c r="C580" t="str">
        <f>IF(RawData!C580="","Unknown",PROPER(TRIM(CLEAN(SUBSTITUTE(RawData!C580,CHAR(160)," ")))))</f>
        <v>South</v>
      </c>
      <c r="D580" t="str">
        <f>IF(RawData!D580="","Unknown",PROPER(TRIM(CLEAN(SUBSTITUTE(RawData!D580,CHAR(160)," ")))))</f>
        <v>Hyderabad</v>
      </c>
      <c r="E580" t="str">
        <f>IF(RawData!E580="","Unknown",PROPER(TRIM(CLEAN(SUBSTITUTE(RawData!E580,CHAR(160)," ")))))</f>
        <v>Smartphone</v>
      </c>
      <c r="F580" t="str">
        <f>IF(RawData!F580="","Unknown",PROPER(TRIM(CLEAN(SUBSTITUTE(RawData!F580,CHAR(160)," ")))))</f>
        <v>Electronics</v>
      </c>
      <c r="G580">
        <f>_xlfn.LET(
_xlpm.q,RawData!G580,
_xlpm.u,RawData!H580,
_xlpm.d,RawData!I580,
_xlpm.r,RawData!J580,
IF(AND(ISNUMBER(_xlpm.q),_xlpm.q&gt;0),_xlpm.q,
   IF(AND(ISNUMBER(_xlpm.r),ISNUMBER(_xlpm.u),_xlpm.u&gt;0,ISNUMBER(_xlpm.d),_xlpm.d&gt;=0,_xlpm.d&lt;1),
      ROUND(_xlpm.r/(_xlpm.u*(1-_xlpm.d)),0),
      ""
   )
)
)</f>
        <v>9</v>
      </c>
      <c r="H580" s="4">
        <f>_xlfn.LET(
_xlpm.q,RawData!G580,
_xlpm.u,RawData!H580,
_xlpm.d,RawData!I580,
_xlpm.r,RawData!J580,
IF(AND(ISNUMBER(_xlpm.u),_xlpm.u&gt;0),_xlpm.u,
   IF(AND(ISNUMBER(_xlpm.q),_xlpm.q&gt;0,ISNUMBER(_xlpm.r),ISNUMBER(_xlpm.d),_xlpm.d&gt;=0,_xlpm.d&lt;1),
      _xlpm.r/(_xlpm.q*(1-_xlpm.d)),
      ""
   )
)
)</f>
        <v>493.67</v>
      </c>
      <c r="I580" s="5">
        <f>_xlfn.LET(
_xlpm.q,RawData!G580,
_xlpm.u,RawData!H580,
_xlpm.d,RawData!I580,
_xlpm.r,RawData!J580,
IF(AND(ISNUMBER(_xlpm.d),_xlpm.d&gt;=0,_xlpm.d&lt;1),_xlpm.d,
   IF(AND(ISNUMBER(_xlpm.q),_xlpm.q&gt;0,ISNUMBER(_xlpm.u),_xlpm.u&gt;0,ISNUMBER(_xlpm.r),_xlpm.r&gt;=0),
      1-(_xlpm.r/(_xlpm.q*_xlpm.u)),
      ""
   )
)
)</f>
        <v>0.15</v>
      </c>
      <c r="J580" s="4">
        <f>_xlfn.LET(
_xlpm.q,RawData!G580,
_xlpm.u,RawData!H580,
_xlpm.d,RawData!I580,
_xlpm.r,RawData!J580,
IF(AND(ISNUMBER(_xlpm.r),_xlpm.r&gt;=0),_xlpm.r,
   IF(AND(ISNUMBER(_xlpm.q),_xlpm.q&gt;0,ISNUMBER(_xlpm.u),_xlpm.u&gt;0,ISNUMBER(_xlpm.d),_xlpm.d&gt;=0,_xlpm.d&lt;1),
      _xlpm.q*_xlpm.u*(1-_xlpm.d),
      ""
   )
)
)</f>
        <v>3776.58</v>
      </c>
      <c r="K580" s="4">
        <f>_xlfn.LET(
_xlpm.c,RawData!K580,
_xlpm.r,RawData!J580,
_xlpm.p,RawData!L580,
IF(AND(ISNUMBER(_xlpm.c),_xlpm.c&gt;=0),_xlpm.c,
   IF(AND(ISNUMBER(_xlpm.r),ISNUMBER(_xlpm.p)),
      _xlpm.r-_xlpm.p,
      ""
   )
)
)</f>
        <v>2975.32</v>
      </c>
      <c r="L580" s="4">
        <f>_xlfn.LET(
_xlpm.p,RawData!L580,
_xlpm.r,RawData!J580,
_xlpm.c,RawData!K580,
IF(ISNUMBER(_xlpm.p),_xlpm.p,
IF(AND(ISNUMBER(_xlpm.r),ISNUMBER(_xlpm.c)),
_xlpm.r-_xlpm.c,
""
)
))</f>
        <v>801.26</v>
      </c>
    </row>
    <row r="581" spans="1:12" x14ac:dyDescent="0.35">
      <c r="A581" t="s">
        <v>623</v>
      </c>
      <c r="B581" s="7">
        <v>45970</v>
      </c>
      <c r="C581" t="str">
        <f>IF(RawData!C581="","Unknown",PROPER(TRIM(CLEAN(SUBSTITUTE(RawData!C581,CHAR(160)," ")))))</f>
        <v>South</v>
      </c>
      <c r="D581" t="str">
        <f>IF(RawData!D581="","Unknown",PROPER(TRIM(CLEAN(SUBSTITUTE(RawData!D581,CHAR(160)," ")))))</f>
        <v>Hyderabad</v>
      </c>
      <c r="E581" t="str">
        <f>IF(RawData!E581="","Unknown",PROPER(TRIM(CLEAN(SUBSTITUTE(RawData!E581,CHAR(160)," ")))))</f>
        <v>Printer</v>
      </c>
      <c r="F581" t="str">
        <f>IF(RawData!F581="","Unknown",PROPER(TRIM(CLEAN(SUBSTITUTE(RawData!F581,CHAR(160)," ")))))</f>
        <v>Office Supplies</v>
      </c>
      <c r="G581">
        <f>_xlfn.LET(
_xlpm.q,RawData!G581,
_xlpm.u,RawData!H581,
_xlpm.d,RawData!I581,
_xlpm.r,RawData!J581,
IF(AND(ISNUMBER(_xlpm.q),_xlpm.q&gt;0),_xlpm.q,
   IF(AND(ISNUMBER(_xlpm.r),ISNUMBER(_xlpm.u),_xlpm.u&gt;0,ISNUMBER(_xlpm.d),_xlpm.d&gt;=0,_xlpm.d&lt;1),
      ROUND(_xlpm.r/(_xlpm.u*(1-_xlpm.d)),0),
      ""
   )
)
)</f>
        <v>6</v>
      </c>
      <c r="H581" s="4">
        <f>_xlfn.LET(
_xlpm.q,RawData!G581,
_xlpm.u,RawData!H581,
_xlpm.d,RawData!I581,
_xlpm.r,RawData!J581,
IF(AND(ISNUMBER(_xlpm.u),_xlpm.u&gt;0),_xlpm.u,
   IF(AND(ISNUMBER(_xlpm.q),_xlpm.q&gt;0,ISNUMBER(_xlpm.r),ISNUMBER(_xlpm.d),_xlpm.d&gt;=0,_xlpm.d&lt;1),
      _xlpm.r/(_xlpm.q*(1-_xlpm.d)),
      ""
   )
)
)</f>
        <v>177.85</v>
      </c>
      <c r="I581" s="5">
        <f>_xlfn.LET(
_xlpm.q,RawData!G581,
_xlpm.u,RawData!H581,
_xlpm.d,RawData!I581,
_xlpm.r,RawData!J581,
IF(AND(ISNUMBER(_xlpm.d),_xlpm.d&gt;=0,_xlpm.d&lt;1),_xlpm.d,
   IF(AND(ISNUMBER(_xlpm.q),_xlpm.q&gt;0,ISNUMBER(_xlpm.u),_xlpm.u&gt;0,ISNUMBER(_xlpm.r),_xlpm.r&gt;=0),
      1-(_xlpm.r/(_xlpm.q*_xlpm.u)),
      ""
   )
)
)</f>
        <v>0.2</v>
      </c>
      <c r="J581" s="4">
        <f>_xlfn.LET(
_xlpm.q,RawData!G581,
_xlpm.u,RawData!H581,
_xlpm.d,RawData!I581,
_xlpm.r,RawData!J581,
IF(AND(ISNUMBER(_xlpm.r),_xlpm.r&gt;=0),_xlpm.r,
   IF(AND(ISNUMBER(_xlpm.q),_xlpm.q&gt;0,ISNUMBER(_xlpm.u),_xlpm.u&gt;0,ISNUMBER(_xlpm.d),_xlpm.d&gt;=0,_xlpm.d&lt;1),
      _xlpm.q*_xlpm.u*(1-_xlpm.d),
      ""
   )
)
)</f>
        <v>853.68</v>
      </c>
      <c r="K581" s="4">
        <f>_xlfn.LET(
_xlpm.c,RawData!K581,
_xlpm.r,RawData!J581,
_xlpm.p,RawData!L581,
IF(AND(ISNUMBER(_xlpm.c),_xlpm.c&gt;=0),_xlpm.c,
   IF(AND(ISNUMBER(_xlpm.r),ISNUMBER(_xlpm.p)),
      _xlpm.r-_xlpm.p,
      ""
   )
)
)</f>
        <v>476.27</v>
      </c>
      <c r="L581" s="4">
        <f>_xlfn.LET(
_xlpm.p,RawData!L581,
_xlpm.r,RawData!J581,
_xlpm.c,RawData!K581,
IF(ISNUMBER(_xlpm.p),_xlpm.p,
IF(AND(ISNUMBER(_xlpm.r),ISNUMBER(_xlpm.c)),
_xlpm.r-_xlpm.c,
""
)
))</f>
        <v>377.41</v>
      </c>
    </row>
    <row r="582" spans="1:12" x14ac:dyDescent="0.35">
      <c r="A582" t="s">
        <v>624</v>
      </c>
      <c r="B582" s="7">
        <v>45979</v>
      </c>
      <c r="C582" t="str">
        <f>IF(RawData!C582="","Unknown",PROPER(TRIM(CLEAN(SUBSTITUTE(RawData!C582,CHAR(160)," ")))))</f>
        <v>South</v>
      </c>
      <c r="D582" t="str">
        <f>IF(RawData!D582="","Unknown",PROPER(TRIM(CLEAN(SUBSTITUTE(RawData!D582,CHAR(160)," ")))))</f>
        <v>Chennai</v>
      </c>
      <c r="E582" t="str">
        <f>IF(RawData!E582="","Unknown",PROPER(TRIM(CLEAN(SUBSTITUTE(RawData!E582,CHAR(160)," ")))))</f>
        <v>Bookshelf</v>
      </c>
      <c r="F582" t="str">
        <f>IF(RawData!F582="","Unknown",PROPER(TRIM(CLEAN(SUBSTITUTE(RawData!F582,CHAR(160)," ")))))</f>
        <v>Furniture</v>
      </c>
      <c r="G582">
        <f>_xlfn.LET(
_xlpm.q,RawData!G582,
_xlpm.u,RawData!H582,
_xlpm.d,RawData!I582,
_xlpm.r,RawData!J582,
IF(AND(ISNUMBER(_xlpm.q),_xlpm.q&gt;0),_xlpm.q,
   IF(AND(ISNUMBER(_xlpm.r),ISNUMBER(_xlpm.u),_xlpm.u&gt;0,ISNUMBER(_xlpm.d),_xlpm.d&gt;=0,_xlpm.d&lt;1),
      ROUND(_xlpm.r/(_xlpm.u*(1-_xlpm.d)),0),
      ""
   )
)
)</f>
        <v>10</v>
      </c>
      <c r="H582" s="4">
        <f>_xlfn.LET(
_xlpm.q,RawData!G582,
_xlpm.u,RawData!H582,
_xlpm.d,RawData!I582,
_xlpm.r,RawData!J582,
IF(AND(ISNUMBER(_xlpm.u),_xlpm.u&gt;0),_xlpm.u,
   IF(AND(ISNUMBER(_xlpm.q),_xlpm.q&gt;0,ISNUMBER(_xlpm.r),ISNUMBER(_xlpm.d),_xlpm.d&gt;=0,_xlpm.d&lt;1),
      _xlpm.r/(_xlpm.q*(1-_xlpm.d)),
      ""
   )
)
)</f>
        <v>153.68</v>
      </c>
      <c r="I582" s="5">
        <f>_xlfn.LET(
_xlpm.q,RawData!G582,
_xlpm.u,RawData!H582,
_xlpm.d,RawData!I582,
_xlpm.r,RawData!J582,
IF(AND(ISNUMBER(_xlpm.d),_xlpm.d&gt;=0,_xlpm.d&lt;1),_xlpm.d,
   IF(AND(ISNUMBER(_xlpm.q),_xlpm.q&gt;0,ISNUMBER(_xlpm.u),_xlpm.u&gt;0,ISNUMBER(_xlpm.r),_xlpm.r&gt;=0),
      1-(_xlpm.r/(_xlpm.q*_xlpm.u)),
      ""
   )
)
)</f>
        <v>0.2</v>
      </c>
      <c r="J582" s="4">
        <f>_xlfn.LET(
_xlpm.q,RawData!G582,
_xlpm.u,RawData!H582,
_xlpm.d,RawData!I582,
_xlpm.r,RawData!J582,
IF(AND(ISNUMBER(_xlpm.r),_xlpm.r&gt;=0),_xlpm.r,
   IF(AND(ISNUMBER(_xlpm.q),_xlpm.q&gt;0,ISNUMBER(_xlpm.u),_xlpm.u&gt;0,ISNUMBER(_xlpm.d),_xlpm.d&gt;=0,_xlpm.d&lt;1),
      _xlpm.q*_xlpm.u*(1-_xlpm.d),
      ""
   )
)
)</f>
        <v>1229.44</v>
      </c>
      <c r="K582" s="4">
        <f>_xlfn.LET(
_xlpm.c,RawData!K582,
_xlpm.r,RawData!J582,
_xlpm.p,RawData!L582,
IF(AND(ISNUMBER(_xlpm.c),_xlpm.c&gt;=0),_xlpm.c,
   IF(AND(ISNUMBER(_xlpm.r),ISNUMBER(_xlpm.p)),
      _xlpm.r-_xlpm.p,
      ""
   )
)
)</f>
        <v>718.97</v>
      </c>
      <c r="L582" s="4">
        <f>_xlfn.LET(
_xlpm.p,RawData!L582,
_xlpm.r,RawData!J582,
_xlpm.c,RawData!K582,
IF(ISNUMBER(_xlpm.p),_xlpm.p,
IF(AND(ISNUMBER(_xlpm.r),ISNUMBER(_xlpm.c)),
_xlpm.r-_xlpm.c,
""
)
))</f>
        <v>510.47</v>
      </c>
    </row>
    <row r="583" spans="1:12" x14ac:dyDescent="0.35">
      <c r="A583" t="s">
        <v>625</v>
      </c>
      <c r="B583" s="7">
        <v>45769</v>
      </c>
      <c r="C583" t="str">
        <f>IF(RawData!C583="","Unknown",PROPER(TRIM(CLEAN(SUBSTITUTE(RawData!C583,CHAR(160)," ")))))</f>
        <v>North</v>
      </c>
      <c r="D583" t="str">
        <f>IF(RawData!D583="","Unknown",PROPER(TRIM(CLEAN(SUBSTITUTE(RawData!D583,CHAR(160)," ")))))</f>
        <v>Lucknow</v>
      </c>
      <c r="E583" t="str">
        <f>IF(RawData!E583="","Unknown",PROPER(TRIM(CLEAN(SUBSTITUTE(RawData!E583,CHAR(160)," ")))))</f>
        <v>Smartphone</v>
      </c>
      <c r="F583" t="str">
        <f>IF(RawData!F583="","Unknown",PROPER(TRIM(CLEAN(SUBSTITUTE(RawData!F583,CHAR(160)," ")))))</f>
        <v>Electronics</v>
      </c>
      <c r="G583">
        <f>_xlfn.LET(
_xlpm.q,RawData!G583,
_xlpm.u,RawData!H583,
_xlpm.d,RawData!I583,
_xlpm.r,RawData!J583,
IF(AND(ISNUMBER(_xlpm.q),_xlpm.q&gt;0),_xlpm.q,
   IF(AND(ISNUMBER(_xlpm.r),ISNUMBER(_xlpm.u),_xlpm.u&gt;0,ISNUMBER(_xlpm.d),_xlpm.d&gt;=0,_xlpm.d&lt;1),
      ROUND(_xlpm.r/(_xlpm.u*(1-_xlpm.d)),0),
      ""
   )
)
)</f>
        <v>3</v>
      </c>
      <c r="H583" s="4">
        <f>_xlfn.LET(
_xlpm.q,RawData!G583,
_xlpm.u,RawData!H583,
_xlpm.d,RawData!I583,
_xlpm.r,RawData!J583,
IF(AND(ISNUMBER(_xlpm.u),_xlpm.u&gt;0),_xlpm.u,
   IF(AND(ISNUMBER(_xlpm.q),_xlpm.q&gt;0,ISNUMBER(_xlpm.r),ISNUMBER(_xlpm.d),_xlpm.d&gt;=0,_xlpm.d&lt;1),
      _xlpm.r/(_xlpm.q*(1-_xlpm.d)),
      ""
   )
)
)</f>
        <v>522.79</v>
      </c>
      <c r="I583" s="5">
        <f>_xlfn.LET(
_xlpm.q,RawData!G583,
_xlpm.u,RawData!H583,
_xlpm.d,RawData!I583,
_xlpm.r,RawData!J583,
IF(AND(ISNUMBER(_xlpm.d),_xlpm.d&gt;=0,_xlpm.d&lt;1),_xlpm.d,
   IF(AND(ISNUMBER(_xlpm.q),_xlpm.q&gt;0,ISNUMBER(_xlpm.u),_xlpm.u&gt;0,ISNUMBER(_xlpm.r),_xlpm.r&gt;=0),
      1-(_xlpm.r/(_xlpm.q*_xlpm.u)),
      ""
   )
)
)</f>
        <v>0</v>
      </c>
      <c r="J583" s="4">
        <f>_xlfn.LET(
_xlpm.q,RawData!G583,
_xlpm.u,RawData!H583,
_xlpm.d,RawData!I583,
_xlpm.r,RawData!J583,
IF(AND(ISNUMBER(_xlpm.r),_xlpm.r&gt;=0),_xlpm.r,
   IF(AND(ISNUMBER(_xlpm.q),_xlpm.q&gt;0,ISNUMBER(_xlpm.u),_xlpm.u&gt;0,ISNUMBER(_xlpm.d),_xlpm.d&gt;=0,_xlpm.d&lt;1),
      _xlpm.q*_xlpm.u*(1-_xlpm.d),
      ""
   )
)
)</f>
        <v>1568.37</v>
      </c>
      <c r="K583" s="4">
        <f>_xlfn.LET(
_xlpm.c,RawData!K583,
_xlpm.r,RawData!J583,
_xlpm.p,RawData!L583,
IF(AND(ISNUMBER(_xlpm.c),_xlpm.c&gt;=0),_xlpm.c,
   IF(AND(ISNUMBER(_xlpm.r),ISNUMBER(_xlpm.p)),
      _xlpm.r-_xlpm.p,
      ""
   )
)
)</f>
        <v>1177.45</v>
      </c>
      <c r="L583" s="4">
        <f>_xlfn.LET(
_xlpm.p,RawData!L583,
_xlpm.r,RawData!J583,
_xlpm.c,RawData!K583,
IF(ISNUMBER(_xlpm.p),_xlpm.p,
IF(AND(ISNUMBER(_xlpm.r),ISNUMBER(_xlpm.c)),
_xlpm.r-_xlpm.c,
""
)
))</f>
        <v>390.92</v>
      </c>
    </row>
    <row r="584" spans="1:12" x14ac:dyDescent="0.35">
      <c r="A584" t="s">
        <v>626</v>
      </c>
      <c r="B584" s="7">
        <v>45854</v>
      </c>
      <c r="C584" t="str">
        <f>IF(RawData!C584="","Unknown",PROPER(TRIM(CLEAN(SUBSTITUTE(RawData!C584,CHAR(160)," ")))))</f>
        <v>East</v>
      </c>
      <c r="D584" t="str">
        <f>IF(RawData!D584="","Unknown",PROPER(TRIM(CLEAN(SUBSTITUTE(RawData!D584,CHAR(160)," ")))))</f>
        <v>Kolkata</v>
      </c>
      <c r="E584" t="str">
        <f>IF(RawData!E584="","Unknown",PROPER(TRIM(CLEAN(SUBSTITUTE(RawData!E584,CHAR(160)," ")))))</f>
        <v>Bookshelf</v>
      </c>
      <c r="F584" t="str">
        <f>IF(RawData!F584="","Unknown",PROPER(TRIM(CLEAN(SUBSTITUTE(RawData!F584,CHAR(160)," ")))))</f>
        <v>Furniture</v>
      </c>
      <c r="G584">
        <f>_xlfn.LET(
_xlpm.q,RawData!G584,
_xlpm.u,RawData!H584,
_xlpm.d,RawData!I584,
_xlpm.r,RawData!J584,
IF(AND(ISNUMBER(_xlpm.q),_xlpm.q&gt;0),_xlpm.q,
   IF(AND(ISNUMBER(_xlpm.r),ISNUMBER(_xlpm.u),_xlpm.u&gt;0,ISNUMBER(_xlpm.d),_xlpm.d&gt;=0,_xlpm.d&lt;1),
      ROUND(_xlpm.r/(_xlpm.u*(1-_xlpm.d)),0),
      ""
   )
)
)</f>
        <v>6</v>
      </c>
      <c r="H584" s="4">
        <f>_xlfn.LET(
_xlpm.q,RawData!G584,
_xlpm.u,RawData!H584,
_xlpm.d,RawData!I584,
_xlpm.r,RawData!J584,
IF(AND(ISNUMBER(_xlpm.u),_xlpm.u&gt;0),_xlpm.u,
   IF(AND(ISNUMBER(_xlpm.q),_xlpm.q&gt;0,ISNUMBER(_xlpm.r),ISNUMBER(_xlpm.d),_xlpm.d&gt;=0,_xlpm.d&lt;1),
      _xlpm.r/(_xlpm.q*(1-_xlpm.d)),
      ""
   )
)
)</f>
        <v>125.75</v>
      </c>
      <c r="I584" s="5">
        <f>_xlfn.LET(
_xlpm.q,RawData!G584,
_xlpm.u,RawData!H584,
_xlpm.d,RawData!I584,
_xlpm.r,RawData!J584,
IF(AND(ISNUMBER(_xlpm.d),_xlpm.d&gt;=0,_xlpm.d&lt;1),_xlpm.d,
   IF(AND(ISNUMBER(_xlpm.q),_xlpm.q&gt;0,ISNUMBER(_xlpm.u),_xlpm.u&gt;0,ISNUMBER(_xlpm.r),_xlpm.r&gt;=0),
      1-(_xlpm.r/(_xlpm.q*_xlpm.u)),
      ""
   )
)
)</f>
        <v>0.02</v>
      </c>
      <c r="J584" s="4">
        <f>_xlfn.LET(
_xlpm.q,RawData!G584,
_xlpm.u,RawData!H584,
_xlpm.d,RawData!I584,
_xlpm.r,RawData!J584,
IF(AND(ISNUMBER(_xlpm.r),_xlpm.r&gt;=0),_xlpm.r,
   IF(AND(ISNUMBER(_xlpm.q),_xlpm.q&gt;0,ISNUMBER(_xlpm.u),_xlpm.u&gt;0,ISNUMBER(_xlpm.d),_xlpm.d&gt;=0,_xlpm.d&lt;1),
      _xlpm.q*_xlpm.u*(1-_xlpm.d),
      ""
   )
)
)</f>
        <v>739.41</v>
      </c>
      <c r="K584" s="4">
        <f>_xlfn.LET(
_xlpm.c,RawData!K584,
_xlpm.r,RawData!J584,
_xlpm.p,RawData!L584,
IF(AND(ISNUMBER(_xlpm.c),_xlpm.c&gt;=0),_xlpm.c,
   IF(AND(ISNUMBER(_xlpm.r),ISNUMBER(_xlpm.p)),
      _xlpm.r-_xlpm.p,
      ""
   )
)
)</f>
        <v>569.98</v>
      </c>
      <c r="L584" s="4">
        <f>_xlfn.LET(
_xlpm.p,RawData!L584,
_xlpm.r,RawData!J584,
_xlpm.c,RawData!K584,
IF(ISNUMBER(_xlpm.p),_xlpm.p,
IF(AND(ISNUMBER(_xlpm.r),ISNUMBER(_xlpm.c)),
_xlpm.r-_xlpm.c,
""
)
))</f>
        <v>169.43</v>
      </c>
    </row>
    <row r="585" spans="1:12" x14ac:dyDescent="0.35">
      <c r="A585" t="s">
        <v>627</v>
      </c>
      <c r="B585" s="7">
        <v>45799</v>
      </c>
      <c r="C585" t="str">
        <f>IF(RawData!C585="","Unknown",PROPER(TRIM(CLEAN(SUBSTITUTE(RawData!C585,CHAR(160)," ")))))</f>
        <v>North</v>
      </c>
      <c r="D585" t="str">
        <f>IF(RawData!D585="","Unknown",PROPER(TRIM(CLEAN(SUBSTITUTE(RawData!D585,CHAR(160)," ")))))</f>
        <v>Lucknow</v>
      </c>
      <c r="E585" t="str">
        <f>IF(RawData!E585="","Unknown",PROPER(TRIM(CLEAN(SUBSTITUTE(RawData!E585,CHAR(160)," ")))))</f>
        <v>Monitor</v>
      </c>
      <c r="F585" t="str">
        <f>IF(RawData!F585="","Unknown",PROPER(TRIM(CLEAN(SUBSTITUTE(RawData!F585,CHAR(160)," ")))))</f>
        <v>Electronics</v>
      </c>
      <c r="G585">
        <f>_xlfn.LET(
_xlpm.q,RawData!G585,
_xlpm.u,RawData!H585,
_xlpm.d,RawData!I585,
_xlpm.r,RawData!J585,
IF(AND(ISNUMBER(_xlpm.q),_xlpm.q&gt;0),_xlpm.q,
   IF(AND(ISNUMBER(_xlpm.r),ISNUMBER(_xlpm.u),_xlpm.u&gt;0,ISNUMBER(_xlpm.d),_xlpm.d&gt;=0,_xlpm.d&lt;1),
      ROUND(_xlpm.r/(_xlpm.u*(1-_xlpm.d)),0),
      ""
   )
)
)</f>
        <v>9</v>
      </c>
      <c r="H585" s="4">
        <f>_xlfn.LET(
_xlpm.q,RawData!G585,
_xlpm.u,RawData!H585,
_xlpm.d,RawData!I585,
_xlpm.r,RawData!J585,
IF(AND(ISNUMBER(_xlpm.u),_xlpm.u&gt;0),_xlpm.u,
   IF(AND(ISNUMBER(_xlpm.q),_xlpm.q&gt;0,ISNUMBER(_xlpm.r),ISNUMBER(_xlpm.d),_xlpm.d&gt;=0,_xlpm.d&lt;1),
      _xlpm.r/(_xlpm.q*(1-_xlpm.d)),
      ""
   )
)
)</f>
        <v>241.92</v>
      </c>
      <c r="I585" s="5">
        <f>_xlfn.LET(
_xlpm.q,RawData!G585,
_xlpm.u,RawData!H585,
_xlpm.d,RawData!I585,
_xlpm.r,RawData!J585,
IF(AND(ISNUMBER(_xlpm.d),_xlpm.d&gt;=0,_xlpm.d&lt;1),_xlpm.d,
   IF(AND(ISNUMBER(_xlpm.q),_xlpm.q&gt;0,ISNUMBER(_xlpm.u),_xlpm.u&gt;0,ISNUMBER(_xlpm.r),_xlpm.r&gt;=0),
      1-(_xlpm.r/(_xlpm.q*_xlpm.u)),
      ""
   )
)
)</f>
        <v>0.15</v>
      </c>
      <c r="J585" s="4">
        <f>_xlfn.LET(
_xlpm.q,RawData!G585,
_xlpm.u,RawData!H585,
_xlpm.d,RawData!I585,
_xlpm.r,RawData!J585,
IF(AND(ISNUMBER(_xlpm.r),_xlpm.r&gt;=0),_xlpm.r,
   IF(AND(ISNUMBER(_xlpm.q),_xlpm.q&gt;0,ISNUMBER(_xlpm.u),_xlpm.u&gt;0,ISNUMBER(_xlpm.d),_xlpm.d&gt;=0,_xlpm.d&lt;1),
      _xlpm.q*_xlpm.u*(1-_xlpm.d),
      ""
   )
)
)</f>
        <v>1850.69</v>
      </c>
      <c r="K585" s="4">
        <f>_xlfn.LET(
_xlpm.c,RawData!K585,
_xlpm.r,RawData!J585,
_xlpm.p,RawData!L585,
IF(AND(ISNUMBER(_xlpm.c),_xlpm.c&gt;=0),_xlpm.c,
   IF(AND(ISNUMBER(_xlpm.r),ISNUMBER(_xlpm.p)),
      _xlpm.r-_xlpm.p,
      ""
   )
)
)</f>
        <v>1271.45</v>
      </c>
      <c r="L585" s="4">
        <f>_xlfn.LET(
_xlpm.p,RawData!L585,
_xlpm.r,RawData!J585,
_xlpm.c,RawData!K585,
IF(ISNUMBER(_xlpm.p),_xlpm.p,
IF(AND(ISNUMBER(_xlpm.r),ISNUMBER(_xlpm.c)),
_xlpm.r-_xlpm.c,
""
)
))</f>
        <v>579.24</v>
      </c>
    </row>
    <row r="586" spans="1:12" x14ac:dyDescent="0.35">
      <c r="A586" t="s">
        <v>628</v>
      </c>
      <c r="B586" s="7">
        <v>45969</v>
      </c>
      <c r="C586" t="str">
        <f>IF(RawData!C586="","Unknown",PROPER(TRIM(CLEAN(SUBSTITUTE(RawData!C586,CHAR(160)," ")))))</f>
        <v>East</v>
      </c>
      <c r="D586" t="str">
        <f>IF(RawData!D586="","Unknown",PROPER(TRIM(CLEAN(SUBSTITUTE(RawData!D586,CHAR(160)," ")))))</f>
        <v>Bhubaneswar</v>
      </c>
      <c r="E586" t="str">
        <f>IF(RawData!E586="","Unknown",PROPER(TRIM(CLEAN(SUBSTITUTE(RawData!E586,CHAR(160)," ")))))</f>
        <v>Keyboard</v>
      </c>
      <c r="F586" t="str">
        <f>IF(RawData!F586="","Unknown",PROPER(TRIM(CLEAN(SUBSTITUTE(RawData!F586,CHAR(160)," ")))))</f>
        <v>Accessories</v>
      </c>
      <c r="G586">
        <f>_xlfn.LET(
_xlpm.q,RawData!G586,
_xlpm.u,RawData!H586,
_xlpm.d,RawData!I586,
_xlpm.r,RawData!J586,
IF(AND(ISNUMBER(_xlpm.q),_xlpm.q&gt;0),_xlpm.q,
   IF(AND(ISNUMBER(_xlpm.r),ISNUMBER(_xlpm.u),_xlpm.u&gt;0,ISNUMBER(_xlpm.d),_xlpm.d&gt;=0,_xlpm.d&lt;1),
      ROUND(_xlpm.r/(_xlpm.u*(1-_xlpm.d)),0),
      ""
   )
)
)</f>
        <v>1</v>
      </c>
      <c r="H586" s="4">
        <f>_xlfn.LET(
_xlpm.q,RawData!G586,
_xlpm.u,RawData!H586,
_xlpm.d,RawData!I586,
_xlpm.r,RawData!J586,
IF(AND(ISNUMBER(_xlpm.u),_xlpm.u&gt;0),_xlpm.u,
   IF(AND(ISNUMBER(_xlpm.q),_xlpm.q&gt;0,ISNUMBER(_xlpm.r),ISNUMBER(_xlpm.d),_xlpm.d&gt;=0,_xlpm.d&lt;1),
      _xlpm.r/(_xlpm.q*(1-_xlpm.d)),
      ""
   )
)
)</f>
        <v>29.82</v>
      </c>
      <c r="I586" s="5">
        <f>_xlfn.LET(
_xlpm.q,RawData!G586,
_xlpm.u,RawData!H586,
_xlpm.d,RawData!I586,
_xlpm.r,RawData!J586,
IF(AND(ISNUMBER(_xlpm.d),_xlpm.d&gt;=0,_xlpm.d&lt;1),_xlpm.d,
   IF(AND(ISNUMBER(_xlpm.q),_xlpm.q&gt;0,ISNUMBER(_xlpm.u),_xlpm.u&gt;0,ISNUMBER(_xlpm.r),_xlpm.r&gt;=0),
      1-(_xlpm.r/(_xlpm.q*_xlpm.u)),
      ""
   )
)
)</f>
        <v>0.2</v>
      </c>
      <c r="J586" s="4">
        <f>_xlfn.LET(
_xlpm.q,RawData!G586,
_xlpm.u,RawData!H586,
_xlpm.d,RawData!I586,
_xlpm.r,RawData!J586,
IF(AND(ISNUMBER(_xlpm.r),_xlpm.r&gt;=0),_xlpm.r,
   IF(AND(ISNUMBER(_xlpm.q),_xlpm.q&gt;0,ISNUMBER(_xlpm.u),_xlpm.u&gt;0,ISNUMBER(_xlpm.d),_xlpm.d&gt;=0,_xlpm.d&lt;1),
      _xlpm.q*_xlpm.u*(1-_xlpm.d),
      ""
   )
)
)</f>
        <v>23.86</v>
      </c>
      <c r="K586" s="4">
        <f>_xlfn.LET(
_xlpm.c,RawData!K586,
_xlpm.r,RawData!J586,
_xlpm.p,RawData!L586,
IF(AND(ISNUMBER(_xlpm.c),_xlpm.c&gt;=0),_xlpm.c,
   IF(AND(ISNUMBER(_xlpm.r),ISNUMBER(_xlpm.p)),
      _xlpm.r-_xlpm.p,
      ""
   )
)
)</f>
        <v>14.97</v>
      </c>
      <c r="L586" s="4">
        <f>_xlfn.LET(
_xlpm.p,RawData!L586,
_xlpm.r,RawData!J586,
_xlpm.c,RawData!K586,
IF(ISNUMBER(_xlpm.p),_xlpm.p,
IF(AND(ISNUMBER(_xlpm.r),ISNUMBER(_xlpm.c)),
_xlpm.r-_xlpm.c,
""
)
))</f>
        <v>8.89</v>
      </c>
    </row>
    <row r="587" spans="1:12" x14ac:dyDescent="0.35">
      <c r="A587" t="s">
        <v>629</v>
      </c>
      <c r="B587" s="7">
        <v>45763</v>
      </c>
      <c r="C587" t="str">
        <f>IF(RawData!C587="","Unknown",PROPER(TRIM(CLEAN(SUBSTITUTE(RawData!C587,CHAR(160)," ")))))</f>
        <v>South</v>
      </c>
      <c r="D587" t="str">
        <f>IF(RawData!D587="","Unknown",PROPER(TRIM(CLEAN(SUBSTITUTE(RawData!D587,CHAR(160)," ")))))</f>
        <v>Bengaluru</v>
      </c>
      <c r="E587" t="str">
        <f>IF(RawData!E587="","Unknown",PROPER(TRIM(CLEAN(SUBSTITUTE(RawData!E587,CHAR(160)," ")))))</f>
        <v>Keyboard</v>
      </c>
      <c r="F587" t="str">
        <f>IF(RawData!F587="","Unknown",PROPER(TRIM(CLEAN(SUBSTITUTE(RawData!F587,CHAR(160)," ")))))</f>
        <v>Accessories</v>
      </c>
      <c r="G587">
        <f>_xlfn.LET(
_xlpm.q,RawData!G587,
_xlpm.u,RawData!H587,
_xlpm.d,RawData!I587,
_xlpm.r,RawData!J587,
IF(AND(ISNUMBER(_xlpm.q),_xlpm.q&gt;0),_xlpm.q,
   IF(AND(ISNUMBER(_xlpm.r),ISNUMBER(_xlpm.u),_xlpm.u&gt;0,ISNUMBER(_xlpm.d),_xlpm.d&gt;=0,_xlpm.d&lt;1),
      ROUND(_xlpm.r/(_xlpm.u*(1-_xlpm.d)),0),
      ""
   )
)
)</f>
        <v>7</v>
      </c>
      <c r="H587" s="4">
        <f>_xlfn.LET(
_xlpm.q,RawData!G587,
_xlpm.u,RawData!H587,
_xlpm.d,RawData!I587,
_xlpm.r,RawData!J587,
IF(AND(ISNUMBER(_xlpm.u),_xlpm.u&gt;0),_xlpm.u,
   IF(AND(ISNUMBER(_xlpm.q),_xlpm.q&gt;0,ISNUMBER(_xlpm.r),ISNUMBER(_xlpm.d),_xlpm.d&gt;=0,_xlpm.d&lt;1),
      _xlpm.r/(_xlpm.q*(1-_xlpm.d)),
      ""
   )
)
)</f>
        <v>36.229999999999997</v>
      </c>
      <c r="I587" s="5">
        <f>_xlfn.LET(
_xlpm.q,RawData!G587,
_xlpm.u,RawData!H587,
_xlpm.d,RawData!I587,
_xlpm.r,RawData!J587,
IF(AND(ISNUMBER(_xlpm.d),_xlpm.d&gt;=0,_xlpm.d&lt;1),_xlpm.d,
   IF(AND(ISNUMBER(_xlpm.q),_xlpm.q&gt;0,ISNUMBER(_xlpm.u),_xlpm.u&gt;0,ISNUMBER(_xlpm.r),_xlpm.r&gt;=0),
      1-(_xlpm.r/(_xlpm.q*_xlpm.u)),
      ""
   )
)
)</f>
        <v>0.05</v>
      </c>
      <c r="J587" s="4">
        <f>_xlfn.LET(
_xlpm.q,RawData!G587,
_xlpm.u,RawData!H587,
_xlpm.d,RawData!I587,
_xlpm.r,RawData!J587,
IF(AND(ISNUMBER(_xlpm.r),_xlpm.r&gt;=0),_xlpm.r,
   IF(AND(ISNUMBER(_xlpm.q),_xlpm.q&gt;0,ISNUMBER(_xlpm.u),_xlpm.u&gt;0,ISNUMBER(_xlpm.d),_xlpm.d&gt;=0,_xlpm.d&lt;1),
      _xlpm.q*_xlpm.u*(1-_xlpm.d),
      ""
   )
)
)</f>
        <v>240.93</v>
      </c>
      <c r="K587" s="4">
        <f>_xlfn.LET(
_xlpm.c,RawData!K587,
_xlpm.r,RawData!J587,
_xlpm.p,RawData!L587,
IF(AND(ISNUMBER(_xlpm.c),_xlpm.c&gt;=0),_xlpm.c,
   IF(AND(ISNUMBER(_xlpm.r),ISNUMBER(_xlpm.p)),
      _xlpm.r-_xlpm.p,
      ""
   )
)
)</f>
        <v>196.34</v>
      </c>
      <c r="L587" s="4">
        <f>_xlfn.LET(
_xlpm.p,RawData!L587,
_xlpm.r,RawData!J587,
_xlpm.c,RawData!K587,
IF(ISNUMBER(_xlpm.p),_xlpm.p,
IF(AND(ISNUMBER(_xlpm.r),ISNUMBER(_xlpm.c)),
_xlpm.r-_xlpm.c,
""
)
))</f>
        <v>44.59</v>
      </c>
    </row>
    <row r="588" spans="1:12" x14ac:dyDescent="0.35">
      <c r="A588" t="s">
        <v>630</v>
      </c>
      <c r="B588" s="7">
        <v>45685</v>
      </c>
      <c r="C588" t="str">
        <f>IF(RawData!C588="","Unknown",PROPER(TRIM(CLEAN(SUBSTITUTE(RawData!C588,CHAR(160)," ")))))</f>
        <v>South</v>
      </c>
      <c r="D588" t="str">
        <f>IF(RawData!D588="","Unknown",PROPER(TRIM(CLEAN(SUBSTITUTE(RawData!D588,CHAR(160)," ")))))</f>
        <v>Hyderabad</v>
      </c>
      <c r="E588" t="str">
        <f>IF(RawData!E588="","Unknown",PROPER(TRIM(CLEAN(SUBSTITUTE(RawData!E588,CHAR(160)," ")))))</f>
        <v>Printer</v>
      </c>
      <c r="F588" t="str">
        <f>IF(RawData!F588="","Unknown",PROPER(TRIM(CLEAN(SUBSTITUTE(RawData!F588,CHAR(160)," ")))))</f>
        <v>Office Supplies</v>
      </c>
      <c r="G588">
        <f>_xlfn.LET(
_xlpm.q,RawData!G588,
_xlpm.u,RawData!H588,
_xlpm.d,RawData!I588,
_xlpm.r,RawData!J588,
IF(AND(ISNUMBER(_xlpm.q),_xlpm.q&gt;0),_xlpm.q,
   IF(AND(ISNUMBER(_xlpm.r),ISNUMBER(_xlpm.u),_xlpm.u&gt;0,ISNUMBER(_xlpm.d),_xlpm.d&gt;=0,_xlpm.d&lt;1),
      ROUND(_xlpm.r/(_xlpm.u*(1-_xlpm.d)),0),
      ""
   )
)
)</f>
        <v>7</v>
      </c>
      <c r="H588" s="4">
        <f>_xlfn.LET(
_xlpm.q,RawData!G588,
_xlpm.u,RawData!H588,
_xlpm.d,RawData!I588,
_xlpm.r,RawData!J588,
IF(AND(ISNUMBER(_xlpm.u),_xlpm.u&gt;0),_xlpm.u,
   IF(AND(ISNUMBER(_xlpm.q),_xlpm.q&gt;0,ISNUMBER(_xlpm.r),ISNUMBER(_xlpm.d),_xlpm.d&gt;=0,_xlpm.d&lt;1),
      _xlpm.r/(_xlpm.q*(1-_xlpm.d)),
      ""
   )
)
)</f>
        <v>166.33</v>
      </c>
      <c r="I588" s="5">
        <f>_xlfn.LET(
_xlpm.q,RawData!G588,
_xlpm.u,RawData!H588,
_xlpm.d,RawData!I588,
_xlpm.r,RawData!J588,
IF(AND(ISNUMBER(_xlpm.d),_xlpm.d&gt;=0,_xlpm.d&lt;1),_xlpm.d,
   IF(AND(ISNUMBER(_xlpm.q),_xlpm.q&gt;0,ISNUMBER(_xlpm.u),_xlpm.u&gt;0,ISNUMBER(_xlpm.r),_xlpm.r&gt;=0),
      1-(_xlpm.r/(_xlpm.q*_xlpm.u)),
      ""
   )
)
)</f>
        <v>0</v>
      </c>
      <c r="J588" s="4">
        <f>_xlfn.LET(
_xlpm.q,RawData!G588,
_xlpm.u,RawData!H588,
_xlpm.d,RawData!I588,
_xlpm.r,RawData!J588,
IF(AND(ISNUMBER(_xlpm.r),_xlpm.r&gt;=0),_xlpm.r,
   IF(AND(ISNUMBER(_xlpm.q),_xlpm.q&gt;0,ISNUMBER(_xlpm.u),_xlpm.u&gt;0,ISNUMBER(_xlpm.d),_xlpm.d&gt;=0,_xlpm.d&lt;1),
      _xlpm.q*_xlpm.u*(1-_xlpm.d),
      ""
   )
)
)</f>
        <v>1164.31</v>
      </c>
      <c r="K588" s="4">
        <f>_xlfn.LET(
_xlpm.c,RawData!K588,
_xlpm.r,RawData!J588,
_xlpm.p,RawData!L588,
IF(AND(ISNUMBER(_xlpm.c),_xlpm.c&gt;=0),_xlpm.c,
   IF(AND(ISNUMBER(_xlpm.r),ISNUMBER(_xlpm.p)),
      _xlpm.r-_xlpm.p,
      ""
   )
)
)</f>
        <v>722.04</v>
      </c>
      <c r="L588" s="4">
        <f>_xlfn.LET(
_xlpm.p,RawData!L588,
_xlpm.r,RawData!J588,
_xlpm.c,RawData!K588,
IF(ISNUMBER(_xlpm.p),_xlpm.p,
IF(AND(ISNUMBER(_xlpm.r),ISNUMBER(_xlpm.c)),
_xlpm.r-_xlpm.c,
""
)
))</f>
        <v>442.27</v>
      </c>
    </row>
    <row r="589" spans="1:12" x14ac:dyDescent="0.35">
      <c r="A589" t="s">
        <v>631</v>
      </c>
      <c r="B589" s="7">
        <v>45913</v>
      </c>
      <c r="C589" t="str">
        <f>IF(RawData!C589="","Unknown",PROPER(TRIM(CLEAN(SUBSTITUTE(RawData!C589,CHAR(160)," ")))))</f>
        <v>North</v>
      </c>
      <c r="D589" t="str">
        <f>IF(RawData!D589="","Unknown",PROPER(TRIM(CLEAN(SUBSTITUTE(RawData!D589,CHAR(160)," ")))))</f>
        <v>Jaipur</v>
      </c>
      <c r="E589" t="str">
        <f>IF(RawData!E589="","Unknown",PROPER(TRIM(CLEAN(SUBSTITUTE(RawData!E589,CHAR(160)," ")))))</f>
        <v>Notebook</v>
      </c>
      <c r="F589" t="str">
        <f>IF(RawData!F589="","Unknown",PROPER(TRIM(CLEAN(SUBSTITUTE(RawData!F589,CHAR(160)," ")))))</f>
        <v>Office Supplies</v>
      </c>
      <c r="G589">
        <f>_xlfn.LET(
_xlpm.q,RawData!G589,
_xlpm.u,RawData!H589,
_xlpm.d,RawData!I589,
_xlpm.r,RawData!J589,
IF(AND(ISNUMBER(_xlpm.q),_xlpm.q&gt;0),_xlpm.q,
   IF(AND(ISNUMBER(_xlpm.r),ISNUMBER(_xlpm.u),_xlpm.u&gt;0,ISNUMBER(_xlpm.d),_xlpm.d&gt;=0,_xlpm.d&lt;1),
      ROUND(_xlpm.r/(_xlpm.u*(1-_xlpm.d)),0),
      ""
   )
)
)</f>
        <v>1</v>
      </c>
      <c r="H589" s="4">
        <f>_xlfn.LET(
_xlpm.q,RawData!G589,
_xlpm.u,RawData!H589,
_xlpm.d,RawData!I589,
_xlpm.r,RawData!J589,
IF(AND(ISNUMBER(_xlpm.u),_xlpm.u&gt;0),_xlpm.u,
   IF(AND(ISNUMBER(_xlpm.q),_xlpm.q&gt;0,ISNUMBER(_xlpm.r),ISNUMBER(_xlpm.d),_xlpm.d&gt;=0,_xlpm.d&lt;1),
      _xlpm.r/(_xlpm.q*(1-_xlpm.d)),
      ""
   )
)
)</f>
        <v>8.32</v>
      </c>
      <c r="I589" s="5">
        <f>_xlfn.LET(
_xlpm.q,RawData!G589,
_xlpm.u,RawData!H589,
_xlpm.d,RawData!I589,
_xlpm.r,RawData!J589,
IF(AND(ISNUMBER(_xlpm.d),_xlpm.d&gt;=0,_xlpm.d&lt;1),_xlpm.d,
   IF(AND(ISNUMBER(_xlpm.q),_xlpm.q&gt;0,ISNUMBER(_xlpm.u),_xlpm.u&gt;0,ISNUMBER(_xlpm.r),_xlpm.r&gt;=0),
      1-(_xlpm.r/(_xlpm.q*_xlpm.u)),
      ""
   )
)
)</f>
        <v>0.05</v>
      </c>
      <c r="J589" s="4">
        <f>_xlfn.LET(
_xlpm.q,RawData!G589,
_xlpm.u,RawData!H589,
_xlpm.d,RawData!I589,
_xlpm.r,RawData!J589,
IF(AND(ISNUMBER(_xlpm.r),_xlpm.r&gt;=0),_xlpm.r,
   IF(AND(ISNUMBER(_xlpm.q),_xlpm.q&gt;0,ISNUMBER(_xlpm.u),_xlpm.u&gt;0,ISNUMBER(_xlpm.d),_xlpm.d&gt;=0,_xlpm.d&lt;1),
      _xlpm.q*_xlpm.u*(1-_xlpm.d),
      ""
   )
)
)</f>
        <v>7.9</v>
      </c>
      <c r="K589" s="4">
        <f>_xlfn.LET(
_xlpm.c,RawData!K589,
_xlpm.r,RawData!J589,
_xlpm.p,RawData!L589,
IF(AND(ISNUMBER(_xlpm.c),_xlpm.c&gt;=0),_xlpm.c,
   IF(AND(ISNUMBER(_xlpm.r),ISNUMBER(_xlpm.p)),
      _xlpm.r-_xlpm.p,
      ""
   )
)
)</f>
        <v>5.5</v>
      </c>
      <c r="L589" s="4">
        <f>_xlfn.LET(
_xlpm.p,RawData!L589,
_xlpm.r,RawData!J589,
_xlpm.c,RawData!K589,
IF(ISNUMBER(_xlpm.p),_xlpm.p,
IF(AND(ISNUMBER(_xlpm.r),ISNUMBER(_xlpm.c)),
_xlpm.r-_xlpm.c,
""
)
))</f>
        <v>2.4</v>
      </c>
    </row>
    <row r="590" spans="1:12" x14ac:dyDescent="0.35">
      <c r="A590" t="s">
        <v>632</v>
      </c>
      <c r="B590" s="7">
        <v>45725</v>
      </c>
      <c r="C590" t="str">
        <f>IF(RawData!C590="","Unknown",PROPER(TRIM(CLEAN(SUBSTITUTE(RawData!C590,CHAR(160)," ")))))</f>
        <v>West</v>
      </c>
      <c r="D590" t="str">
        <f>IF(RawData!D590="","Unknown",PROPER(TRIM(CLEAN(SUBSTITUTE(RawData!D590,CHAR(160)," ")))))</f>
        <v>Ahmedabad</v>
      </c>
      <c r="E590" t="str">
        <f>IF(RawData!E590="","Unknown",PROPER(TRIM(CLEAN(SUBSTITUTE(RawData!E590,CHAR(160)," ")))))</f>
        <v>Pen Set</v>
      </c>
      <c r="F590" t="str">
        <f>IF(RawData!F590="","Unknown",PROPER(TRIM(CLEAN(SUBSTITUTE(RawData!F590,CHAR(160)," ")))))</f>
        <v>Office Supplies</v>
      </c>
      <c r="G590">
        <f>_xlfn.LET(
_xlpm.q,RawData!G590,
_xlpm.u,RawData!H590,
_xlpm.d,RawData!I590,
_xlpm.r,RawData!J590,
IF(AND(ISNUMBER(_xlpm.q),_xlpm.q&gt;0),_xlpm.q,
   IF(AND(ISNUMBER(_xlpm.r),ISNUMBER(_xlpm.u),_xlpm.u&gt;0,ISNUMBER(_xlpm.d),_xlpm.d&gt;=0,_xlpm.d&lt;1),
      ROUND(_xlpm.r/(_xlpm.u*(1-_xlpm.d)),0),
      ""
   )
)
)</f>
        <v>7</v>
      </c>
      <c r="H590" s="4">
        <f>_xlfn.LET(
_xlpm.q,RawData!G590,
_xlpm.u,RawData!H590,
_xlpm.d,RawData!I590,
_xlpm.r,RawData!J590,
IF(AND(ISNUMBER(_xlpm.u),_xlpm.u&gt;0),_xlpm.u,
   IF(AND(ISNUMBER(_xlpm.q),_xlpm.q&gt;0,ISNUMBER(_xlpm.r),ISNUMBER(_xlpm.d),_xlpm.d&gt;=0,_xlpm.d&lt;1),
      _xlpm.r/(_xlpm.q*(1-_xlpm.d)),
      ""
   )
)
)</f>
        <v>13.01</v>
      </c>
      <c r="I590" s="5">
        <f>_xlfn.LET(
_xlpm.q,RawData!G590,
_xlpm.u,RawData!H590,
_xlpm.d,RawData!I590,
_xlpm.r,RawData!J590,
IF(AND(ISNUMBER(_xlpm.d),_xlpm.d&gt;=0,_xlpm.d&lt;1),_xlpm.d,
   IF(AND(ISNUMBER(_xlpm.q),_xlpm.q&gt;0,ISNUMBER(_xlpm.u),_xlpm.u&gt;0,ISNUMBER(_xlpm.r),_xlpm.r&gt;=0),
      1-(_xlpm.r/(_xlpm.q*_xlpm.u)),
      ""
   )
)
)</f>
        <v>0.05</v>
      </c>
      <c r="J590" s="4">
        <f>_xlfn.LET(
_xlpm.q,RawData!G590,
_xlpm.u,RawData!H590,
_xlpm.d,RawData!I590,
_xlpm.r,RawData!J590,
IF(AND(ISNUMBER(_xlpm.r),_xlpm.r&gt;=0),_xlpm.r,
   IF(AND(ISNUMBER(_xlpm.q),_xlpm.q&gt;0,ISNUMBER(_xlpm.u),_xlpm.u&gt;0,ISNUMBER(_xlpm.d),_xlpm.d&gt;=0,_xlpm.d&lt;1),
      _xlpm.q*_xlpm.u*(1-_xlpm.d),
      ""
   )
)
)</f>
        <v>86.52</v>
      </c>
      <c r="K590" s="4">
        <f>_xlfn.LET(
_xlpm.c,RawData!K590,
_xlpm.r,RawData!J590,
_xlpm.p,RawData!L590,
IF(AND(ISNUMBER(_xlpm.c),_xlpm.c&gt;=0),_xlpm.c,
   IF(AND(ISNUMBER(_xlpm.r),ISNUMBER(_xlpm.p)),
      _xlpm.r-_xlpm.p,
      ""
   )
)
)</f>
        <v>50.09</v>
      </c>
      <c r="L590" s="4">
        <f>_xlfn.LET(
_xlpm.p,RawData!L590,
_xlpm.r,RawData!J590,
_xlpm.c,RawData!K590,
IF(ISNUMBER(_xlpm.p),_xlpm.p,
IF(AND(ISNUMBER(_xlpm.r),ISNUMBER(_xlpm.c)),
_xlpm.r-_xlpm.c,
""
)
))</f>
        <v>36.43</v>
      </c>
    </row>
    <row r="591" spans="1:12" x14ac:dyDescent="0.35">
      <c r="A591" t="s">
        <v>633</v>
      </c>
      <c r="B591" s="7">
        <v>46007</v>
      </c>
      <c r="C591" t="str">
        <f>IF(RawData!C591="","Unknown",PROPER(TRIM(CLEAN(SUBSTITUTE(RawData!C591,CHAR(160)," ")))))</f>
        <v>South</v>
      </c>
      <c r="D591" t="str">
        <f>IF(RawData!D591="","Unknown",PROPER(TRIM(CLEAN(SUBSTITUTE(RawData!D591,CHAR(160)," ")))))</f>
        <v>Bengaluru</v>
      </c>
      <c r="E591" t="str">
        <f>IF(RawData!E591="","Unknown",PROPER(TRIM(CLEAN(SUBSTITUTE(RawData!E591,CHAR(160)," ")))))</f>
        <v>Printer</v>
      </c>
      <c r="F591" t="str">
        <f>IF(RawData!F591="","Unknown",PROPER(TRIM(CLEAN(SUBSTITUTE(RawData!F591,CHAR(160)," ")))))</f>
        <v>Office Supplies</v>
      </c>
      <c r="G591">
        <f>_xlfn.LET(
_xlpm.q,RawData!G591,
_xlpm.u,RawData!H591,
_xlpm.d,RawData!I591,
_xlpm.r,RawData!J591,
IF(AND(ISNUMBER(_xlpm.q),_xlpm.q&gt;0),_xlpm.q,
   IF(AND(ISNUMBER(_xlpm.r),ISNUMBER(_xlpm.u),_xlpm.u&gt;0,ISNUMBER(_xlpm.d),_xlpm.d&gt;=0,_xlpm.d&lt;1),
      ROUND(_xlpm.r/(_xlpm.u*(1-_xlpm.d)),0),
      ""
   )
)
)</f>
        <v>2</v>
      </c>
      <c r="H591" s="4">
        <f>_xlfn.LET(
_xlpm.q,RawData!G591,
_xlpm.u,RawData!H591,
_xlpm.d,RawData!I591,
_xlpm.r,RawData!J591,
IF(AND(ISNUMBER(_xlpm.u),_xlpm.u&gt;0),_xlpm.u,
   IF(AND(ISNUMBER(_xlpm.q),_xlpm.q&gt;0,ISNUMBER(_xlpm.r),ISNUMBER(_xlpm.d),_xlpm.d&gt;=0,_xlpm.d&lt;1),
      _xlpm.r/(_xlpm.q*(1-_xlpm.d)),
      ""
   )
)
)</f>
        <v>172.53</v>
      </c>
      <c r="I591" s="5">
        <f>_xlfn.LET(
_xlpm.q,RawData!G591,
_xlpm.u,RawData!H591,
_xlpm.d,RawData!I591,
_xlpm.r,RawData!J591,
IF(AND(ISNUMBER(_xlpm.d),_xlpm.d&gt;=0,_xlpm.d&lt;1),_xlpm.d,
   IF(AND(ISNUMBER(_xlpm.q),_xlpm.q&gt;0,ISNUMBER(_xlpm.u),_xlpm.u&gt;0,ISNUMBER(_xlpm.r),_xlpm.r&gt;=0),
      1-(_xlpm.r/(_xlpm.q*_xlpm.u)),
      ""
   )
)
)</f>
        <v>0</v>
      </c>
      <c r="J591" s="4">
        <f>_xlfn.LET(
_xlpm.q,RawData!G591,
_xlpm.u,RawData!H591,
_xlpm.d,RawData!I591,
_xlpm.r,RawData!J591,
IF(AND(ISNUMBER(_xlpm.r),_xlpm.r&gt;=0),_xlpm.r,
   IF(AND(ISNUMBER(_xlpm.q),_xlpm.q&gt;0,ISNUMBER(_xlpm.u),_xlpm.u&gt;0,ISNUMBER(_xlpm.d),_xlpm.d&gt;=0,_xlpm.d&lt;1),
      _xlpm.q*_xlpm.u*(1-_xlpm.d),
      ""
   )
)
)</f>
        <v>345.06</v>
      </c>
      <c r="K591" s="4">
        <f>_xlfn.LET(
_xlpm.c,RawData!K591,
_xlpm.r,RawData!J591,
_xlpm.p,RawData!L591,
IF(AND(ISNUMBER(_xlpm.c),_xlpm.c&gt;=0),_xlpm.c,
   IF(AND(ISNUMBER(_xlpm.r),ISNUMBER(_xlpm.p)),
      _xlpm.r-_xlpm.p,
      ""
   )
)
)</f>
        <v>240.21</v>
      </c>
      <c r="L591" s="4">
        <f>_xlfn.LET(
_xlpm.p,RawData!L591,
_xlpm.r,RawData!J591,
_xlpm.c,RawData!K591,
IF(ISNUMBER(_xlpm.p),_xlpm.p,
IF(AND(ISNUMBER(_xlpm.r),ISNUMBER(_xlpm.c)),
_xlpm.r-_xlpm.c,
""
)
))</f>
        <v>104.85</v>
      </c>
    </row>
    <row r="592" spans="1:12" x14ac:dyDescent="0.35">
      <c r="A592" t="s">
        <v>634</v>
      </c>
      <c r="B592" s="7">
        <v>45692</v>
      </c>
      <c r="C592" t="str">
        <f>IF(RawData!C592="","Unknown",PROPER(TRIM(CLEAN(SUBSTITUTE(RawData!C592,CHAR(160)," ")))))</f>
        <v>North</v>
      </c>
      <c r="D592" t="str">
        <f>IF(RawData!D592="","Unknown",PROPER(TRIM(CLEAN(SUBSTITUTE(RawData!D592,CHAR(160)," ")))))</f>
        <v>Delhi</v>
      </c>
      <c r="E592" t="str">
        <f>IF(RawData!E592="","Unknown",PROPER(TRIM(CLEAN(SUBSTITUTE(RawData!E592,CHAR(160)," ")))))</f>
        <v>Office Chair</v>
      </c>
      <c r="F592" t="str">
        <f>IF(RawData!F592="","Unknown",PROPER(TRIM(CLEAN(SUBSTITUTE(RawData!F592,CHAR(160)," ")))))</f>
        <v>Furniture</v>
      </c>
      <c r="G592">
        <f>_xlfn.LET(
_xlpm.q,RawData!G592,
_xlpm.u,RawData!H592,
_xlpm.d,RawData!I592,
_xlpm.r,RawData!J592,
IF(AND(ISNUMBER(_xlpm.q),_xlpm.q&gt;0),_xlpm.q,
   IF(AND(ISNUMBER(_xlpm.r),ISNUMBER(_xlpm.u),_xlpm.u&gt;0,ISNUMBER(_xlpm.d),_xlpm.d&gt;=0,_xlpm.d&lt;1),
      ROUND(_xlpm.r/(_xlpm.u*(1-_xlpm.d)),0),
      ""
   )
)
)</f>
        <v>4</v>
      </c>
      <c r="H592" s="4">
        <f>_xlfn.LET(
_xlpm.q,RawData!G592,
_xlpm.u,RawData!H592,
_xlpm.d,RawData!I592,
_xlpm.r,RawData!J592,
IF(AND(ISNUMBER(_xlpm.u),_xlpm.u&gt;0),_xlpm.u,
   IF(AND(ISNUMBER(_xlpm.q),_xlpm.q&gt;0,ISNUMBER(_xlpm.r),ISNUMBER(_xlpm.d),_xlpm.d&gt;=0,_xlpm.d&lt;1),
      _xlpm.r/(_xlpm.q*(1-_xlpm.d)),
      ""
   )
)
)</f>
        <v>205</v>
      </c>
      <c r="I592" s="5">
        <f>_xlfn.LET(
_xlpm.q,RawData!G592,
_xlpm.u,RawData!H592,
_xlpm.d,RawData!I592,
_xlpm.r,RawData!J592,
IF(AND(ISNUMBER(_xlpm.d),_xlpm.d&gt;=0,_xlpm.d&lt;1),_xlpm.d,
   IF(AND(ISNUMBER(_xlpm.q),_xlpm.q&gt;0,ISNUMBER(_xlpm.u),_xlpm.u&gt;0,ISNUMBER(_xlpm.r),_xlpm.r&gt;=0),
      1-(_xlpm.r/(_xlpm.q*_xlpm.u)),
      ""
   )
)
)</f>
        <v>0</v>
      </c>
      <c r="J592" s="4">
        <f>_xlfn.LET(
_xlpm.q,RawData!G592,
_xlpm.u,RawData!H592,
_xlpm.d,RawData!I592,
_xlpm.r,RawData!J592,
IF(AND(ISNUMBER(_xlpm.r),_xlpm.r&gt;=0),_xlpm.r,
   IF(AND(ISNUMBER(_xlpm.q),_xlpm.q&gt;0,ISNUMBER(_xlpm.u),_xlpm.u&gt;0,ISNUMBER(_xlpm.d),_xlpm.d&gt;=0,_xlpm.d&lt;1),
      _xlpm.q*_xlpm.u*(1-_xlpm.d),
      ""
   )
)
)</f>
        <v>820</v>
      </c>
      <c r="K592" s="4">
        <f>_xlfn.LET(
_xlpm.c,RawData!K592,
_xlpm.r,RawData!J592,
_xlpm.p,RawData!L592,
IF(AND(ISNUMBER(_xlpm.c),_xlpm.c&gt;=0),_xlpm.c,
   IF(AND(ISNUMBER(_xlpm.r),ISNUMBER(_xlpm.p)),
      _xlpm.r-_xlpm.p,
      ""
   )
)
)</f>
        <v>526.69000000000005</v>
      </c>
      <c r="L592" s="4">
        <f>_xlfn.LET(
_xlpm.p,RawData!L592,
_xlpm.r,RawData!J592,
_xlpm.c,RawData!K592,
IF(ISNUMBER(_xlpm.p),_xlpm.p,
IF(AND(ISNUMBER(_xlpm.r),ISNUMBER(_xlpm.c)),
_xlpm.r-_xlpm.c,
""
)
))</f>
        <v>293.31</v>
      </c>
    </row>
    <row r="593" spans="1:12" x14ac:dyDescent="0.35">
      <c r="A593" t="s">
        <v>635</v>
      </c>
      <c r="B593" s="7">
        <v>45861</v>
      </c>
      <c r="C593" t="str">
        <f>IF(RawData!C593="","Unknown",PROPER(TRIM(CLEAN(SUBSTITUTE(RawData!C593,CHAR(160)," ")))))</f>
        <v>East</v>
      </c>
      <c r="D593" t="str">
        <f>IF(RawData!D593="","Unknown",PROPER(TRIM(CLEAN(SUBSTITUTE(RawData!D593,CHAR(160)," ")))))</f>
        <v>Bhubaneswar</v>
      </c>
      <c r="E593" t="str">
        <f>IF(RawData!E593="","Unknown",PROPER(TRIM(CLEAN(SUBSTITUTE(RawData!E593,CHAR(160)," ")))))</f>
        <v>Backpack</v>
      </c>
      <c r="F593" t="str">
        <f>IF(RawData!F593="","Unknown",PROPER(TRIM(CLEAN(SUBSTITUTE(RawData!F593,CHAR(160)," ")))))</f>
        <v>Accessories</v>
      </c>
      <c r="G593">
        <f>_xlfn.LET(
_xlpm.q,RawData!G593,
_xlpm.u,RawData!H593,
_xlpm.d,RawData!I593,
_xlpm.r,RawData!J593,
IF(AND(ISNUMBER(_xlpm.q),_xlpm.q&gt;0),_xlpm.q,
   IF(AND(ISNUMBER(_xlpm.r),ISNUMBER(_xlpm.u),_xlpm.u&gt;0,ISNUMBER(_xlpm.d),_xlpm.d&gt;=0,_xlpm.d&lt;1),
      ROUND(_xlpm.r/(_xlpm.u*(1-_xlpm.d)),0),
      ""
   )
)
)</f>
        <v>9</v>
      </c>
      <c r="H593" s="4">
        <f>_xlfn.LET(
_xlpm.q,RawData!G593,
_xlpm.u,RawData!H593,
_xlpm.d,RawData!I593,
_xlpm.r,RawData!J593,
IF(AND(ISNUMBER(_xlpm.u),_xlpm.u&gt;0),_xlpm.u,
   IF(AND(ISNUMBER(_xlpm.q),_xlpm.q&gt;0,ISNUMBER(_xlpm.r),ISNUMBER(_xlpm.d),_xlpm.d&gt;=0,_xlpm.d&lt;1),
      _xlpm.r/(_xlpm.q*(1-_xlpm.d)),
      ""
   )
)
)</f>
        <v>46.79</v>
      </c>
      <c r="I593" s="5">
        <f>_xlfn.LET(
_xlpm.q,RawData!G593,
_xlpm.u,RawData!H593,
_xlpm.d,RawData!I593,
_xlpm.r,RawData!J593,
IF(AND(ISNUMBER(_xlpm.d),_xlpm.d&gt;=0,_xlpm.d&lt;1),_xlpm.d,
   IF(AND(ISNUMBER(_xlpm.q),_xlpm.q&gt;0,ISNUMBER(_xlpm.u),_xlpm.u&gt;0,ISNUMBER(_xlpm.r),_xlpm.r&gt;=0),
      1-(_xlpm.r/(_xlpm.q*_xlpm.u)),
      ""
   )
)
)</f>
        <v>0.1</v>
      </c>
      <c r="J593" s="4">
        <f>_xlfn.LET(
_xlpm.q,RawData!G593,
_xlpm.u,RawData!H593,
_xlpm.d,RawData!I593,
_xlpm.r,RawData!J593,
IF(AND(ISNUMBER(_xlpm.r),_xlpm.r&gt;=0),_xlpm.r,
   IF(AND(ISNUMBER(_xlpm.q),_xlpm.q&gt;0,ISNUMBER(_xlpm.u),_xlpm.u&gt;0,ISNUMBER(_xlpm.d),_xlpm.d&gt;=0,_xlpm.d&lt;1),
      _xlpm.q*_xlpm.u*(1-_xlpm.d),
      ""
   )
)
)</f>
        <v>379</v>
      </c>
      <c r="K593" s="4">
        <f>_xlfn.LET(
_xlpm.c,RawData!K593,
_xlpm.r,RawData!J593,
_xlpm.p,RawData!L593,
IF(AND(ISNUMBER(_xlpm.c),_xlpm.c&gt;=0),_xlpm.c,
   IF(AND(ISNUMBER(_xlpm.r),ISNUMBER(_xlpm.p)),
      _xlpm.r-_xlpm.p,
      ""
   )
)
)</f>
        <v>303.82</v>
      </c>
      <c r="L593" s="4">
        <f>_xlfn.LET(
_xlpm.p,RawData!L593,
_xlpm.r,RawData!J593,
_xlpm.c,RawData!K593,
IF(ISNUMBER(_xlpm.p),_xlpm.p,
IF(AND(ISNUMBER(_xlpm.r),ISNUMBER(_xlpm.c)),
_xlpm.r-_xlpm.c,
""
)
))</f>
        <v>75.180000000000007</v>
      </c>
    </row>
    <row r="594" spans="1:12" x14ac:dyDescent="0.35">
      <c r="A594" t="s">
        <v>636</v>
      </c>
      <c r="B594" s="7">
        <v>46017</v>
      </c>
      <c r="C594" t="str">
        <f>IF(RawData!C594="","Unknown",PROPER(TRIM(CLEAN(SUBSTITUTE(RawData!C594,CHAR(160)," ")))))</f>
        <v>West</v>
      </c>
      <c r="D594" t="str">
        <f>IF(RawData!D594="","Unknown",PROPER(TRIM(CLEAN(SUBSTITUTE(RawData!D594,CHAR(160)," ")))))</f>
        <v>Ahmedabad</v>
      </c>
      <c r="E594" t="str">
        <f>IF(RawData!E594="","Unknown",PROPER(TRIM(CLEAN(SUBSTITUTE(RawData!E594,CHAR(160)," ")))))</f>
        <v>Smartphone</v>
      </c>
      <c r="F594" t="str">
        <f>IF(RawData!F594="","Unknown",PROPER(TRIM(CLEAN(SUBSTITUTE(RawData!F594,CHAR(160)," ")))))</f>
        <v>Electronics</v>
      </c>
      <c r="G594">
        <f>_xlfn.LET(
_xlpm.q,RawData!G594,
_xlpm.u,RawData!H594,
_xlpm.d,RawData!I594,
_xlpm.r,RawData!J594,
IF(AND(ISNUMBER(_xlpm.q),_xlpm.q&gt;0),_xlpm.q,
   IF(AND(ISNUMBER(_xlpm.r),ISNUMBER(_xlpm.u),_xlpm.u&gt;0,ISNUMBER(_xlpm.d),_xlpm.d&gt;=0,_xlpm.d&lt;1),
      ROUND(_xlpm.r/(_xlpm.u*(1-_xlpm.d)),0),
      ""
   )
)
)</f>
        <v>9</v>
      </c>
      <c r="H594" s="4">
        <f>_xlfn.LET(
_xlpm.q,RawData!G594,
_xlpm.u,RawData!H594,
_xlpm.d,RawData!I594,
_xlpm.r,RawData!J594,
IF(AND(ISNUMBER(_xlpm.u),_xlpm.u&gt;0),_xlpm.u,
   IF(AND(ISNUMBER(_xlpm.q),_xlpm.q&gt;0,ISNUMBER(_xlpm.r),ISNUMBER(_xlpm.d),_xlpm.d&gt;=0,_xlpm.d&lt;1),
      _xlpm.r/(_xlpm.q*(1-_xlpm.d)),
      ""
   )
)
)</f>
        <v>484.41</v>
      </c>
      <c r="I594" s="5">
        <f>_xlfn.LET(
_xlpm.q,RawData!G594,
_xlpm.u,RawData!H594,
_xlpm.d,RawData!I594,
_xlpm.r,RawData!J594,
IF(AND(ISNUMBER(_xlpm.d),_xlpm.d&gt;=0,_xlpm.d&lt;1),_xlpm.d,
   IF(AND(ISNUMBER(_xlpm.q),_xlpm.q&gt;0,ISNUMBER(_xlpm.u),_xlpm.u&gt;0,ISNUMBER(_xlpm.r),_xlpm.r&gt;=0),
      1-(_xlpm.r/(_xlpm.q*_xlpm.u)),
      ""
   )
)
)</f>
        <v>0.15</v>
      </c>
      <c r="J594" s="4">
        <f>_xlfn.LET(
_xlpm.q,RawData!G594,
_xlpm.u,RawData!H594,
_xlpm.d,RawData!I594,
_xlpm.r,RawData!J594,
IF(AND(ISNUMBER(_xlpm.r),_xlpm.r&gt;=0),_xlpm.r,
   IF(AND(ISNUMBER(_xlpm.q),_xlpm.q&gt;0,ISNUMBER(_xlpm.u),_xlpm.u&gt;0,ISNUMBER(_xlpm.d),_xlpm.d&gt;=0,_xlpm.d&lt;1),
      _xlpm.q*_xlpm.u*(1-_xlpm.d),
      ""
   )
)
)</f>
        <v>3705.74</v>
      </c>
      <c r="K594" s="4">
        <f>_xlfn.LET(
_xlpm.c,RawData!K594,
_xlpm.r,RawData!J594,
_xlpm.p,RawData!L594,
IF(AND(ISNUMBER(_xlpm.c),_xlpm.c&gt;=0),_xlpm.c,
   IF(AND(ISNUMBER(_xlpm.r),ISNUMBER(_xlpm.p)),
      _xlpm.r-_xlpm.p,
      ""
   )
)
)</f>
        <v>2975.9</v>
      </c>
      <c r="L594" s="4">
        <f>_xlfn.LET(
_xlpm.p,RawData!L594,
_xlpm.r,RawData!J594,
_xlpm.c,RawData!K594,
IF(ISNUMBER(_xlpm.p),_xlpm.p,
IF(AND(ISNUMBER(_xlpm.r),ISNUMBER(_xlpm.c)),
_xlpm.r-_xlpm.c,
""
)
))</f>
        <v>729.84</v>
      </c>
    </row>
    <row r="595" spans="1:12" x14ac:dyDescent="0.35">
      <c r="A595" t="s">
        <v>637</v>
      </c>
      <c r="B595" s="7">
        <v>45736</v>
      </c>
      <c r="C595" t="str">
        <f>IF(RawData!C595="","Unknown",PROPER(TRIM(CLEAN(SUBSTITUTE(RawData!C595,CHAR(160)," ")))))</f>
        <v>East</v>
      </c>
      <c r="D595" t="str">
        <f>IF(RawData!D595="","Unknown",PROPER(TRIM(CLEAN(SUBSTITUTE(RawData!D595,CHAR(160)," ")))))</f>
        <v>Patna</v>
      </c>
      <c r="E595" t="str">
        <f>IF(RawData!E595="","Unknown",PROPER(TRIM(CLEAN(SUBSTITUTE(RawData!E595,CHAR(160)," ")))))</f>
        <v>Smartphone</v>
      </c>
      <c r="F595" t="str">
        <f>IF(RawData!F595="","Unknown",PROPER(TRIM(CLEAN(SUBSTITUTE(RawData!F595,CHAR(160)," ")))))</f>
        <v>Electronics</v>
      </c>
      <c r="G595">
        <f>_xlfn.LET(
_xlpm.q,RawData!G595,
_xlpm.u,RawData!H595,
_xlpm.d,RawData!I595,
_xlpm.r,RawData!J595,
IF(AND(ISNUMBER(_xlpm.q),_xlpm.q&gt;0),_xlpm.q,
   IF(AND(ISNUMBER(_xlpm.r),ISNUMBER(_xlpm.u),_xlpm.u&gt;0,ISNUMBER(_xlpm.d),_xlpm.d&gt;=0,_xlpm.d&lt;1),
      ROUND(_xlpm.r/(_xlpm.u*(1-_xlpm.d)),0),
      ""
   )
)
)</f>
        <v>5</v>
      </c>
      <c r="H595" s="4">
        <f>_xlfn.LET(
_xlpm.q,RawData!G595,
_xlpm.u,RawData!H595,
_xlpm.d,RawData!I595,
_xlpm.r,RawData!J595,
IF(AND(ISNUMBER(_xlpm.u),_xlpm.u&gt;0),_xlpm.u,
   IF(AND(ISNUMBER(_xlpm.q),_xlpm.q&gt;0,ISNUMBER(_xlpm.r),ISNUMBER(_xlpm.d),_xlpm.d&gt;=0,_xlpm.d&lt;1),
      _xlpm.r/(_xlpm.q*(1-_xlpm.d)),
      ""
   )
)
)</f>
        <v>581</v>
      </c>
      <c r="I595" s="5">
        <f>_xlfn.LET(
_xlpm.q,RawData!G595,
_xlpm.u,RawData!H595,
_xlpm.d,RawData!I595,
_xlpm.r,RawData!J595,
IF(AND(ISNUMBER(_xlpm.d),_xlpm.d&gt;=0,_xlpm.d&lt;1),_xlpm.d,
   IF(AND(ISNUMBER(_xlpm.q),_xlpm.q&gt;0,ISNUMBER(_xlpm.u),_xlpm.u&gt;0,ISNUMBER(_xlpm.r),_xlpm.r&gt;=0),
      1-(_xlpm.r/(_xlpm.q*_xlpm.u)),
      ""
   )
)
)</f>
        <v>0</v>
      </c>
      <c r="J595" s="4">
        <f>_xlfn.LET(
_xlpm.q,RawData!G595,
_xlpm.u,RawData!H595,
_xlpm.d,RawData!I595,
_xlpm.r,RawData!J595,
IF(AND(ISNUMBER(_xlpm.r),_xlpm.r&gt;=0),_xlpm.r,
   IF(AND(ISNUMBER(_xlpm.q),_xlpm.q&gt;0,ISNUMBER(_xlpm.u),_xlpm.u&gt;0,ISNUMBER(_xlpm.d),_xlpm.d&gt;=0,_xlpm.d&lt;1),
      _xlpm.q*_xlpm.u*(1-_xlpm.d),
      ""
   )
)
)</f>
        <v>2905</v>
      </c>
      <c r="K595" s="4">
        <f>_xlfn.LET(
_xlpm.c,RawData!K595,
_xlpm.r,RawData!J595,
_xlpm.p,RawData!L595,
IF(AND(ISNUMBER(_xlpm.c),_xlpm.c&gt;=0),_xlpm.c,
   IF(AND(ISNUMBER(_xlpm.r),ISNUMBER(_xlpm.p)),
      _xlpm.r-_xlpm.p,
      ""
   )
)
)</f>
        <v>1650.96</v>
      </c>
      <c r="L595" s="4">
        <f>_xlfn.LET(
_xlpm.p,RawData!L595,
_xlpm.r,RawData!J595,
_xlpm.c,RawData!K595,
IF(ISNUMBER(_xlpm.p),_xlpm.p,
IF(AND(ISNUMBER(_xlpm.r),ISNUMBER(_xlpm.c)),
_xlpm.r-_xlpm.c,
""
)
))</f>
        <v>1254.04</v>
      </c>
    </row>
    <row r="596" spans="1:12" x14ac:dyDescent="0.35">
      <c r="A596" t="s">
        <v>638</v>
      </c>
      <c r="B596" s="7">
        <v>45762</v>
      </c>
      <c r="C596" t="str">
        <f>IF(RawData!C596="","Unknown",PROPER(TRIM(CLEAN(SUBSTITUTE(RawData!C596,CHAR(160)," ")))))</f>
        <v>South</v>
      </c>
      <c r="D596" t="str">
        <f>IF(RawData!D596="","Unknown",PROPER(TRIM(CLEAN(SUBSTITUTE(RawData!D596,CHAR(160)," ")))))</f>
        <v>Bengaluru</v>
      </c>
      <c r="E596" t="str">
        <f>IF(RawData!E596="","Unknown",PROPER(TRIM(CLEAN(SUBSTITUTE(RawData!E596,CHAR(160)," ")))))</f>
        <v>Notebook</v>
      </c>
      <c r="F596" t="str">
        <f>IF(RawData!F596="","Unknown",PROPER(TRIM(CLEAN(SUBSTITUTE(RawData!F596,CHAR(160)," ")))))</f>
        <v>Office Supplies</v>
      </c>
      <c r="G596">
        <f>_xlfn.LET(
_xlpm.q,RawData!G596,
_xlpm.u,RawData!H596,
_xlpm.d,RawData!I596,
_xlpm.r,RawData!J596,
IF(AND(ISNUMBER(_xlpm.q),_xlpm.q&gt;0),_xlpm.q,
   IF(AND(ISNUMBER(_xlpm.r),ISNUMBER(_xlpm.u),_xlpm.u&gt;0,ISNUMBER(_xlpm.d),_xlpm.d&gt;=0,_xlpm.d&lt;1),
      ROUND(_xlpm.r/(_xlpm.u*(1-_xlpm.d)),0),
      ""
   )
)
)</f>
        <v>6</v>
      </c>
      <c r="H596" s="4">
        <f>_xlfn.LET(
_xlpm.q,RawData!G596,
_xlpm.u,RawData!H596,
_xlpm.d,RawData!I596,
_xlpm.r,RawData!J596,
IF(AND(ISNUMBER(_xlpm.u),_xlpm.u&gt;0),_xlpm.u,
   IF(AND(ISNUMBER(_xlpm.q),_xlpm.q&gt;0,ISNUMBER(_xlpm.r),ISNUMBER(_xlpm.d),_xlpm.d&gt;=0,_xlpm.d&lt;1),
      _xlpm.r/(_xlpm.q*(1-_xlpm.d)),
      ""
   )
)
)</f>
        <v>7.52</v>
      </c>
      <c r="I596" s="5">
        <f>_xlfn.LET(
_xlpm.q,RawData!G596,
_xlpm.u,RawData!H596,
_xlpm.d,RawData!I596,
_xlpm.r,RawData!J596,
IF(AND(ISNUMBER(_xlpm.d),_xlpm.d&gt;=0,_xlpm.d&lt;1),_xlpm.d,
   IF(AND(ISNUMBER(_xlpm.q),_xlpm.q&gt;0,ISNUMBER(_xlpm.u),_xlpm.u&gt;0,ISNUMBER(_xlpm.r),_xlpm.r&gt;=0),
      1-(_xlpm.r/(_xlpm.q*_xlpm.u)),
      ""
   )
)
)</f>
        <v>0.1</v>
      </c>
      <c r="J596" s="4">
        <f>_xlfn.LET(
_xlpm.q,RawData!G596,
_xlpm.u,RawData!H596,
_xlpm.d,RawData!I596,
_xlpm.r,RawData!J596,
IF(AND(ISNUMBER(_xlpm.r),_xlpm.r&gt;=0),_xlpm.r,
   IF(AND(ISNUMBER(_xlpm.q),_xlpm.q&gt;0,ISNUMBER(_xlpm.u),_xlpm.u&gt;0,ISNUMBER(_xlpm.d),_xlpm.d&gt;=0,_xlpm.d&lt;1),
      _xlpm.q*_xlpm.u*(1-_xlpm.d),
      ""
   )
)
)</f>
        <v>40.61</v>
      </c>
      <c r="K596" s="4">
        <f>_xlfn.LET(
_xlpm.c,RawData!K596,
_xlpm.r,RawData!J596,
_xlpm.p,RawData!L596,
IF(AND(ISNUMBER(_xlpm.c),_xlpm.c&gt;=0),_xlpm.c,
   IF(AND(ISNUMBER(_xlpm.r),ISNUMBER(_xlpm.p)),
      _xlpm.r-_xlpm.p,
      ""
   )
)
)</f>
        <v>30.1</v>
      </c>
      <c r="L596" s="4">
        <f>_xlfn.LET(
_xlpm.p,RawData!L596,
_xlpm.r,RawData!J596,
_xlpm.c,RawData!K596,
IF(ISNUMBER(_xlpm.p),_xlpm.p,
IF(AND(ISNUMBER(_xlpm.r),ISNUMBER(_xlpm.c)),
_xlpm.r-_xlpm.c,
""
)
))</f>
        <v>10.51</v>
      </c>
    </row>
    <row r="597" spans="1:12" x14ac:dyDescent="0.35">
      <c r="A597" t="s">
        <v>639</v>
      </c>
      <c r="B597" s="7">
        <v>45982</v>
      </c>
      <c r="C597" t="str">
        <f>IF(RawData!C597="","Unknown",PROPER(TRIM(CLEAN(SUBSTITUTE(RawData!C597,CHAR(160)," ")))))</f>
        <v>North</v>
      </c>
      <c r="D597" t="str">
        <f>IF(RawData!D597="","Unknown",PROPER(TRIM(CLEAN(SUBSTITUTE(RawData!D597,CHAR(160)," ")))))</f>
        <v>Delhi</v>
      </c>
      <c r="E597" t="str">
        <f>IF(RawData!E597="","Unknown",PROPER(TRIM(CLEAN(SUBSTITUTE(RawData!E597,CHAR(160)," ")))))</f>
        <v>Office Chair</v>
      </c>
      <c r="F597" t="str">
        <f>IF(RawData!F597="","Unknown",PROPER(TRIM(CLEAN(SUBSTITUTE(RawData!F597,CHAR(160)," ")))))</f>
        <v>Furniture</v>
      </c>
      <c r="G597">
        <f>_xlfn.LET(
_xlpm.q,RawData!G597,
_xlpm.u,RawData!H597,
_xlpm.d,RawData!I597,
_xlpm.r,RawData!J597,
IF(AND(ISNUMBER(_xlpm.q),_xlpm.q&gt;0),_xlpm.q,
   IF(AND(ISNUMBER(_xlpm.r),ISNUMBER(_xlpm.u),_xlpm.u&gt;0,ISNUMBER(_xlpm.d),_xlpm.d&gt;=0,_xlpm.d&lt;1),
      ROUND(_xlpm.r/(_xlpm.u*(1-_xlpm.d)),0),
      ""
   )
)
)</f>
        <v>7</v>
      </c>
      <c r="H597" s="4">
        <f>_xlfn.LET(
_xlpm.q,RawData!G597,
_xlpm.u,RawData!H597,
_xlpm.d,RawData!I597,
_xlpm.r,RawData!J597,
IF(AND(ISNUMBER(_xlpm.u),_xlpm.u&gt;0),_xlpm.u,
   IF(AND(ISNUMBER(_xlpm.q),_xlpm.q&gt;0,ISNUMBER(_xlpm.r),ISNUMBER(_xlpm.d),_xlpm.d&gt;=0,_xlpm.d&lt;1),
      _xlpm.r/(_xlpm.q*(1-_xlpm.d)),
      ""
   )
)
)</f>
        <v>156.63999999999999</v>
      </c>
      <c r="I597" s="5">
        <f>_xlfn.LET(
_xlpm.q,RawData!G597,
_xlpm.u,RawData!H597,
_xlpm.d,RawData!I597,
_xlpm.r,RawData!J597,
IF(AND(ISNUMBER(_xlpm.d),_xlpm.d&gt;=0,_xlpm.d&lt;1),_xlpm.d,
   IF(AND(ISNUMBER(_xlpm.q),_xlpm.q&gt;0,ISNUMBER(_xlpm.u),_xlpm.u&gt;0,ISNUMBER(_xlpm.r),_xlpm.r&gt;=0),
      1-(_xlpm.r/(_xlpm.q*_xlpm.u)),
      ""
   )
)
)</f>
        <v>0.2</v>
      </c>
      <c r="J597" s="4">
        <f>_xlfn.LET(
_xlpm.q,RawData!G597,
_xlpm.u,RawData!H597,
_xlpm.d,RawData!I597,
_xlpm.r,RawData!J597,
IF(AND(ISNUMBER(_xlpm.r),_xlpm.r&gt;=0),_xlpm.r,
   IF(AND(ISNUMBER(_xlpm.q),_xlpm.q&gt;0,ISNUMBER(_xlpm.u),_xlpm.u&gt;0,ISNUMBER(_xlpm.d),_xlpm.d&gt;=0,_xlpm.d&lt;1),
      _xlpm.q*_xlpm.u*(1-_xlpm.d),
      ""
   )
)
)</f>
        <v>877.18</v>
      </c>
      <c r="K597" s="4">
        <f>_xlfn.LET(
_xlpm.c,RawData!K597,
_xlpm.r,RawData!J597,
_xlpm.p,RawData!L597,
IF(AND(ISNUMBER(_xlpm.c),_xlpm.c&gt;=0),_xlpm.c,
   IF(AND(ISNUMBER(_xlpm.r),ISNUMBER(_xlpm.p)),
      _xlpm.r-_xlpm.p,
      ""
   )
)
)</f>
        <v>620.33000000000004</v>
      </c>
      <c r="L597" s="4">
        <f>_xlfn.LET(
_xlpm.p,RawData!L597,
_xlpm.r,RawData!J597,
_xlpm.c,RawData!K597,
IF(ISNUMBER(_xlpm.p),_xlpm.p,
IF(AND(ISNUMBER(_xlpm.r),ISNUMBER(_xlpm.c)),
_xlpm.r-_xlpm.c,
""
)
))</f>
        <v>256.85000000000002</v>
      </c>
    </row>
    <row r="598" spans="1:12" x14ac:dyDescent="0.35">
      <c r="A598" t="s">
        <v>640</v>
      </c>
      <c r="B598" s="7">
        <v>45687</v>
      </c>
      <c r="C598" t="str">
        <f>IF(RawData!C598="","Unknown",PROPER(TRIM(CLEAN(SUBSTITUTE(RawData!C598,CHAR(160)," ")))))</f>
        <v>South</v>
      </c>
      <c r="D598" t="str">
        <f>IF(RawData!D598="","Unknown",PROPER(TRIM(CLEAN(SUBSTITUTE(RawData!D598,CHAR(160)," ")))))</f>
        <v>Chennai</v>
      </c>
      <c r="E598" t="str">
        <f>IF(RawData!E598="","Unknown",PROPER(TRIM(CLEAN(SUBSTITUTE(RawData!E598,CHAR(160)," ")))))</f>
        <v>Smartphone</v>
      </c>
      <c r="F598" t="str">
        <f>IF(RawData!F598="","Unknown",PROPER(TRIM(CLEAN(SUBSTITUTE(RawData!F598,CHAR(160)," ")))))</f>
        <v>Electronics</v>
      </c>
      <c r="G598">
        <f>_xlfn.LET(
_xlpm.q,RawData!G598,
_xlpm.u,RawData!H598,
_xlpm.d,RawData!I598,
_xlpm.r,RawData!J598,
IF(AND(ISNUMBER(_xlpm.q),_xlpm.q&gt;0),_xlpm.q,
   IF(AND(ISNUMBER(_xlpm.r),ISNUMBER(_xlpm.u),_xlpm.u&gt;0,ISNUMBER(_xlpm.d),_xlpm.d&gt;=0,_xlpm.d&lt;1),
      ROUND(_xlpm.r/(_xlpm.u*(1-_xlpm.d)),0),
      ""
   )
)
)</f>
        <v>7</v>
      </c>
      <c r="H598" s="4">
        <f>_xlfn.LET(
_xlpm.q,RawData!G598,
_xlpm.u,RawData!H598,
_xlpm.d,RawData!I598,
_xlpm.r,RawData!J598,
IF(AND(ISNUMBER(_xlpm.u),_xlpm.u&gt;0),_xlpm.u,
   IF(AND(ISNUMBER(_xlpm.q),_xlpm.q&gt;0,ISNUMBER(_xlpm.r),ISNUMBER(_xlpm.d),_xlpm.d&gt;=0,_xlpm.d&lt;1),
      _xlpm.r/(_xlpm.q*(1-_xlpm.d)),
      ""
   )
)
)</f>
        <v>524.57000000000005</v>
      </c>
      <c r="I598" s="5">
        <f>_xlfn.LET(
_xlpm.q,RawData!G598,
_xlpm.u,RawData!H598,
_xlpm.d,RawData!I598,
_xlpm.r,RawData!J598,
IF(AND(ISNUMBER(_xlpm.d),_xlpm.d&gt;=0,_xlpm.d&lt;1),_xlpm.d,
   IF(AND(ISNUMBER(_xlpm.q),_xlpm.q&gt;0,ISNUMBER(_xlpm.u),_xlpm.u&gt;0,ISNUMBER(_xlpm.r),_xlpm.r&gt;=0),
      1-(_xlpm.r/(_xlpm.q*_xlpm.u)),
      ""
   )
)
)</f>
        <v>0</v>
      </c>
      <c r="J598" s="4">
        <f>_xlfn.LET(
_xlpm.q,RawData!G598,
_xlpm.u,RawData!H598,
_xlpm.d,RawData!I598,
_xlpm.r,RawData!J598,
IF(AND(ISNUMBER(_xlpm.r),_xlpm.r&gt;=0),_xlpm.r,
   IF(AND(ISNUMBER(_xlpm.q),_xlpm.q&gt;0,ISNUMBER(_xlpm.u),_xlpm.u&gt;0,ISNUMBER(_xlpm.d),_xlpm.d&gt;=0,_xlpm.d&lt;1),
      _xlpm.q*_xlpm.u*(1-_xlpm.d),
      ""
   )
)
)</f>
        <v>3671.99</v>
      </c>
      <c r="K598" s="4">
        <f>_xlfn.LET(
_xlpm.c,RawData!K598,
_xlpm.r,RawData!J598,
_xlpm.p,RawData!L598,
IF(AND(ISNUMBER(_xlpm.c),_xlpm.c&gt;=0),_xlpm.c,
   IF(AND(ISNUMBER(_xlpm.r),ISNUMBER(_xlpm.p)),
      _xlpm.r-_xlpm.p,
      ""
   )
)
)</f>
        <v>2635.19</v>
      </c>
      <c r="L598" s="4">
        <f>_xlfn.LET(
_xlpm.p,RawData!L598,
_xlpm.r,RawData!J598,
_xlpm.c,RawData!K598,
IF(ISNUMBER(_xlpm.p),_xlpm.p,
IF(AND(ISNUMBER(_xlpm.r),ISNUMBER(_xlpm.c)),
_xlpm.r-_xlpm.c,
""
)
))</f>
        <v>1036.8</v>
      </c>
    </row>
    <row r="599" spans="1:12" x14ac:dyDescent="0.35">
      <c r="A599" t="s">
        <v>641</v>
      </c>
      <c r="B599" s="7">
        <v>45971</v>
      </c>
      <c r="C599" t="str">
        <f>IF(RawData!C599="","Unknown",PROPER(TRIM(CLEAN(SUBSTITUTE(RawData!C599,CHAR(160)," ")))))</f>
        <v>North</v>
      </c>
      <c r="D599" t="str">
        <f>IF(RawData!D599="","Unknown",PROPER(TRIM(CLEAN(SUBSTITUTE(RawData!D599,CHAR(160)," ")))))</f>
        <v>Delhi</v>
      </c>
      <c r="E599" t="str">
        <f>IF(RawData!E599="","Unknown",PROPER(TRIM(CLEAN(SUBSTITUTE(RawData!E599,CHAR(160)," ")))))</f>
        <v>Office Chair</v>
      </c>
      <c r="F599" t="str">
        <f>IF(RawData!F599="","Unknown",PROPER(TRIM(CLEAN(SUBSTITUTE(RawData!F599,CHAR(160)," ")))))</f>
        <v>Furniture</v>
      </c>
      <c r="G599">
        <f>_xlfn.LET(
_xlpm.q,RawData!G599,
_xlpm.u,RawData!H599,
_xlpm.d,RawData!I599,
_xlpm.r,RawData!J599,
IF(AND(ISNUMBER(_xlpm.q),_xlpm.q&gt;0),_xlpm.q,
   IF(AND(ISNUMBER(_xlpm.r),ISNUMBER(_xlpm.u),_xlpm.u&gt;0,ISNUMBER(_xlpm.d),_xlpm.d&gt;=0,_xlpm.d&lt;1),
      ROUND(_xlpm.r/(_xlpm.u*(1-_xlpm.d)),0),
      ""
   )
)
)</f>
        <v>3</v>
      </c>
      <c r="H599" s="4">
        <f>_xlfn.LET(
_xlpm.q,RawData!G599,
_xlpm.u,RawData!H599,
_xlpm.d,RawData!I599,
_xlpm.r,RawData!J599,
IF(AND(ISNUMBER(_xlpm.u),_xlpm.u&gt;0),_xlpm.u,
   IF(AND(ISNUMBER(_xlpm.q),_xlpm.q&gt;0,ISNUMBER(_xlpm.r),ISNUMBER(_xlpm.d),_xlpm.d&gt;=0,_xlpm.d&lt;1),
      _xlpm.r/(_xlpm.q*(1-_xlpm.d)),
      ""
   )
)
)</f>
        <v>155.47</v>
      </c>
      <c r="I599" s="5">
        <f>_xlfn.LET(
_xlpm.q,RawData!G599,
_xlpm.u,RawData!H599,
_xlpm.d,RawData!I599,
_xlpm.r,RawData!J599,
IF(AND(ISNUMBER(_xlpm.d),_xlpm.d&gt;=0,_xlpm.d&lt;1),_xlpm.d,
   IF(AND(ISNUMBER(_xlpm.q),_xlpm.q&gt;0,ISNUMBER(_xlpm.u),_xlpm.u&gt;0,ISNUMBER(_xlpm.r),_xlpm.r&gt;=0),
      1-(_xlpm.r/(_xlpm.q*_xlpm.u)),
      ""
   )
)
)</f>
        <v>0</v>
      </c>
      <c r="J599" s="4">
        <f>_xlfn.LET(
_xlpm.q,RawData!G599,
_xlpm.u,RawData!H599,
_xlpm.d,RawData!I599,
_xlpm.r,RawData!J599,
IF(AND(ISNUMBER(_xlpm.r),_xlpm.r&gt;=0),_xlpm.r,
   IF(AND(ISNUMBER(_xlpm.q),_xlpm.q&gt;0,ISNUMBER(_xlpm.u),_xlpm.u&gt;0,ISNUMBER(_xlpm.d),_xlpm.d&gt;=0,_xlpm.d&lt;1),
      _xlpm.q*_xlpm.u*(1-_xlpm.d),
      ""
   )
)
)</f>
        <v>466.41</v>
      </c>
      <c r="K599" s="4">
        <f>_xlfn.LET(
_xlpm.c,RawData!K599,
_xlpm.r,RawData!J599,
_xlpm.p,RawData!L599,
IF(AND(ISNUMBER(_xlpm.c),_xlpm.c&gt;=0),_xlpm.c,
   IF(AND(ISNUMBER(_xlpm.r),ISNUMBER(_xlpm.p)),
      _xlpm.r-_xlpm.p,
      ""
   )
)
)</f>
        <v>366.28</v>
      </c>
      <c r="L599" s="4">
        <f>_xlfn.LET(
_xlpm.p,RawData!L599,
_xlpm.r,RawData!J599,
_xlpm.c,RawData!K599,
IF(ISNUMBER(_xlpm.p),_xlpm.p,
IF(AND(ISNUMBER(_xlpm.r),ISNUMBER(_xlpm.c)),
_xlpm.r-_xlpm.c,
""
)
))</f>
        <v>100.13</v>
      </c>
    </row>
    <row r="600" spans="1:12" x14ac:dyDescent="0.35">
      <c r="A600" t="s">
        <v>642</v>
      </c>
      <c r="B600" s="7">
        <v>46020</v>
      </c>
      <c r="C600" t="str">
        <f>IF(RawData!C600="","Unknown",PROPER(TRIM(CLEAN(SUBSTITUTE(RawData!C600,CHAR(160)," ")))))</f>
        <v>South</v>
      </c>
      <c r="D600" t="str">
        <f>IF(RawData!D600="","Unknown",PROPER(TRIM(CLEAN(SUBSTITUTE(RawData!D600,CHAR(160)," ")))))</f>
        <v>Chennai</v>
      </c>
      <c r="E600" t="str">
        <f>IF(RawData!E600="","Unknown",PROPER(TRIM(CLEAN(SUBSTITUTE(RawData!E600,CHAR(160)," ")))))</f>
        <v>Keyboard</v>
      </c>
      <c r="F600" t="str">
        <f>IF(RawData!F600="","Unknown",PROPER(TRIM(CLEAN(SUBSTITUTE(RawData!F600,CHAR(160)," ")))))</f>
        <v>Accessories</v>
      </c>
      <c r="G600">
        <f>_xlfn.LET(
_xlpm.q,RawData!G600,
_xlpm.u,RawData!H600,
_xlpm.d,RawData!I600,
_xlpm.r,RawData!J600,
IF(AND(ISNUMBER(_xlpm.q),_xlpm.q&gt;0),_xlpm.q,
   IF(AND(ISNUMBER(_xlpm.r),ISNUMBER(_xlpm.u),_xlpm.u&gt;0,ISNUMBER(_xlpm.d),_xlpm.d&gt;=0,_xlpm.d&lt;1),
      ROUND(_xlpm.r/(_xlpm.u*(1-_xlpm.d)),0),
      ""
   )
)
)</f>
        <v>1</v>
      </c>
      <c r="H600" s="4">
        <f>_xlfn.LET(
_xlpm.q,RawData!G600,
_xlpm.u,RawData!H600,
_xlpm.d,RawData!I600,
_xlpm.r,RawData!J600,
IF(AND(ISNUMBER(_xlpm.u),_xlpm.u&gt;0),_xlpm.u,
   IF(AND(ISNUMBER(_xlpm.q),_xlpm.q&gt;0,ISNUMBER(_xlpm.r),ISNUMBER(_xlpm.d),_xlpm.d&gt;=0,_xlpm.d&lt;1),
      _xlpm.r/(_xlpm.q*(1-_xlpm.d)),
      ""
   )
)
)</f>
        <v>39.97</v>
      </c>
      <c r="I600" s="5">
        <f>_xlfn.LET(
_xlpm.q,RawData!G600,
_xlpm.u,RawData!H600,
_xlpm.d,RawData!I600,
_xlpm.r,RawData!J600,
IF(AND(ISNUMBER(_xlpm.d),_xlpm.d&gt;=0,_xlpm.d&lt;1),_xlpm.d,
   IF(AND(ISNUMBER(_xlpm.q),_xlpm.q&gt;0,ISNUMBER(_xlpm.u),_xlpm.u&gt;0,ISNUMBER(_xlpm.r),_xlpm.r&gt;=0),
      1-(_xlpm.r/(_xlpm.q*_xlpm.u)),
      ""
   )
)
)</f>
        <v>0.02</v>
      </c>
      <c r="J600" s="4">
        <f>_xlfn.LET(
_xlpm.q,RawData!G600,
_xlpm.u,RawData!H600,
_xlpm.d,RawData!I600,
_xlpm.r,RawData!J600,
IF(AND(ISNUMBER(_xlpm.r),_xlpm.r&gt;=0),_xlpm.r,
   IF(AND(ISNUMBER(_xlpm.q),_xlpm.q&gt;0,ISNUMBER(_xlpm.u),_xlpm.u&gt;0,ISNUMBER(_xlpm.d),_xlpm.d&gt;=0,_xlpm.d&lt;1),
      _xlpm.q*_xlpm.u*(1-_xlpm.d),
      ""
   )
)
)</f>
        <v>39.17</v>
      </c>
      <c r="K600" s="4">
        <f>_xlfn.LET(
_xlpm.c,RawData!K600,
_xlpm.r,RawData!J600,
_xlpm.p,RawData!L600,
IF(AND(ISNUMBER(_xlpm.c),_xlpm.c&gt;=0),_xlpm.c,
   IF(AND(ISNUMBER(_xlpm.r),ISNUMBER(_xlpm.p)),
      _xlpm.r-_xlpm.p,
      ""
   )
)
)</f>
        <v>31.79</v>
      </c>
      <c r="L600" s="4">
        <f>_xlfn.LET(
_xlpm.p,RawData!L600,
_xlpm.r,RawData!J600,
_xlpm.c,RawData!K600,
IF(ISNUMBER(_xlpm.p),_xlpm.p,
IF(AND(ISNUMBER(_xlpm.r),ISNUMBER(_xlpm.c)),
_xlpm.r-_xlpm.c,
""
)
))</f>
        <v>7.38</v>
      </c>
    </row>
    <row r="601" spans="1:12" x14ac:dyDescent="0.35">
      <c r="A601" t="s">
        <v>643</v>
      </c>
      <c r="B601" s="7">
        <v>45835</v>
      </c>
      <c r="C601" t="str">
        <f>IF(RawData!C601="","Unknown",PROPER(TRIM(CLEAN(SUBSTITUTE(RawData!C601,CHAR(160)," ")))))</f>
        <v>East</v>
      </c>
      <c r="D601" t="str">
        <f>IF(RawData!D601="","Unknown",PROPER(TRIM(CLEAN(SUBSTITUTE(RawData!D601,CHAR(160)," ")))))</f>
        <v>Patna</v>
      </c>
      <c r="E601" t="str">
        <f>IF(RawData!E601="","Unknown",PROPER(TRIM(CLEAN(SUBSTITUTE(RawData!E601,CHAR(160)," ")))))</f>
        <v>Headphones</v>
      </c>
      <c r="F601" t="str">
        <f>IF(RawData!F601="","Unknown",PROPER(TRIM(CLEAN(SUBSTITUTE(RawData!F601,CHAR(160)," ")))))</f>
        <v>Electronics</v>
      </c>
      <c r="G601">
        <f>_xlfn.LET(
_xlpm.q,RawData!G601,
_xlpm.u,RawData!H601,
_xlpm.d,RawData!I601,
_xlpm.r,RawData!J601,
IF(AND(ISNUMBER(_xlpm.q),_xlpm.q&gt;0),_xlpm.q,
   IF(AND(ISNUMBER(_xlpm.r),ISNUMBER(_xlpm.u),_xlpm.u&gt;0,ISNUMBER(_xlpm.d),_xlpm.d&gt;=0,_xlpm.d&lt;1),
      ROUND(_xlpm.r/(_xlpm.u*(1-_xlpm.d)),0),
      ""
   )
)
)</f>
        <v>6</v>
      </c>
      <c r="H601" s="4">
        <f>_xlfn.LET(
_xlpm.q,RawData!G601,
_xlpm.u,RawData!H601,
_xlpm.d,RawData!I601,
_xlpm.r,RawData!J601,
IF(AND(ISNUMBER(_xlpm.u),_xlpm.u&gt;0),_xlpm.u,
   IF(AND(ISNUMBER(_xlpm.q),_xlpm.q&gt;0,ISNUMBER(_xlpm.r),ISNUMBER(_xlpm.d),_xlpm.d&gt;=0,_xlpm.d&lt;1),
      _xlpm.r/(_xlpm.q*(1-_xlpm.d)),
      ""
   )
)
)</f>
        <v>85.99</v>
      </c>
      <c r="I601" s="5">
        <f>_xlfn.LET(
_xlpm.q,RawData!G601,
_xlpm.u,RawData!H601,
_xlpm.d,RawData!I601,
_xlpm.r,RawData!J601,
IF(AND(ISNUMBER(_xlpm.d),_xlpm.d&gt;=0,_xlpm.d&lt;1),_xlpm.d,
   IF(AND(ISNUMBER(_xlpm.q),_xlpm.q&gt;0,ISNUMBER(_xlpm.u),_xlpm.u&gt;0,ISNUMBER(_xlpm.r),_xlpm.r&gt;=0),
      1-(_xlpm.r/(_xlpm.q*_xlpm.u)),
      ""
   )
)
)</f>
        <v>0.02</v>
      </c>
      <c r="J601" s="4">
        <f>_xlfn.LET(
_xlpm.q,RawData!G601,
_xlpm.u,RawData!H601,
_xlpm.d,RawData!I601,
_xlpm.r,RawData!J601,
IF(AND(ISNUMBER(_xlpm.r),_xlpm.r&gt;=0),_xlpm.r,
   IF(AND(ISNUMBER(_xlpm.q),_xlpm.q&gt;0,ISNUMBER(_xlpm.u),_xlpm.u&gt;0,ISNUMBER(_xlpm.d),_xlpm.d&gt;=0,_xlpm.d&lt;1),
      _xlpm.q*_xlpm.u*(1-_xlpm.d),
      ""
   )
)
)</f>
        <v>505.62</v>
      </c>
      <c r="K601" s="4">
        <f>_xlfn.LET(
_xlpm.c,RawData!K601,
_xlpm.r,RawData!J601,
_xlpm.p,RawData!L601,
IF(AND(ISNUMBER(_xlpm.c),_xlpm.c&gt;=0),_xlpm.c,
   IF(AND(ISNUMBER(_xlpm.r),ISNUMBER(_xlpm.p)),
      _xlpm.r-_xlpm.p,
      ""
   )
)
)</f>
        <v>295.85000000000002</v>
      </c>
      <c r="L601" s="4">
        <f>_xlfn.LET(
_xlpm.p,RawData!L601,
_xlpm.r,RawData!J601,
_xlpm.c,RawData!K601,
IF(ISNUMBER(_xlpm.p),_xlpm.p,
IF(AND(ISNUMBER(_xlpm.r),ISNUMBER(_xlpm.c)),
_xlpm.r-_xlpm.c,
""
)
))</f>
        <v>209.77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75ED3-BF06-4505-A572-B3E706B269DA}">
  <dimension ref="A2:O41"/>
  <sheetViews>
    <sheetView workbookViewId="0">
      <selection activeCell="N17" sqref="N17"/>
    </sheetView>
  </sheetViews>
  <sheetFormatPr defaultRowHeight="14.5" x14ac:dyDescent="0.35"/>
  <cols>
    <col min="1" max="1" width="12.26953125" bestFit="1" customWidth="1"/>
    <col min="2" max="3" width="10.453125" bestFit="1" customWidth="1"/>
    <col min="4" max="4" width="8.6328125" bestFit="1" customWidth="1"/>
    <col min="7" max="7" width="10.7265625" bestFit="1" customWidth="1"/>
    <col min="8" max="9" width="10.453125" bestFit="1" customWidth="1"/>
    <col min="10" max="10" width="8.6328125" bestFit="1" customWidth="1"/>
    <col min="13" max="13" width="20.90625" bestFit="1" customWidth="1"/>
    <col min="14" max="14" width="11.81640625" bestFit="1" customWidth="1"/>
    <col min="15" max="15" width="8.36328125" bestFit="1" customWidth="1"/>
  </cols>
  <sheetData>
    <row r="2" spans="1:15" x14ac:dyDescent="0.35">
      <c r="A2" s="8" t="s">
        <v>669</v>
      </c>
      <c r="B2" t="s">
        <v>670</v>
      </c>
      <c r="C2" t="s">
        <v>671</v>
      </c>
      <c r="D2" t="s">
        <v>672</v>
      </c>
      <c r="G2" s="8" t="s">
        <v>648</v>
      </c>
      <c r="H2" t="s">
        <v>670</v>
      </c>
      <c r="I2" t="s">
        <v>671</v>
      </c>
      <c r="J2" t="s">
        <v>672</v>
      </c>
    </row>
    <row r="3" spans="1:15" x14ac:dyDescent="0.35">
      <c r="A3" s="9" t="s">
        <v>657</v>
      </c>
      <c r="B3" s="4">
        <v>39055.30999999999</v>
      </c>
      <c r="C3" s="4">
        <v>11573.239999999998</v>
      </c>
      <c r="D3" s="10">
        <v>234</v>
      </c>
      <c r="G3" s="9" t="s">
        <v>7</v>
      </c>
      <c r="H3" s="4">
        <v>12490.009999999998</v>
      </c>
      <c r="I3" s="4">
        <v>3770.3199999999997</v>
      </c>
      <c r="J3" s="10">
        <v>301</v>
      </c>
      <c r="M3" s="14" t="s">
        <v>674</v>
      </c>
      <c r="N3" s="14">
        <f>SUM('Cleaned Data'!J:J)</f>
        <v>550147.63000000035</v>
      </c>
    </row>
    <row r="4" spans="1:15" x14ac:dyDescent="0.35">
      <c r="A4" s="9" t="s">
        <v>658</v>
      </c>
      <c r="B4" s="4">
        <v>50649.39</v>
      </c>
      <c r="C4" s="4">
        <v>15205.589999999998</v>
      </c>
      <c r="D4" s="10">
        <v>245</v>
      </c>
      <c r="G4" s="9" t="s">
        <v>29</v>
      </c>
      <c r="H4" s="4">
        <v>38807.75</v>
      </c>
      <c r="I4" s="4">
        <v>12063.429999999998</v>
      </c>
      <c r="J4" s="10">
        <v>311</v>
      </c>
      <c r="M4" s="14"/>
      <c r="N4" s="14"/>
    </row>
    <row r="5" spans="1:15" x14ac:dyDescent="0.35">
      <c r="A5" s="9" t="s">
        <v>659</v>
      </c>
      <c r="B5" s="4">
        <v>42271.760000000009</v>
      </c>
      <c r="C5" s="4">
        <v>14565.690000000002</v>
      </c>
      <c r="D5" s="10">
        <v>309</v>
      </c>
      <c r="G5" s="9" t="s">
        <v>22</v>
      </c>
      <c r="H5" s="4">
        <v>71937.649999999994</v>
      </c>
      <c r="I5" s="4">
        <v>23590.099999999991</v>
      </c>
      <c r="J5" s="10">
        <v>312</v>
      </c>
      <c r="M5" s="14" t="s">
        <v>675</v>
      </c>
      <c r="N5" s="14">
        <f>SUM('Cleaned Data'!L:L)</f>
        <v>170681.87000000008</v>
      </c>
    </row>
    <row r="6" spans="1:15" x14ac:dyDescent="0.35">
      <c r="A6" s="9" t="s">
        <v>660</v>
      </c>
      <c r="B6" s="4">
        <v>32866.910000000003</v>
      </c>
      <c r="C6" s="4">
        <v>10530.110000000002</v>
      </c>
      <c r="D6" s="10">
        <v>208</v>
      </c>
      <c r="G6" s="9" t="s">
        <v>61</v>
      </c>
      <c r="H6" s="4">
        <v>18151.259999999998</v>
      </c>
      <c r="I6" s="4">
        <v>5626.65</v>
      </c>
      <c r="J6" s="10">
        <v>257</v>
      </c>
      <c r="M6" s="14"/>
      <c r="N6" s="14"/>
    </row>
    <row r="7" spans="1:15" x14ac:dyDescent="0.35">
      <c r="A7" s="9" t="s">
        <v>661</v>
      </c>
      <c r="B7" s="4">
        <v>51113.15</v>
      </c>
      <c r="C7" s="4">
        <v>17244.260000000002</v>
      </c>
      <c r="D7" s="10">
        <v>306</v>
      </c>
      <c r="G7" s="9" t="s">
        <v>20</v>
      </c>
      <c r="H7" s="4">
        <v>7340.9700000000012</v>
      </c>
      <c r="I7" s="4">
        <v>2072.4800000000005</v>
      </c>
      <c r="J7" s="10">
        <v>223</v>
      </c>
      <c r="M7" s="14" t="s">
        <v>676</v>
      </c>
      <c r="N7" s="14">
        <f>COUNTA('Cleaned Data'!A2:A601)</f>
        <v>600</v>
      </c>
    </row>
    <row r="8" spans="1:15" x14ac:dyDescent="0.35">
      <c r="A8" s="9" t="s">
        <v>662</v>
      </c>
      <c r="B8" s="4">
        <v>52638.039999999994</v>
      </c>
      <c r="C8" s="4">
        <v>17364.91</v>
      </c>
      <c r="D8" s="10">
        <v>324</v>
      </c>
      <c r="G8" s="9" t="s">
        <v>3</v>
      </c>
      <c r="H8" s="4">
        <v>120427.19000000005</v>
      </c>
      <c r="I8" s="4">
        <v>37480.649999999994</v>
      </c>
      <c r="J8" s="10">
        <v>167</v>
      </c>
      <c r="M8" s="14"/>
      <c r="N8" s="14"/>
    </row>
    <row r="9" spans="1:15" x14ac:dyDescent="0.35">
      <c r="A9" s="9" t="s">
        <v>663</v>
      </c>
      <c r="B9" s="4">
        <v>40547.80000000001</v>
      </c>
      <c r="C9" s="4">
        <v>12028.680000000002</v>
      </c>
      <c r="D9" s="10">
        <v>259</v>
      </c>
      <c r="G9" s="9" t="s">
        <v>16</v>
      </c>
      <c r="H9" s="4">
        <v>45135.210000000014</v>
      </c>
      <c r="I9" s="4">
        <v>13015.609999999997</v>
      </c>
      <c r="J9" s="10">
        <v>233</v>
      </c>
      <c r="M9" s="14" t="s">
        <v>677</v>
      </c>
      <c r="N9" s="14">
        <f>SUM('Cleaned Data'!G:G)</f>
        <v>3299</v>
      </c>
    </row>
    <row r="10" spans="1:15" x14ac:dyDescent="0.35">
      <c r="A10" s="9" t="s">
        <v>664</v>
      </c>
      <c r="B10" s="4">
        <v>59228.189999999995</v>
      </c>
      <c r="C10" s="4">
        <v>19119.959999999995</v>
      </c>
      <c r="D10" s="10">
        <v>325</v>
      </c>
      <c r="G10" s="9" t="s">
        <v>11</v>
      </c>
      <c r="H10" s="4">
        <v>1888.2800000000002</v>
      </c>
      <c r="I10" s="4">
        <v>626.45000000000005</v>
      </c>
      <c r="J10" s="10">
        <v>262</v>
      </c>
      <c r="M10" s="14"/>
      <c r="N10" s="14"/>
    </row>
    <row r="11" spans="1:15" x14ac:dyDescent="0.35">
      <c r="A11" s="9" t="s">
        <v>665</v>
      </c>
      <c r="B11" s="4">
        <v>26034.690000000006</v>
      </c>
      <c r="C11" s="4">
        <v>7531.5099999999993</v>
      </c>
      <c r="D11" s="10">
        <v>171</v>
      </c>
      <c r="G11" s="9" t="s">
        <v>35</v>
      </c>
      <c r="H11" s="4">
        <v>48177.189999999995</v>
      </c>
      <c r="I11" s="4">
        <v>14304.709999999997</v>
      </c>
      <c r="J11" s="10">
        <v>295</v>
      </c>
      <c r="M11" s="14" t="s">
        <v>678</v>
      </c>
      <c r="N11" s="14">
        <f>SUM('Cleaned Data'!J:J)/COUNTA('Cleaned Data'!A:A)</f>
        <v>915.38707154742156</v>
      </c>
    </row>
    <row r="12" spans="1:15" x14ac:dyDescent="0.35">
      <c r="A12" s="9" t="s">
        <v>666</v>
      </c>
      <c r="B12" s="4">
        <v>38644.28</v>
      </c>
      <c r="C12" s="4">
        <v>10648.840000000002</v>
      </c>
      <c r="D12" s="10">
        <v>268</v>
      </c>
      <c r="G12" s="9" t="s">
        <v>32</v>
      </c>
      <c r="H12" s="4">
        <v>3835.1200000000008</v>
      </c>
      <c r="I12" s="4">
        <v>1179.0200000000002</v>
      </c>
      <c r="J12" s="10">
        <v>357</v>
      </c>
    </row>
    <row r="13" spans="1:15" x14ac:dyDescent="0.35">
      <c r="A13" s="9" t="s">
        <v>667</v>
      </c>
      <c r="B13" s="4">
        <v>49210.94</v>
      </c>
      <c r="C13" s="4">
        <v>15007.719999999996</v>
      </c>
      <c r="D13" s="10">
        <v>277</v>
      </c>
      <c r="G13" s="9" t="s">
        <v>38</v>
      </c>
      <c r="H13" s="4">
        <v>42026.919999999991</v>
      </c>
      <c r="I13" s="4">
        <v>13705.77</v>
      </c>
      <c r="J13" s="10">
        <v>289</v>
      </c>
    </row>
    <row r="14" spans="1:15" x14ac:dyDescent="0.35">
      <c r="A14" s="9" t="s">
        <v>668</v>
      </c>
      <c r="B14" s="4">
        <v>67887.17</v>
      </c>
      <c r="C14" s="4">
        <v>19861.36</v>
      </c>
      <c r="D14" s="10">
        <v>373</v>
      </c>
      <c r="G14" s="9" t="s">
        <v>52</v>
      </c>
      <c r="H14" s="4">
        <v>139930.07999999996</v>
      </c>
      <c r="I14" s="4">
        <v>43246.68</v>
      </c>
      <c r="J14" s="10">
        <v>292</v>
      </c>
    </row>
    <row r="15" spans="1:15" ht="16" thickBot="1" x14ac:dyDescent="0.4">
      <c r="A15" s="9" t="s">
        <v>656</v>
      </c>
      <c r="B15" s="4">
        <v>550147.63</v>
      </c>
      <c r="C15" s="4">
        <v>170681.87</v>
      </c>
      <c r="D15" s="10">
        <v>3299</v>
      </c>
      <c r="G15" s="9" t="s">
        <v>656</v>
      </c>
      <c r="H15" s="4">
        <v>550147.63</v>
      </c>
      <c r="I15" s="4">
        <v>170681.87</v>
      </c>
      <c r="J15" s="10">
        <v>3299</v>
      </c>
      <c r="M15" s="15"/>
      <c r="N15" s="15"/>
      <c r="O15" s="15"/>
    </row>
    <row r="16" spans="1:15" ht="15.5" x14ac:dyDescent="0.35">
      <c r="M16" s="16"/>
      <c r="N16" s="16"/>
      <c r="O16" s="16"/>
    </row>
    <row r="17" spans="1:15" ht="15.5" x14ac:dyDescent="0.35">
      <c r="M17" s="16"/>
      <c r="N17" s="16"/>
      <c r="O17" s="16"/>
    </row>
    <row r="18" spans="1:15" ht="15.5" x14ac:dyDescent="0.35">
      <c r="M18" s="16"/>
      <c r="N18" s="16"/>
      <c r="O18" s="16"/>
    </row>
    <row r="19" spans="1:15" ht="15.5" x14ac:dyDescent="0.35">
      <c r="A19" s="8" t="s">
        <v>649</v>
      </c>
      <c r="B19" t="s">
        <v>670</v>
      </c>
      <c r="C19" t="s">
        <v>671</v>
      </c>
      <c r="D19" t="s">
        <v>672</v>
      </c>
      <c r="G19" s="8" t="s">
        <v>646</v>
      </c>
      <c r="H19" t="s">
        <v>680</v>
      </c>
      <c r="I19" t="s">
        <v>681</v>
      </c>
      <c r="J19" t="s">
        <v>682</v>
      </c>
      <c r="M19" s="16"/>
      <c r="N19" s="16"/>
      <c r="O19" s="16"/>
    </row>
    <row r="20" spans="1:15" x14ac:dyDescent="0.35">
      <c r="A20" s="9" t="s">
        <v>8</v>
      </c>
      <c r="B20" s="4">
        <v>20353.39</v>
      </c>
      <c r="C20" s="4">
        <v>5993.3999999999978</v>
      </c>
      <c r="D20" s="10">
        <v>541</v>
      </c>
      <c r="G20" s="9" t="s">
        <v>25</v>
      </c>
      <c r="H20" s="4">
        <v>132965.32</v>
      </c>
      <c r="I20" s="4">
        <v>41887.859999999993</v>
      </c>
      <c r="J20" s="10">
        <v>804</v>
      </c>
    </row>
    <row r="21" spans="1:15" x14ac:dyDescent="0.35">
      <c r="A21" s="9" t="s">
        <v>4</v>
      </c>
      <c r="B21" s="4">
        <v>321080.05999999994</v>
      </c>
      <c r="C21" s="4">
        <v>98426.590000000011</v>
      </c>
      <c r="D21" s="10">
        <v>931</v>
      </c>
      <c r="G21" s="9" t="s">
        <v>1</v>
      </c>
      <c r="H21" s="4">
        <v>160955.49000000011</v>
      </c>
      <c r="I21" s="4">
        <v>50127.24</v>
      </c>
      <c r="J21" s="10">
        <v>863</v>
      </c>
    </row>
    <row r="22" spans="1:15" x14ac:dyDescent="0.35">
      <c r="A22" s="9" t="s">
        <v>23</v>
      </c>
      <c r="B22" s="4">
        <v>158768.49000000002</v>
      </c>
      <c r="C22" s="4">
        <v>49927.43</v>
      </c>
      <c r="D22" s="10">
        <v>917</v>
      </c>
      <c r="G22" s="9" t="s">
        <v>18</v>
      </c>
      <c r="H22" s="4">
        <v>126451.46999999994</v>
      </c>
      <c r="I22" s="4">
        <v>37974.369999999995</v>
      </c>
      <c r="J22" s="10">
        <v>862</v>
      </c>
    </row>
    <row r="23" spans="1:15" x14ac:dyDescent="0.35">
      <c r="A23" s="9" t="s">
        <v>12</v>
      </c>
      <c r="B23" s="4">
        <v>49945.689999999995</v>
      </c>
      <c r="C23" s="4">
        <v>16334.450000000008</v>
      </c>
      <c r="D23" s="10">
        <v>910</v>
      </c>
      <c r="G23" s="9" t="s">
        <v>14</v>
      </c>
      <c r="H23" s="4">
        <v>129775.34999999999</v>
      </c>
      <c r="I23" s="4">
        <v>40692.400000000016</v>
      </c>
      <c r="J23" s="10">
        <v>770</v>
      </c>
    </row>
    <row r="24" spans="1:15" x14ac:dyDescent="0.35">
      <c r="A24" s="9" t="s">
        <v>656</v>
      </c>
      <c r="B24" s="4">
        <v>550147.62999999989</v>
      </c>
      <c r="C24" s="4">
        <v>170681.87000000002</v>
      </c>
      <c r="D24" s="10">
        <v>3299</v>
      </c>
      <c r="G24" s="9" t="s">
        <v>656</v>
      </c>
      <c r="H24" s="4">
        <v>550147.63</v>
      </c>
      <c r="I24" s="4">
        <v>170681.87</v>
      </c>
      <c r="J24" s="10">
        <v>3299</v>
      </c>
    </row>
    <row r="28" spans="1:15" x14ac:dyDescent="0.35">
      <c r="A28" s="8" t="s">
        <v>647</v>
      </c>
      <c r="B28" t="s">
        <v>670</v>
      </c>
      <c r="C28" t="s">
        <v>679</v>
      </c>
      <c r="D28" t="s">
        <v>672</v>
      </c>
    </row>
    <row r="29" spans="1:15" x14ac:dyDescent="0.35">
      <c r="A29" s="9" t="s">
        <v>66</v>
      </c>
      <c r="B29" s="4">
        <v>30510.679999999993</v>
      </c>
      <c r="C29" s="4">
        <v>20493.410000000003</v>
      </c>
      <c r="D29" s="10">
        <v>196</v>
      </c>
    </row>
    <row r="30" spans="1:15" x14ac:dyDescent="0.35">
      <c r="A30" s="9" t="s">
        <v>40</v>
      </c>
      <c r="B30" s="4">
        <v>40456.5</v>
      </c>
      <c r="C30" s="4">
        <v>28780.62999999999</v>
      </c>
      <c r="D30" s="10">
        <v>306</v>
      </c>
    </row>
    <row r="31" spans="1:15" x14ac:dyDescent="0.35">
      <c r="A31" s="9" t="s">
        <v>37</v>
      </c>
      <c r="B31" s="4">
        <v>26447.790000000005</v>
      </c>
      <c r="C31" s="4">
        <v>18548.749999999996</v>
      </c>
      <c r="D31" s="10">
        <v>270</v>
      </c>
    </row>
    <row r="32" spans="1:15" x14ac:dyDescent="0.35">
      <c r="A32" s="9" t="s">
        <v>19</v>
      </c>
      <c r="B32" s="4">
        <v>51346.599999999991</v>
      </c>
      <c r="C32" s="4">
        <v>35645.410000000003</v>
      </c>
      <c r="D32" s="10">
        <v>317</v>
      </c>
    </row>
    <row r="33" spans="1:4" x14ac:dyDescent="0.35">
      <c r="A33" s="9" t="s">
        <v>2</v>
      </c>
      <c r="B33" s="4">
        <v>56346.780000000006</v>
      </c>
      <c r="C33" s="4">
        <v>37692.100000000006</v>
      </c>
      <c r="D33" s="10">
        <v>206</v>
      </c>
    </row>
    <row r="34" spans="1:4" x14ac:dyDescent="0.35">
      <c r="A34" s="9" t="s">
        <v>34</v>
      </c>
      <c r="B34" s="4">
        <v>36909.029999999992</v>
      </c>
      <c r="C34" s="4">
        <v>25341.970000000008</v>
      </c>
      <c r="D34" s="10">
        <v>248</v>
      </c>
    </row>
    <row r="35" spans="1:4" x14ac:dyDescent="0.35">
      <c r="A35" s="9" t="s">
        <v>28</v>
      </c>
      <c r="B35" s="4">
        <v>44279.450000000004</v>
      </c>
      <c r="C35" s="4">
        <v>31599.63</v>
      </c>
      <c r="D35" s="10">
        <v>265</v>
      </c>
    </row>
    <row r="36" spans="1:4" x14ac:dyDescent="0.35">
      <c r="A36" s="9" t="s">
        <v>31</v>
      </c>
      <c r="B36" s="4">
        <v>50792.03</v>
      </c>
      <c r="C36" s="4">
        <v>36382.329999999994</v>
      </c>
      <c r="D36" s="10">
        <v>228</v>
      </c>
    </row>
    <row r="37" spans="1:4" x14ac:dyDescent="0.35">
      <c r="A37" s="9" t="s">
        <v>6</v>
      </c>
      <c r="B37" s="4">
        <v>60329.259999999995</v>
      </c>
      <c r="C37" s="4">
        <v>41536.519999999975</v>
      </c>
      <c r="D37" s="10">
        <v>392</v>
      </c>
    </row>
    <row r="38" spans="1:4" x14ac:dyDescent="0.35">
      <c r="A38" s="9" t="s">
        <v>55</v>
      </c>
      <c r="B38" s="4">
        <v>64880.75</v>
      </c>
      <c r="C38" s="4">
        <v>44963.369999999988</v>
      </c>
      <c r="D38" s="10">
        <v>354</v>
      </c>
    </row>
    <row r="39" spans="1:4" x14ac:dyDescent="0.35">
      <c r="A39" s="9" t="s">
        <v>46</v>
      </c>
      <c r="B39" s="4">
        <v>55518.020000000004</v>
      </c>
      <c r="C39" s="4">
        <v>36385.929999999986</v>
      </c>
      <c r="D39" s="10">
        <v>306</v>
      </c>
    </row>
    <row r="40" spans="1:4" x14ac:dyDescent="0.35">
      <c r="A40" s="9" t="s">
        <v>15</v>
      </c>
      <c r="B40" s="4">
        <v>32330.740000000009</v>
      </c>
      <c r="C40" s="4">
        <v>22095.710000000003</v>
      </c>
      <c r="D40" s="10">
        <v>211</v>
      </c>
    </row>
    <row r="41" spans="1:4" x14ac:dyDescent="0.35">
      <c r="A41" s="9" t="s">
        <v>656</v>
      </c>
      <c r="B41" s="4">
        <v>550147.63</v>
      </c>
      <c r="C41" s="4">
        <v>379465.75999999995</v>
      </c>
      <c r="D41" s="10">
        <v>3299</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E79D6-2BD7-4650-BB14-FFFEDE127D71}">
  <dimension ref="I1:J1"/>
  <sheetViews>
    <sheetView showGridLines="0" showRowColHeaders="0" workbookViewId="0">
      <selection activeCell="H19" sqref="H19"/>
    </sheetView>
  </sheetViews>
  <sheetFormatPr defaultRowHeight="14.5" x14ac:dyDescent="0.35"/>
  <cols>
    <col min="1" max="8" width="8.7265625" style="11"/>
    <col min="9" max="10" width="29.08984375" style="11" bestFit="1" customWidth="1"/>
    <col min="11" max="16384" width="8.7265625" style="11"/>
  </cols>
  <sheetData>
    <row r="1" spans="9:10" ht="21" x14ac:dyDescent="0.35">
      <c r="I1" s="13" t="s">
        <v>673</v>
      </c>
      <c r="J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Cleaned Data</vt:lpstr>
      <vt:lpstr>Pivot Tables</vt:lpstr>
      <vt:lpstr>E-Commerce Sales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Vishnu</dc:creator>
  <cp:lastModifiedBy>Vishnu</cp:lastModifiedBy>
  <dcterms:created xsi:type="dcterms:W3CDTF">2026-09-04T03:46:47Z</dcterms:created>
  <dcterms:modified xsi:type="dcterms:W3CDTF">2026-09-04T09:30:40Z</dcterms:modified>
</cp:coreProperties>
</file>