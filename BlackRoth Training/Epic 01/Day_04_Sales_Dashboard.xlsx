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IT Computers\Documents\"/>
    </mc:Choice>
  </mc:AlternateContent>
  <xr:revisionPtr revIDLastSave="0" documentId="13_ncr:1_{A778F864-5658-47C3-9F23-F43F53273E87}" xr6:coauthVersionLast="47" xr6:coauthVersionMax="47" xr10:uidLastSave="{00000000-0000-0000-0000-000000000000}"/>
  <bookViews>
    <workbookView xWindow="-110" yWindow="-110" windowWidth="19420" windowHeight="10300" xr2:uid="{0D89F505-2DE8-4CC0-A5E5-AC150CB5BB42}"/>
  </bookViews>
  <sheets>
    <sheet name="Cleaned Data" sheetId="1" r:id="rId1"/>
    <sheet name="Pivot Tables" sheetId="2" r:id="rId2"/>
    <sheet name="Dashboard" sheetId="3" r:id="rId3"/>
  </sheets>
  <definedNames>
    <definedName name="Slicer_Category">#N/A</definedName>
    <definedName name="Slicer_Product">#N/A</definedName>
    <definedName name="Slicer_Region">#N/A</definedName>
  </definedNames>
  <calcPr calcId="191029"/>
  <pivotCaches>
    <pivotCache cacheId="5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3" l="1"/>
  <c r="M3" i="3"/>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J3" i="3" l="1"/>
  <c r="D3" i="3"/>
</calcChain>
</file>

<file path=xl/sharedStrings.xml><?xml version="1.0" encoding="utf-8"?>
<sst xmlns="http://schemas.openxmlformats.org/spreadsheetml/2006/main" count="683" uniqueCount="186">
  <si>
    <t>Order ID</t>
  </si>
  <si>
    <t>Order Date</t>
  </si>
  <si>
    <t>Customer Name</t>
  </si>
  <si>
    <t>Product</t>
  </si>
  <si>
    <t>Category</t>
  </si>
  <si>
    <t>Region</t>
  </si>
  <si>
    <t>Quantity</t>
  </si>
  <si>
    <t>Unit Price</t>
  </si>
  <si>
    <t>Revenue</t>
  </si>
  <si>
    <t>ORD0033</t>
  </si>
  <si>
    <t>Meena Joshi</t>
  </si>
  <si>
    <t>Laptop</t>
  </si>
  <si>
    <t>Electronics</t>
  </si>
  <si>
    <t>North</t>
  </si>
  <si>
    <t>ORD0092</t>
  </si>
  <si>
    <t>Sneha Patel</t>
  </si>
  <si>
    <t>West</t>
  </si>
  <si>
    <t>ORD0071</t>
  </si>
  <si>
    <t>Manoj Reddy</t>
  </si>
  <si>
    <t>East</t>
  </si>
  <si>
    <t>ORD0065</t>
  </si>
  <si>
    <t>Divya Menon</t>
  </si>
  <si>
    <t>South</t>
  </si>
  <si>
    <t>ORD0066</t>
  </si>
  <si>
    <t>Priya Reddy</t>
  </si>
  <si>
    <t>ORD0111</t>
  </si>
  <si>
    <t>ORD0048</t>
  </si>
  <si>
    <t>Kavya Rao</t>
  </si>
  <si>
    <t>Central</t>
  </si>
  <si>
    <t>ORD0051</t>
  </si>
  <si>
    <t>Smartphone</t>
  </si>
  <si>
    <t>ORD0035</t>
  </si>
  <si>
    <t>ORD0002</t>
  </si>
  <si>
    <t>ORD0050</t>
  </si>
  <si>
    <t>ORD0028</t>
  </si>
  <si>
    <t>Swathi Das</t>
  </si>
  <si>
    <t>ORD0052</t>
  </si>
  <si>
    <t>Ravi Kumar</t>
  </si>
  <si>
    <t>ORD0005</t>
  </si>
  <si>
    <t>Rohit Verma</t>
  </si>
  <si>
    <t>ORD0045</t>
  </si>
  <si>
    <t>ORD0008</t>
  </si>
  <si>
    <t>Lakshmi Devi</t>
  </si>
  <si>
    <t>ORD0041</t>
  </si>
  <si>
    <t>Ananya Rao</t>
  </si>
  <si>
    <t>Monitor</t>
  </si>
  <si>
    <t>ORD0004</t>
  </si>
  <si>
    <t>Nikhil Jain</t>
  </si>
  <si>
    <t>ORD0094</t>
  </si>
  <si>
    <t>Desk</t>
  </si>
  <si>
    <t>Furniture</t>
  </si>
  <si>
    <t>ORD0082</t>
  </si>
  <si>
    <t>ORD0107</t>
  </si>
  <si>
    <t>Printer</t>
  </si>
  <si>
    <t>ORD0010</t>
  </si>
  <si>
    <t>ORD0075</t>
  </si>
  <si>
    <t>ORD0016</t>
  </si>
  <si>
    <t>ORD0101</t>
  </si>
  <si>
    <t>ORD0087</t>
  </si>
  <si>
    <t>Kiran Das</t>
  </si>
  <si>
    <t>ORD0104</t>
  </si>
  <si>
    <t>ORD0058</t>
  </si>
  <si>
    <t>ORD0059</t>
  </si>
  <si>
    <t>ORD0003</t>
  </si>
  <si>
    <t>Rahul Sharma</t>
  </si>
  <si>
    <t>ORD0030</t>
  </si>
  <si>
    <t>ORD0088</t>
  </si>
  <si>
    <t>ORD0018</t>
  </si>
  <si>
    <t>Pooja Iyer</t>
  </si>
  <si>
    <t>ORD0089</t>
  </si>
  <si>
    <t>ORD0102</t>
  </si>
  <si>
    <t>ORD0085</t>
  </si>
  <si>
    <t>ORD0077</t>
  </si>
  <si>
    <t>Amit Shah</t>
  </si>
  <si>
    <t>Office Chair</t>
  </si>
  <si>
    <t>ORD0090</t>
  </si>
  <si>
    <t>ORD0097</t>
  </si>
  <si>
    <t>Neha Gupta</t>
  </si>
  <si>
    <t>ORD0057</t>
  </si>
  <si>
    <t>ORD0070</t>
  </si>
  <si>
    <t>ORD0006</t>
  </si>
  <si>
    <t>ORD0078</t>
  </si>
  <si>
    <t>ORD0116</t>
  </si>
  <si>
    <t>Arjun Kumar</t>
  </si>
  <si>
    <t>ORD0083</t>
  </si>
  <si>
    <t>ORD0109</t>
  </si>
  <si>
    <t>ORD0021</t>
  </si>
  <si>
    <t>ORD0103</t>
  </si>
  <si>
    <t>ORD0100</t>
  </si>
  <si>
    <t>ORD0112</t>
  </si>
  <si>
    <t>Vikram Singh</t>
  </si>
  <si>
    <t>ORD0067</t>
  </si>
  <si>
    <t>ORD0064</t>
  </si>
  <si>
    <t>ORD0044</t>
  </si>
  <si>
    <t>ORD0001</t>
  </si>
  <si>
    <t>ORD0038</t>
  </si>
  <si>
    <t>ORD0043</t>
  </si>
  <si>
    <t>ORD0013</t>
  </si>
  <si>
    <t>ORD0055</t>
  </si>
  <si>
    <t>ORD0110</t>
  </si>
  <si>
    <t>ORD0040</t>
  </si>
  <si>
    <t>ORD0034</t>
  </si>
  <si>
    <t>ORD0105</t>
  </si>
  <si>
    <t>ORD0106</t>
  </si>
  <si>
    <t>ORD0120</t>
  </si>
  <si>
    <t>ORD0068</t>
  </si>
  <si>
    <t>ORD0042</t>
  </si>
  <si>
    <t>ORD0037</t>
  </si>
  <si>
    <t>ORD0081</t>
  </si>
  <si>
    <t>ORD0009</t>
  </si>
  <si>
    <t>ORD0012</t>
  </si>
  <si>
    <t>ORD0062</t>
  </si>
  <si>
    <t>ORD0108</t>
  </si>
  <si>
    <t>Suresh Nair</t>
  </si>
  <si>
    <t>ORD0054</t>
  </si>
  <si>
    <t>ORD0091</t>
  </si>
  <si>
    <t>ORD0117</t>
  </si>
  <si>
    <t>ORD0019</t>
  </si>
  <si>
    <t>Headphones</t>
  </si>
  <si>
    <t>ORD0039</t>
  </si>
  <si>
    <t>ORD0118</t>
  </si>
  <si>
    <t>ORD0029</t>
  </si>
  <si>
    <t>ORD0113</t>
  </si>
  <si>
    <t>ORD0025</t>
  </si>
  <si>
    <t>Backpack</t>
  </si>
  <si>
    <t>Accessories</t>
  </si>
  <si>
    <t>ORD0093</t>
  </si>
  <si>
    <t>ORD0063</t>
  </si>
  <si>
    <t>ORD0095</t>
  </si>
  <si>
    <t>ORD0024</t>
  </si>
  <si>
    <t>Keyboard</t>
  </si>
  <si>
    <t>ORD0074</t>
  </si>
  <si>
    <t>ORD0061</t>
  </si>
  <si>
    <t>ORD0032</t>
  </si>
  <si>
    <t>ORD0069</t>
  </si>
  <si>
    <t>ORD0031</t>
  </si>
  <si>
    <t>ORD0046</t>
  </si>
  <si>
    <t>ORD0060</t>
  </si>
  <si>
    <t>ORD0119</t>
  </si>
  <si>
    <t>ORD0020</t>
  </si>
  <si>
    <t>ORD0098</t>
  </si>
  <si>
    <t>ORD0114</t>
  </si>
  <si>
    <t>ORD0099</t>
  </si>
  <si>
    <t>ORD0047</t>
  </si>
  <si>
    <t>ORD0036</t>
  </si>
  <si>
    <t>ORD0056</t>
  </si>
  <si>
    <t>ORD0007</t>
  </si>
  <si>
    <t>Mouse</t>
  </si>
  <si>
    <t>ORD0079</t>
  </si>
  <si>
    <t>ORD0049</t>
  </si>
  <si>
    <t>ORD0096</t>
  </si>
  <si>
    <t>ORD0053</t>
  </si>
  <si>
    <t>ORD0084</t>
  </si>
  <si>
    <t>ORD0017</t>
  </si>
  <si>
    <t>ORD0072</t>
  </si>
  <si>
    <t>ORD0073</t>
  </si>
  <si>
    <t>ORD0027</t>
  </si>
  <si>
    <t>ORD0086</t>
  </si>
  <si>
    <t>ORD0022</t>
  </si>
  <si>
    <t>ORD0026</t>
  </si>
  <si>
    <t>ORD0115</t>
  </si>
  <si>
    <t>ORD0011</t>
  </si>
  <si>
    <t>ORD0015</t>
  </si>
  <si>
    <t>ORD0076</t>
  </si>
  <si>
    <t>ORD0080</t>
  </si>
  <si>
    <t>ORD0023</t>
  </si>
  <si>
    <t>ORD0014</t>
  </si>
  <si>
    <t>Sum of Revenue</t>
  </si>
  <si>
    <t>Grand Total</t>
  </si>
  <si>
    <t>Sum of Quantity</t>
  </si>
  <si>
    <t>Jan</t>
  </si>
  <si>
    <t>Feb</t>
  </si>
  <si>
    <t>Mar</t>
  </si>
  <si>
    <t>Apr</t>
  </si>
  <si>
    <t>May</t>
  </si>
  <si>
    <t>Jun</t>
  </si>
  <si>
    <t>Jul</t>
  </si>
  <si>
    <t>Aug</t>
  </si>
  <si>
    <t>Months</t>
  </si>
  <si>
    <t>Profit</t>
  </si>
  <si>
    <t>Cost</t>
  </si>
  <si>
    <t xml:space="preserve">        Total Orders</t>
  </si>
  <si>
    <t xml:space="preserve">          Total Quantity</t>
  </si>
  <si>
    <r>
      <t xml:space="preserve">          </t>
    </r>
    <r>
      <rPr>
        <b/>
        <sz val="14"/>
        <color theme="0"/>
        <rFont val="Calibri"/>
        <family val="2"/>
        <scheme val="minor"/>
      </rPr>
      <t>Sales Analysis Dashboard</t>
    </r>
  </si>
  <si>
    <t xml:space="preserve">  Total Revenue</t>
  </si>
  <si>
    <t xml:space="preserve">             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</si>
</sst>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sz val="11"/>
      <color theme="0"/>
      <name val="Calibri"/>
      <family val="2"/>
      <scheme val="minor"/>
    </font>
    <font>
      <b/>
      <sz val="14"/>
      <name val="Calibri"/>
      <family val="2"/>
      <scheme val="minor"/>
    </font>
    <font>
      <b/>
      <sz val="14"/>
      <color theme="0"/>
      <name val="Calibri"/>
      <family val="2"/>
      <scheme val="minor"/>
    </font>
    <font>
      <sz val="11"/>
      <name val="Calibri"/>
      <family val="2"/>
      <scheme val="minor"/>
    </font>
    <font>
      <b/>
      <sz val="12"/>
      <name val="Calibri"/>
      <family val="2"/>
      <scheme val="minor"/>
    </font>
    <font>
      <b/>
      <sz val="12"/>
      <color theme="0"/>
      <name val="Calibri"/>
      <family val="2"/>
      <scheme val="minor"/>
    </font>
    <font>
      <b/>
      <sz val="10"/>
      <color theme="0"/>
      <name val="Calibri"/>
      <family val="2"/>
      <scheme val="minor"/>
    </font>
  </fonts>
  <fills count="6">
    <fill>
      <patternFill patternType="none"/>
    </fill>
    <fill>
      <patternFill patternType="gray125"/>
    </fill>
    <fill>
      <patternFill patternType="solid">
        <fgColor theme="5"/>
      </patternFill>
    </fill>
    <fill>
      <patternFill patternType="solid">
        <fgColor theme="8"/>
      </patternFill>
    </fill>
    <fill>
      <patternFill patternType="solid">
        <fgColor theme="1"/>
        <bgColor indexed="64"/>
      </patternFill>
    </fill>
    <fill>
      <patternFill patternType="solid">
        <fgColor theme="7"/>
        <bgColor indexed="64"/>
      </patternFill>
    </fill>
  </fills>
  <borders count="1">
    <border>
      <left/>
      <right/>
      <top/>
      <bottom/>
      <diagonal/>
    </border>
  </borders>
  <cellStyleXfs count="3">
    <xf numFmtId="0" fontId="0" fillId="0" borderId="0"/>
    <xf numFmtId="0" fontId="1" fillId="2" borderId="0" applyNumberFormat="0" applyBorder="0" applyAlignment="0" applyProtection="0"/>
    <xf numFmtId="0" fontId="1" fillId="3" borderId="0" applyNumberFormat="0" applyBorder="0" applyAlignment="0" applyProtection="0"/>
  </cellStyleXfs>
  <cellXfs count="11">
    <xf numFmtId="0" fontId="0" fillId="0" borderId="0" xfId="0"/>
    <xf numFmtId="0" fontId="2" fillId="3" borderId="0" xfId="2" applyFont="1"/>
    <xf numFmtId="164" fontId="0" fillId="0" borderId="0" xfId="0" applyNumberFormat="1"/>
    <xf numFmtId="0" fontId="0" fillId="0" borderId="0" xfId="0" pivotButton="1"/>
    <xf numFmtId="0" fontId="0" fillId="0" borderId="0" xfId="0" applyAlignment="1">
      <alignment horizontal="left"/>
    </xf>
    <xf numFmtId="0" fontId="4" fillId="2" borderId="0" xfId="1" applyFont="1"/>
    <xf numFmtId="0" fontId="5" fillId="2" borderId="0" xfId="1" applyFont="1"/>
    <xf numFmtId="0" fontId="0" fillId="4" borderId="0" xfId="0" applyFill="1"/>
    <xf numFmtId="0" fontId="6" fillId="4" borderId="0" xfId="1" applyFont="1" applyFill="1"/>
    <xf numFmtId="0" fontId="7" fillId="4" borderId="0" xfId="1" applyFont="1" applyFill="1"/>
    <xf numFmtId="0" fontId="7" fillId="5" borderId="0" xfId="1" applyFont="1" applyFill="1"/>
  </cellXfs>
  <cellStyles count="3">
    <cellStyle name="Accent2" xfId="1" builtinId="33"/>
    <cellStyle name="Accent5" xfId="2"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Top 5 Products By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Laptop</c:v>
              </c:pt>
              <c:pt idx="1">
                <c:v>Smartphone</c:v>
              </c:pt>
              <c:pt idx="2">
                <c:v>Monitor</c:v>
              </c:pt>
              <c:pt idx="3">
                <c:v>Office Chair</c:v>
              </c:pt>
              <c:pt idx="4">
                <c:v>Printer</c:v>
              </c:pt>
            </c:strLit>
          </c:cat>
          <c:val>
            <c:numLit>
              <c:formatCode>General</c:formatCode>
              <c:ptCount val="5"/>
              <c:pt idx="0">
                <c:v>1714537.95</c:v>
              </c:pt>
              <c:pt idx="1">
                <c:v>1255308.1099999999</c:v>
              </c:pt>
              <c:pt idx="2">
                <c:v>703898.43999999983</c:v>
              </c:pt>
              <c:pt idx="3">
                <c:v>409784.07</c:v>
              </c:pt>
              <c:pt idx="4">
                <c:v>390252.36999999994</c:v>
              </c:pt>
            </c:numLit>
          </c:val>
          <c:extLst>
            <c:ext xmlns:c16="http://schemas.microsoft.com/office/drawing/2014/chart" uri="{C3380CC4-5D6E-409C-BE32-E72D297353CC}">
              <c16:uniqueId val="{00000000-1603-44B5-8AB6-53173540D56D}"/>
            </c:ext>
          </c:extLst>
        </c:ser>
        <c:dLbls>
          <c:showLegendKey val="0"/>
          <c:showVal val="0"/>
          <c:showCatName val="0"/>
          <c:showSerName val="0"/>
          <c:showPercent val="0"/>
          <c:showBubbleSize val="0"/>
        </c:dLbls>
        <c:gapWidth val="100"/>
        <c:overlap val="-24"/>
        <c:axId val="1902663039"/>
        <c:axId val="1562619679"/>
      </c:barChart>
      <c:catAx>
        <c:axId val="1902663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2619679"/>
        <c:crosses val="autoZero"/>
        <c:auto val="1"/>
        <c:lblAlgn val="ctr"/>
        <c:lblOffset val="100"/>
        <c:noMultiLvlLbl val="0"/>
      </c:catAx>
      <c:valAx>
        <c:axId val="15626196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66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[Day_04_Sales_Dashboard.xlsx]Pivot Tables!PivotTable7</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bg1"/>
                </a:solidFill>
              </a:rPr>
              <a:t>Bottom 5 Products By Revenue</a:t>
            </a:r>
          </a:p>
        </c:rich>
      </c:tx>
      <c:layout>
        <c:manualLayout>
          <c:xMode val="edge"/>
          <c:yMode val="edge"/>
          <c:x val="0.27233208265074249"/>
          <c:y val="4.218633254784758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Tables'!$E$12:$E$22</c:f>
              <c:strCache>
                <c:ptCount val="10"/>
                <c:pt idx="0">
                  <c:v>Mouse</c:v>
                </c:pt>
                <c:pt idx="1">
                  <c:v>Backpack</c:v>
                </c:pt>
                <c:pt idx="2">
                  <c:v>Keyboard</c:v>
                </c:pt>
                <c:pt idx="3">
                  <c:v>Headphones</c:v>
                </c:pt>
                <c:pt idx="4">
                  <c:v>Desk</c:v>
                </c:pt>
                <c:pt idx="5">
                  <c:v>Printer</c:v>
                </c:pt>
                <c:pt idx="6">
                  <c:v>Office Chair</c:v>
                </c:pt>
                <c:pt idx="7">
                  <c:v>Monitor</c:v>
                </c:pt>
                <c:pt idx="8">
                  <c:v>Smartphone</c:v>
                </c:pt>
                <c:pt idx="9">
                  <c:v>Laptop</c:v>
                </c:pt>
              </c:strCache>
            </c:strRef>
          </c:cat>
          <c:val>
            <c:numRef>
              <c:f>'Pivot Tables'!$F$12:$F$22</c:f>
              <c:numCache>
                <c:formatCode>General</c:formatCode>
                <c:ptCount val="10"/>
                <c:pt idx="0">
                  <c:v>14150.97</c:v>
                </c:pt>
                <c:pt idx="1">
                  <c:v>64857.489999999991</c:v>
                </c:pt>
                <c:pt idx="2">
                  <c:v>67211.28</c:v>
                </c:pt>
                <c:pt idx="3">
                  <c:v>78691.26999999999</c:v>
                </c:pt>
                <c:pt idx="4">
                  <c:v>355032.58999999997</c:v>
                </c:pt>
                <c:pt idx="5">
                  <c:v>390252.36999999994</c:v>
                </c:pt>
                <c:pt idx="6">
                  <c:v>409784.07</c:v>
                </c:pt>
                <c:pt idx="7">
                  <c:v>703898.43999999983</c:v>
                </c:pt>
                <c:pt idx="8">
                  <c:v>1255308.1099999999</c:v>
                </c:pt>
                <c:pt idx="9">
                  <c:v>1714537.95</c:v>
                </c:pt>
              </c:numCache>
            </c:numRef>
          </c:val>
          <c:extLst>
            <c:ext xmlns:c16="http://schemas.microsoft.com/office/drawing/2014/chart" uri="{C3380CC4-5D6E-409C-BE32-E72D297353CC}">
              <c16:uniqueId val="{00000000-954C-4490-9F15-57C6DFC13C3C}"/>
            </c:ext>
          </c:extLst>
        </c:ser>
        <c:dLbls>
          <c:showLegendKey val="0"/>
          <c:showVal val="0"/>
          <c:showCatName val="0"/>
          <c:showSerName val="0"/>
          <c:showPercent val="0"/>
          <c:showBubbleSize val="0"/>
        </c:dLbls>
        <c:gapWidth val="182"/>
        <c:overlap val="-50"/>
        <c:axId val="1753977487"/>
        <c:axId val="1587103807"/>
      </c:barChart>
      <c:catAx>
        <c:axId val="175397748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7103807"/>
        <c:crosses val="autoZero"/>
        <c:auto val="1"/>
        <c:lblAlgn val="ctr"/>
        <c:lblOffset val="100"/>
        <c:noMultiLvlLbl val="0"/>
      </c:catAx>
      <c:valAx>
        <c:axId val="158710380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397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[Day_04_Sales_Dashboard.xlsx]Pivot Tables!PivotTable1</c:name>
    <c:fmtId val="7"/>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Revenue By Region</a:t>
            </a:r>
          </a:p>
        </c:rich>
      </c:tx>
      <c:layout>
        <c:manualLayout>
          <c:xMode val="edge"/>
          <c:yMode val="edge"/>
          <c:x val="0.3"/>
          <c:y val="4.9666868564506361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Tables'!$A$3:$A$8</c:f>
              <c:strCache>
                <c:ptCount val="5"/>
                <c:pt idx="0">
                  <c:v>East</c:v>
                </c:pt>
                <c:pt idx="1">
                  <c:v>South</c:v>
                </c:pt>
                <c:pt idx="2">
                  <c:v>West</c:v>
                </c:pt>
                <c:pt idx="3">
                  <c:v>North</c:v>
                </c:pt>
                <c:pt idx="4">
                  <c:v>Central</c:v>
                </c:pt>
              </c:strCache>
            </c:strRef>
          </c:cat>
          <c:val>
            <c:numRef>
              <c:f>'Pivot Tables'!$B$3:$B$8</c:f>
              <c:numCache>
                <c:formatCode>General</c:formatCode>
                <c:ptCount val="5"/>
                <c:pt idx="0">
                  <c:v>1177426.33</c:v>
                </c:pt>
                <c:pt idx="1">
                  <c:v>1149852.7399999998</c:v>
                </c:pt>
                <c:pt idx="2">
                  <c:v>968400.48999999987</c:v>
                </c:pt>
                <c:pt idx="3">
                  <c:v>963973.39000000013</c:v>
                </c:pt>
                <c:pt idx="4">
                  <c:v>794071.5900000002</c:v>
                </c:pt>
              </c:numCache>
            </c:numRef>
          </c:val>
          <c:smooth val="0"/>
          <c:extLst>
            <c:ext xmlns:c16="http://schemas.microsoft.com/office/drawing/2014/chart" uri="{C3380CC4-5D6E-409C-BE32-E72D297353CC}">
              <c16:uniqueId val="{00000000-2F16-495A-82E4-A070F2DC4C8D}"/>
            </c:ext>
          </c:extLst>
        </c:ser>
        <c:dLbls>
          <c:showLegendKey val="0"/>
          <c:showVal val="0"/>
          <c:showCatName val="0"/>
          <c:showSerName val="0"/>
          <c:showPercent val="0"/>
          <c:showBubbleSize val="0"/>
        </c:dLbls>
        <c:marker val="1"/>
        <c:smooth val="0"/>
        <c:axId val="1753979343"/>
        <c:axId val="1631225119"/>
      </c:lineChart>
      <c:catAx>
        <c:axId val="17539793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1225119"/>
        <c:crosses val="autoZero"/>
        <c:auto val="1"/>
        <c:lblAlgn val="ctr"/>
        <c:lblOffset val="100"/>
        <c:noMultiLvlLbl val="0"/>
      </c:catAx>
      <c:valAx>
        <c:axId val="1631225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97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a:t>Monthly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74-421C-AB41-18A40340EC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74-421C-AB41-18A40340EC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74-421C-AB41-18A40340EC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74-421C-AB41-18A40340EC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74-421C-AB41-18A40340EC5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E74-421C-AB41-18A40340EC5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E74-421C-AB41-18A40340EC5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E74-421C-AB41-18A40340EC54}"/>
              </c:ext>
            </c:extLst>
          </c:dPt>
          <c:cat>
            <c:strLit>
              <c:ptCount val="8"/>
              <c:pt idx="0">
                <c:v>Aug</c:v>
              </c:pt>
              <c:pt idx="1">
                <c:v>Apr</c:v>
              </c:pt>
              <c:pt idx="2">
                <c:v>May</c:v>
              </c:pt>
              <c:pt idx="3">
                <c:v>Jul</c:v>
              </c:pt>
              <c:pt idx="4">
                <c:v>Jun</c:v>
              </c:pt>
              <c:pt idx="5">
                <c:v>Mar</c:v>
              </c:pt>
              <c:pt idx="6">
                <c:v>Jan</c:v>
              </c:pt>
              <c:pt idx="7">
                <c:v>Feb</c:v>
              </c:pt>
            </c:strLit>
          </c:cat>
          <c:val>
            <c:numLit>
              <c:formatCode>General</c:formatCode>
              <c:ptCount val="8"/>
              <c:pt idx="0">
                <c:v>982767.24999999988</c:v>
              </c:pt>
              <c:pt idx="1">
                <c:v>933931.21</c:v>
              </c:pt>
              <c:pt idx="2">
                <c:v>835921.54000000039</c:v>
              </c:pt>
              <c:pt idx="3">
                <c:v>602442.51</c:v>
              </c:pt>
              <c:pt idx="4">
                <c:v>543623.92999999993</c:v>
              </c:pt>
              <c:pt idx="5">
                <c:v>448049.98999999993</c:v>
              </c:pt>
              <c:pt idx="6">
                <c:v>358779.64999999997</c:v>
              </c:pt>
              <c:pt idx="7">
                <c:v>348208.46</c:v>
              </c:pt>
            </c:numLit>
          </c:val>
          <c:extLst>
            <c:ext xmlns:c16="http://schemas.microsoft.com/office/drawing/2014/chart" uri="{C3380CC4-5D6E-409C-BE32-E72D297353CC}">
              <c16:uniqueId val="{00000010-BE74-421C-AB41-18A40340EC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400" b="1">
          <a:solidFill>
            <a:schemeClr val="bg1"/>
          </a:solidFill>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419100</xdr:colOff>
      <xdr:row>12</xdr:row>
      <xdr:rowOff>95250</xdr:rowOff>
    </xdr:from>
    <xdr:to>
      <xdr:col>13</xdr:col>
      <xdr:colOff>57150</xdr:colOff>
      <xdr:row>22</xdr:row>
      <xdr:rowOff>12700</xdr:rowOff>
    </xdr:to>
    <xdr:graphicFrame macro="">
      <xdr:nvGraphicFramePr>
        <xdr:cNvPr id="5" name="Chart 4">
          <a:extLst>
            <a:ext uri="{FF2B5EF4-FFF2-40B4-BE49-F238E27FC236}">
              <a16:creationId xmlns:a16="http://schemas.microsoft.com/office/drawing/2014/main" id="{0E12E2BA-978A-4BF9-942F-297D1BF86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527050</xdr:colOff>
      <xdr:row>12</xdr:row>
      <xdr:rowOff>107950</xdr:rowOff>
    </xdr:from>
    <xdr:to>
      <xdr:col>8</xdr:col>
      <xdr:colOff>412750</xdr:colOff>
      <xdr:row>22</xdr:row>
      <xdr:rowOff>6350</xdr:rowOff>
    </xdr:to>
    <xdr:graphicFrame macro="">
      <xdr:nvGraphicFramePr>
        <xdr:cNvPr id="6" name="Chart 5">
          <a:extLst>
            <a:ext uri="{FF2B5EF4-FFF2-40B4-BE49-F238E27FC236}">
              <a16:creationId xmlns:a16="http://schemas.microsoft.com/office/drawing/2014/main" id="{1AE389FE-29F4-4DBD-BE94-6CEEED803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527050</xdr:colOff>
      <xdr:row>3</xdr:row>
      <xdr:rowOff>19050</xdr:rowOff>
    </xdr:from>
    <xdr:to>
      <xdr:col>8</xdr:col>
      <xdr:colOff>431800</xdr:colOff>
      <xdr:row>12</xdr:row>
      <xdr:rowOff>95250</xdr:rowOff>
    </xdr:to>
    <xdr:graphicFrame macro="">
      <xdr:nvGraphicFramePr>
        <xdr:cNvPr id="7" name="Chart 6">
          <a:extLst>
            <a:ext uri="{FF2B5EF4-FFF2-40B4-BE49-F238E27FC236}">
              <a16:creationId xmlns:a16="http://schemas.microsoft.com/office/drawing/2014/main" id="{DA31A708-CA40-47E5-BAE3-E9E3EE299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431800</xdr:colOff>
      <xdr:row>3</xdr:row>
      <xdr:rowOff>0</xdr:rowOff>
    </xdr:from>
    <xdr:to>
      <xdr:col>13</xdr:col>
      <xdr:colOff>69850</xdr:colOff>
      <xdr:row>12</xdr:row>
      <xdr:rowOff>82550</xdr:rowOff>
    </xdr:to>
    <xdr:graphicFrame macro="">
      <xdr:nvGraphicFramePr>
        <xdr:cNvPr id="8" name="Chart 7">
          <a:extLst>
            <a:ext uri="{FF2B5EF4-FFF2-40B4-BE49-F238E27FC236}">
              <a16:creationId xmlns:a16="http://schemas.microsoft.com/office/drawing/2014/main" id="{732BB79C-0899-4804-B495-65FC8A1FC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533400</xdr:colOff>
      <xdr:row>3</xdr:row>
      <xdr:rowOff>114301</xdr:rowOff>
    </xdr:from>
    <xdr:to>
      <xdr:col>5</xdr:col>
      <xdr:colOff>165100</xdr:colOff>
      <xdr:row>12</xdr:row>
      <xdr:rowOff>19051</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612D028A-9ACD-4421-8A59-5A6B01D97C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25650" y="742951"/>
              <a:ext cx="211455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3</xdr:row>
      <xdr:rowOff>12700</xdr:rowOff>
    </xdr:from>
    <xdr:to>
      <xdr:col>2</xdr:col>
      <xdr:colOff>330200</xdr:colOff>
      <xdr:row>21</xdr:row>
      <xdr:rowOff>177800</xdr:rowOff>
    </xdr:to>
    <mc:AlternateContent xmlns:mc="http://schemas.openxmlformats.org/markup-compatibility/2006" xmlns:a14="http://schemas.microsoft.com/office/drawing/2010/main">
      <mc:Choice Requires="a14">
        <xdr:graphicFrame macro="">
          <xdr:nvGraphicFramePr>
            <xdr:cNvPr id="12" name="Product 1">
              <a:extLst>
                <a:ext uri="{FF2B5EF4-FFF2-40B4-BE49-F238E27FC236}">
                  <a16:creationId xmlns:a16="http://schemas.microsoft.com/office/drawing/2014/main" id="{0EE8C6B3-E90B-4744-B37C-0920C0DC200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8100" y="641350"/>
              <a:ext cx="1784350" cy="347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520700</xdr:colOff>
      <xdr:row>12</xdr:row>
      <xdr:rowOff>152401</xdr:rowOff>
    </xdr:from>
    <xdr:to>
      <xdr:col>5</xdr:col>
      <xdr:colOff>165100</xdr:colOff>
      <xdr:row>21</xdr:row>
      <xdr:rowOff>25401</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5C78ACC1-A079-46AF-8D6A-772980FA999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12950" y="2438401"/>
              <a:ext cx="212725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T Computers" refreshedDate="46268.517643981482" createdVersion="8" refreshedVersion="8" minRefreshableVersion="3" recordCount="120" xr:uid="{E87B7FA2-BDE3-4073-AE63-5C248C227A2C}">
  <cacheSource type="worksheet">
    <worksheetSource ref="A1:I121" sheet="Cleaned Data"/>
  </cacheSource>
  <cacheFields count="11">
    <cacheField name="Order ID" numFmtId="0">
      <sharedItems/>
    </cacheField>
    <cacheField name="Order Date" numFmtId="164">
      <sharedItems containsSemiMixedTypes="0" containsNonDate="0" containsDate="1" containsString="0" minDate="2026-01-09T00:00:00" maxDate="2026-08-31T00:00:00" count="92">
        <d v="2026-05-31T00:00:00"/>
        <d v="2026-08-06T00:00:00"/>
        <d v="2026-07-29T00:00:00"/>
        <d v="2026-02-07T00:00:00"/>
        <d v="2026-08-27T00:00:00"/>
        <d v="2026-01-18T00:00:00"/>
        <d v="2026-05-30T00:00:00"/>
        <d v="2026-06-02T00:00:00"/>
        <d v="2026-06-21T00:00:00"/>
        <d v="2026-04-19T00:00:00"/>
        <d v="2026-08-09T00:00:00"/>
        <d v="2026-07-14T00:00:00"/>
        <d v="2026-05-25T00:00:00"/>
        <d v="2026-03-29T00:00:00"/>
        <d v="2026-04-10T00:00:00"/>
        <d v="2026-03-17T00:00:00"/>
        <d v="2026-04-25T00:00:00"/>
        <d v="2026-08-17T00:00:00"/>
        <d v="2026-04-08T00:00:00"/>
        <d v="2026-01-22T00:00:00"/>
        <d v="2026-03-08T00:00:00"/>
        <d v="2026-08-23T00:00:00"/>
        <d v="2026-07-17T00:00:00"/>
        <d v="2026-02-27T00:00:00"/>
        <d v="2026-04-22T00:00:00"/>
        <d v="2026-08-16T00:00:00"/>
        <d v="2026-06-04T00:00:00"/>
        <d v="2026-08-26T00:00:00"/>
        <d v="2026-05-02T00:00:00"/>
        <d v="2026-04-13T00:00:00"/>
        <d v="2026-05-28T00:00:00"/>
        <d v="2026-08-30T00:00:00"/>
        <d v="2026-02-24T00:00:00"/>
        <d v="2026-01-30T00:00:00"/>
        <d v="2026-06-17T00:00:00"/>
        <d v="2026-07-02T00:00:00"/>
        <d v="2026-04-23T00:00:00"/>
        <d v="2026-06-29T00:00:00"/>
        <d v="2026-02-20T00:00:00"/>
        <d v="2026-08-02T00:00:00"/>
        <d v="2026-08-14T00:00:00"/>
        <d v="2026-04-30T00:00:00"/>
        <d v="2026-07-08T00:00:00"/>
        <d v="2026-06-09T00:00:00"/>
        <d v="2026-04-01T00:00:00"/>
        <d v="2026-06-26T00:00:00"/>
        <d v="2026-05-04T00:00:00"/>
        <d v="2026-03-04T00:00:00"/>
        <d v="2026-05-19T00:00:00"/>
        <d v="2026-06-13T00:00:00"/>
        <d v="2026-05-01T00:00:00"/>
        <d v="2026-01-28T00:00:00"/>
        <d v="2026-08-20T00:00:00"/>
        <d v="2026-07-24T00:00:00"/>
        <d v="2026-05-17T00:00:00"/>
        <d v="2026-08-01T00:00:00"/>
        <d v="2026-03-02T00:00:00"/>
        <d v="2026-01-20T00:00:00"/>
        <d v="2026-07-26T00:00:00"/>
        <d v="2026-01-12T00:00:00"/>
        <d v="2026-03-27T00:00:00"/>
        <d v="2026-03-18T00:00:00"/>
        <d v="2026-06-28T00:00:00"/>
        <d v="2026-03-19T00:00:00"/>
        <d v="2026-07-13T00:00:00"/>
        <d v="2026-06-15T00:00:00"/>
        <d v="2026-04-20T00:00:00"/>
        <d v="2026-02-12T00:00:00"/>
        <d v="2026-04-06T00:00:00"/>
        <d v="2026-05-24T00:00:00"/>
        <d v="2026-07-10T00:00:00"/>
        <d v="2026-05-10T00:00:00"/>
        <d v="2026-08-04T00:00:00"/>
        <d v="2026-08-25T00:00:00"/>
        <d v="2026-06-16T00:00:00"/>
        <d v="2026-07-07T00:00:00"/>
        <d v="2026-02-23T00:00:00"/>
        <d v="2026-04-18T00:00:00"/>
        <d v="2026-06-05T00:00:00"/>
        <d v="2026-02-09T00:00:00"/>
        <d v="2026-01-15T00:00:00"/>
        <d v="2026-02-03T00:00:00"/>
        <d v="2026-05-11T00:00:00"/>
        <d v="2026-03-12T00:00:00"/>
        <d v="2026-03-22T00:00:00"/>
        <d v="2026-05-29T00:00:00"/>
        <d v="2026-06-18T00:00:00"/>
        <d v="2026-03-03T00:00:00"/>
        <d v="2026-06-19T00:00:00"/>
        <d v="2026-05-06T00:00:00"/>
        <d v="2026-02-10T00:00:00"/>
        <d v="2026-01-09T00:00:00"/>
      </sharedItems>
      <fieldGroup par="10"/>
    </cacheField>
    <cacheField name="Customer Name" numFmtId="0">
      <sharedItems/>
    </cacheField>
    <cacheField name="Product" numFmtId="0">
      <sharedItems count="10">
        <s v="Laptop"/>
        <s v="Smartphone"/>
        <s v="Monitor"/>
        <s v="Desk"/>
        <s v="Printer"/>
        <s v="Office Chair"/>
        <s v="Headphones"/>
        <s v="Backpack"/>
        <s v="Keyboard"/>
        <s v="Mouse"/>
      </sharedItems>
    </cacheField>
    <cacheField name="Category" numFmtId="0">
      <sharedItems count="3">
        <s v="Electronics"/>
        <s v="Furniture"/>
        <s v="Accessories"/>
      </sharedItems>
    </cacheField>
    <cacheField name="Region" numFmtId="0">
      <sharedItems count="5">
        <s v="North"/>
        <s v="West"/>
        <s v="East"/>
        <s v="South"/>
        <s v="Central"/>
      </sharedItems>
    </cacheField>
    <cacheField name="Quantity" numFmtId="0">
      <sharedItems containsSemiMixedTypes="0" containsString="0" containsNumber="1" containsInteger="1" minValue="1" maxValue="5"/>
    </cacheField>
    <cacheField name="Unit Price" numFmtId="0">
      <sharedItems containsSemiMixedTypes="0" containsString="0" containsNumber="1" minValue="851.23" maxValue="59147.42"/>
    </cacheField>
    <cacheField name="Revenue" numFmtId="0">
      <sharedItems containsSemiMixedTypes="0" containsString="0" containsNumber="1" minValue="851.23" maxValue="277965.7"/>
    </cacheField>
    <cacheField name="Days (Order Date)" numFmtId="0" databaseField="0">
      <fieldGroup base="1">
        <rangePr groupBy="days" startDate="2026-01-09T00:00:00" endDate="2026-08-31T00:00:00"/>
        <groupItems count="368">
          <s v="&lt;09-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8-2026"/>
        </groupItems>
      </fieldGroup>
    </cacheField>
    <cacheField name="Months (Order Date)" numFmtId="0" databaseField="0">
      <fieldGroup base="1">
        <rangePr groupBy="months" startDate="2026-01-09T00:00:00" endDate="2026-08-31T00:00:00"/>
        <groupItems count="14">
          <s v="&lt;09-01-2026"/>
          <s v="Jan"/>
          <s v="Feb"/>
          <s v="Mar"/>
          <s v="Apr"/>
          <s v="May"/>
          <s v="Jun"/>
          <s v="Jul"/>
          <s v="Aug"/>
          <s v="Sep"/>
          <s v="Oct"/>
          <s v="Nov"/>
          <s v="Dec"/>
          <s v="&gt;31-08-2026"/>
        </groupItems>
      </fieldGroup>
    </cacheField>
  </cacheFields>
  <extLst>
    <ext xmlns:x14="http://schemas.microsoft.com/office/spreadsheetml/2009/9/main" uri="{725AE2AE-9491-48be-B2B4-4EB974FC3084}">
      <x14:pivotCacheDefinition pivotCacheId="1856968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0033"/>
    <x v="0"/>
    <s v="Meena Joshi"/>
    <x v="0"/>
    <x v="0"/>
    <x v="0"/>
    <n v="5"/>
    <n v="55593.14"/>
    <n v="277965.7"/>
  </r>
  <r>
    <s v="ORD0092"/>
    <x v="1"/>
    <s v="Sneha Patel"/>
    <x v="0"/>
    <x v="0"/>
    <x v="1"/>
    <n v="5"/>
    <n v="52241.18"/>
    <n v="261205.9"/>
  </r>
  <r>
    <s v="ORD0071"/>
    <x v="2"/>
    <s v="Manoj Reddy"/>
    <x v="0"/>
    <x v="0"/>
    <x v="2"/>
    <n v="4"/>
    <n v="51946.77"/>
    <n v="207787.08"/>
  </r>
  <r>
    <s v="ORD0065"/>
    <x v="3"/>
    <s v="Divya Menon"/>
    <x v="0"/>
    <x v="0"/>
    <x v="3"/>
    <n v="3"/>
    <n v="55907.61"/>
    <n v="167722.82999999999"/>
  </r>
  <r>
    <s v="ORD0066"/>
    <x v="4"/>
    <s v="Priya Reddy"/>
    <x v="0"/>
    <x v="0"/>
    <x v="2"/>
    <n v="3"/>
    <n v="53511.17"/>
    <n v="160533.51"/>
  </r>
  <r>
    <s v="ORD0111"/>
    <x v="5"/>
    <s v="Priya Reddy"/>
    <x v="0"/>
    <x v="0"/>
    <x v="0"/>
    <n v="3"/>
    <n v="51966.44"/>
    <n v="155899.32"/>
  </r>
  <r>
    <s v="ORD0048"/>
    <x v="6"/>
    <s v="Kavya Rao"/>
    <x v="0"/>
    <x v="0"/>
    <x v="4"/>
    <n v="3"/>
    <n v="50128.82"/>
    <n v="150386.46"/>
  </r>
  <r>
    <s v="ORD0051"/>
    <x v="7"/>
    <s v="Priya Reddy"/>
    <x v="1"/>
    <x v="0"/>
    <x v="4"/>
    <n v="5"/>
    <n v="26578.81"/>
    <n v="132894.04999999999"/>
  </r>
  <r>
    <s v="ORD0035"/>
    <x v="8"/>
    <s v="Kavya Rao"/>
    <x v="1"/>
    <x v="0"/>
    <x v="3"/>
    <n v="5"/>
    <n v="26532.83"/>
    <n v="132664.15"/>
  </r>
  <r>
    <s v="ORD0002"/>
    <x v="9"/>
    <s v="Priya Reddy"/>
    <x v="1"/>
    <x v="0"/>
    <x v="0"/>
    <n v="5"/>
    <n v="25686.86"/>
    <n v="128434.3"/>
  </r>
  <r>
    <s v="ORD0050"/>
    <x v="10"/>
    <s v="Meena Joshi"/>
    <x v="1"/>
    <x v="0"/>
    <x v="1"/>
    <n v="5"/>
    <n v="25580.58"/>
    <n v="127902.9"/>
  </r>
  <r>
    <s v="ORD0028"/>
    <x v="11"/>
    <s v="Swathi Das"/>
    <x v="1"/>
    <x v="0"/>
    <x v="3"/>
    <n v="4"/>
    <n v="29769.73"/>
    <n v="119078.92"/>
  </r>
  <r>
    <s v="ORD0052"/>
    <x v="12"/>
    <s v="Ravi Kumar"/>
    <x v="1"/>
    <x v="0"/>
    <x v="2"/>
    <n v="4"/>
    <n v="28881.29"/>
    <n v="115525.16"/>
  </r>
  <r>
    <s v="ORD0005"/>
    <x v="13"/>
    <s v="Rohit Verma"/>
    <x v="0"/>
    <x v="0"/>
    <x v="3"/>
    <n v="2"/>
    <n v="57179.53"/>
    <n v="114359.06"/>
  </r>
  <r>
    <s v="ORD0045"/>
    <x v="14"/>
    <s v="Rohit Verma"/>
    <x v="0"/>
    <x v="0"/>
    <x v="1"/>
    <n v="2"/>
    <n v="53668.7"/>
    <n v="107337.4"/>
  </r>
  <r>
    <s v="ORD0008"/>
    <x v="15"/>
    <s v="Lakshmi Devi"/>
    <x v="1"/>
    <x v="0"/>
    <x v="2"/>
    <n v="4"/>
    <n v="25641.279999999999"/>
    <n v="102565.12"/>
  </r>
  <r>
    <s v="ORD0041"/>
    <x v="9"/>
    <s v="Ananya Rao"/>
    <x v="2"/>
    <x v="0"/>
    <x v="2"/>
    <n v="5"/>
    <n v="14845.84"/>
    <n v="74229.2"/>
  </r>
  <r>
    <s v="ORD0004"/>
    <x v="16"/>
    <s v="Nikhil Jain"/>
    <x v="2"/>
    <x v="0"/>
    <x v="2"/>
    <n v="5"/>
    <n v="14758.56"/>
    <n v="73792.800000000003"/>
  </r>
  <r>
    <s v="ORD0094"/>
    <x v="17"/>
    <s v="Ravi Kumar"/>
    <x v="3"/>
    <x v="1"/>
    <x v="1"/>
    <n v="5"/>
    <n v="12756.02"/>
    <n v="63780.1"/>
  </r>
  <r>
    <s v="ORD0082"/>
    <x v="18"/>
    <s v="Ananya Rao"/>
    <x v="2"/>
    <x v="0"/>
    <x v="4"/>
    <n v="4"/>
    <n v="15494.79"/>
    <n v="61979.16"/>
  </r>
  <r>
    <s v="ORD0107"/>
    <x v="19"/>
    <s v="Divya Menon"/>
    <x v="4"/>
    <x v="0"/>
    <x v="3"/>
    <n v="5"/>
    <n v="12391.2"/>
    <n v="61956"/>
  </r>
  <r>
    <s v="ORD0010"/>
    <x v="18"/>
    <s v="Rohit Verma"/>
    <x v="1"/>
    <x v="0"/>
    <x v="1"/>
    <n v="2"/>
    <n v="30052.31"/>
    <n v="60104.62"/>
  </r>
  <r>
    <s v="ORD0075"/>
    <x v="20"/>
    <s v="Ananya Rao"/>
    <x v="0"/>
    <x v="0"/>
    <x v="4"/>
    <n v="1"/>
    <n v="59147.42"/>
    <n v="59147.42"/>
  </r>
  <r>
    <s v="ORD0016"/>
    <x v="21"/>
    <s v="Manoj Reddy"/>
    <x v="2"/>
    <x v="0"/>
    <x v="3"/>
    <n v="4"/>
    <n v="14686.9"/>
    <n v="58747.6"/>
  </r>
  <r>
    <s v="ORD0101"/>
    <x v="22"/>
    <s v="Nikhil Jain"/>
    <x v="2"/>
    <x v="0"/>
    <x v="0"/>
    <n v="4"/>
    <n v="14668.43"/>
    <n v="58673.72"/>
  </r>
  <r>
    <s v="ORD0087"/>
    <x v="23"/>
    <s v="Kiran Das"/>
    <x v="1"/>
    <x v="0"/>
    <x v="3"/>
    <n v="2"/>
    <n v="28967.66"/>
    <n v="57935.32"/>
  </r>
  <r>
    <s v="ORD0104"/>
    <x v="24"/>
    <s v="Kavya Rao"/>
    <x v="2"/>
    <x v="0"/>
    <x v="0"/>
    <n v="4"/>
    <n v="14158.26"/>
    <n v="56633.04"/>
  </r>
  <r>
    <s v="ORD0058"/>
    <x v="2"/>
    <s v="Swathi Das"/>
    <x v="4"/>
    <x v="0"/>
    <x v="2"/>
    <n v="5"/>
    <n v="10818.78"/>
    <n v="54093.9"/>
  </r>
  <r>
    <s v="ORD0059"/>
    <x v="25"/>
    <s v="Sneha Patel"/>
    <x v="1"/>
    <x v="0"/>
    <x v="4"/>
    <n v="2"/>
    <n v="26681.01"/>
    <n v="53362.02"/>
  </r>
  <r>
    <s v="ORD0003"/>
    <x v="26"/>
    <s v="Rahul Sharma"/>
    <x v="1"/>
    <x v="0"/>
    <x v="4"/>
    <n v="2"/>
    <n v="26502.9"/>
    <n v="53005.8"/>
  </r>
  <r>
    <s v="ORD0030"/>
    <x v="27"/>
    <s v="Swathi Das"/>
    <x v="4"/>
    <x v="0"/>
    <x v="3"/>
    <n v="4"/>
    <n v="13114.47"/>
    <n v="52457.88"/>
  </r>
  <r>
    <s v="ORD0088"/>
    <x v="28"/>
    <s v="Lakshmi Devi"/>
    <x v="0"/>
    <x v="0"/>
    <x v="0"/>
    <n v="1"/>
    <n v="52193.27"/>
    <n v="52193.27"/>
  </r>
  <r>
    <s v="ORD0018"/>
    <x v="29"/>
    <s v="Pooja Iyer"/>
    <x v="4"/>
    <x v="0"/>
    <x v="3"/>
    <n v="4"/>
    <n v="12954.77"/>
    <n v="51819.08"/>
  </r>
  <r>
    <s v="ORD0089"/>
    <x v="30"/>
    <s v="Kiran Das"/>
    <x v="3"/>
    <x v="1"/>
    <x v="1"/>
    <n v="4"/>
    <n v="12926.73"/>
    <n v="51706.92"/>
  </r>
  <r>
    <s v="ORD0102"/>
    <x v="31"/>
    <s v="Pooja Iyer"/>
    <x v="4"/>
    <x v="0"/>
    <x v="2"/>
    <n v="4"/>
    <n v="11944.75"/>
    <n v="47779"/>
  </r>
  <r>
    <s v="ORD0085"/>
    <x v="32"/>
    <s v="Ravi Kumar"/>
    <x v="3"/>
    <x v="1"/>
    <x v="1"/>
    <n v="4"/>
    <n v="11861.18"/>
    <n v="47444.72"/>
  </r>
  <r>
    <s v="ORD0077"/>
    <x v="33"/>
    <s v="Amit Shah"/>
    <x v="5"/>
    <x v="1"/>
    <x v="4"/>
    <n v="5"/>
    <n v="9323.2000000000007"/>
    <n v="46616"/>
  </r>
  <r>
    <s v="ORD0090"/>
    <x v="34"/>
    <s v="Rahul Sharma"/>
    <x v="3"/>
    <x v="1"/>
    <x v="0"/>
    <n v="4"/>
    <n v="11385.56"/>
    <n v="45542.239999999998"/>
  </r>
  <r>
    <s v="ORD0097"/>
    <x v="35"/>
    <s v="Neha Gupta"/>
    <x v="2"/>
    <x v="0"/>
    <x v="3"/>
    <n v="3"/>
    <n v="14819.62"/>
    <n v="44458.86"/>
  </r>
  <r>
    <s v="ORD0057"/>
    <x v="36"/>
    <s v="Swathi Das"/>
    <x v="2"/>
    <x v="0"/>
    <x v="2"/>
    <n v="3"/>
    <n v="14354.96"/>
    <n v="43064.88"/>
  </r>
  <r>
    <s v="ORD0070"/>
    <x v="37"/>
    <s v="Sneha Patel"/>
    <x v="2"/>
    <x v="0"/>
    <x v="1"/>
    <n v="3"/>
    <n v="13977.59"/>
    <n v="41932.769999999997"/>
  </r>
  <r>
    <s v="ORD0006"/>
    <x v="18"/>
    <s v="Sneha Patel"/>
    <x v="2"/>
    <x v="0"/>
    <x v="2"/>
    <n v="3"/>
    <n v="13806.63"/>
    <n v="41419.89"/>
  </r>
  <r>
    <s v="ORD0078"/>
    <x v="24"/>
    <s v="Rahul Sharma"/>
    <x v="2"/>
    <x v="0"/>
    <x v="4"/>
    <n v="3"/>
    <n v="13633.16"/>
    <n v="40899.480000000003"/>
  </r>
  <r>
    <s v="ORD0116"/>
    <x v="38"/>
    <s v="Arjun Kumar"/>
    <x v="5"/>
    <x v="1"/>
    <x v="4"/>
    <n v="4"/>
    <n v="9250.5"/>
    <n v="37002"/>
  </r>
  <r>
    <s v="ORD0083"/>
    <x v="39"/>
    <s v="Rahul Sharma"/>
    <x v="4"/>
    <x v="0"/>
    <x v="2"/>
    <n v="3"/>
    <n v="11774.58"/>
    <n v="35323.74"/>
  </r>
  <r>
    <s v="ORD0109"/>
    <x v="40"/>
    <s v="Amit Shah"/>
    <x v="3"/>
    <x v="1"/>
    <x v="2"/>
    <n v="3"/>
    <n v="11610"/>
    <n v="34830"/>
  </r>
  <r>
    <s v="ORD0021"/>
    <x v="41"/>
    <s v="Ravi Kumar"/>
    <x v="5"/>
    <x v="1"/>
    <x v="2"/>
    <n v="4"/>
    <n v="8663.01"/>
    <n v="34652.04"/>
  </r>
  <r>
    <s v="ORD0103"/>
    <x v="42"/>
    <s v="Swathi Das"/>
    <x v="5"/>
    <x v="1"/>
    <x v="4"/>
    <n v="4"/>
    <n v="8564.9699999999993"/>
    <n v="34259.879999999997"/>
  </r>
  <r>
    <s v="ORD0100"/>
    <x v="41"/>
    <s v="Divya Menon"/>
    <x v="5"/>
    <x v="1"/>
    <x v="0"/>
    <n v="4"/>
    <n v="8212.5"/>
    <n v="32850"/>
  </r>
  <r>
    <s v="ORD0112"/>
    <x v="43"/>
    <s v="Vikram Singh"/>
    <x v="2"/>
    <x v="0"/>
    <x v="3"/>
    <n v="2"/>
    <n v="16017.69"/>
    <n v="32035.38"/>
  </r>
  <r>
    <s v="ORD0067"/>
    <x v="44"/>
    <s v="Swathi Das"/>
    <x v="2"/>
    <x v="0"/>
    <x v="1"/>
    <n v="2"/>
    <n v="15500.8"/>
    <n v="31001.599999999999"/>
  </r>
  <r>
    <s v="ORD0064"/>
    <x v="45"/>
    <s v="Vikram Singh"/>
    <x v="1"/>
    <x v="0"/>
    <x v="4"/>
    <n v="1"/>
    <n v="30492.29"/>
    <n v="30492.29"/>
  </r>
  <r>
    <s v="ORD0044"/>
    <x v="46"/>
    <s v="Kiran Das"/>
    <x v="2"/>
    <x v="0"/>
    <x v="1"/>
    <n v="2"/>
    <n v="14719.24"/>
    <n v="29438.48"/>
  </r>
  <r>
    <s v="ORD0001"/>
    <x v="47"/>
    <s v="Meena Joshi"/>
    <x v="1"/>
    <x v="0"/>
    <x v="3"/>
    <n v="1"/>
    <n v="29352.68"/>
    <n v="29352.68"/>
  </r>
  <r>
    <s v="ORD0038"/>
    <x v="44"/>
    <s v="Divya Menon"/>
    <x v="1"/>
    <x v="0"/>
    <x v="1"/>
    <n v="1"/>
    <n v="28890.3"/>
    <n v="28890.3"/>
  </r>
  <r>
    <s v="ORD0043"/>
    <x v="48"/>
    <s v="Rahul Sharma"/>
    <x v="1"/>
    <x v="0"/>
    <x v="0"/>
    <n v="1"/>
    <n v="28852.01"/>
    <n v="28852.01"/>
  </r>
  <r>
    <s v="ORD0013"/>
    <x v="49"/>
    <s v="Swathi Das"/>
    <x v="5"/>
    <x v="1"/>
    <x v="3"/>
    <n v="3"/>
    <n v="9332.19"/>
    <n v="27996.57"/>
  </r>
  <r>
    <s v="ORD0055"/>
    <x v="12"/>
    <s v="Sneha Patel"/>
    <x v="1"/>
    <x v="0"/>
    <x v="0"/>
    <n v="1"/>
    <n v="27766.400000000001"/>
    <n v="27766.400000000001"/>
  </r>
  <r>
    <s v="ORD0110"/>
    <x v="50"/>
    <s v="Rahul Sharma"/>
    <x v="5"/>
    <x v="1"/>
    <x v="4"/>
    <n v="3"/>
    <n v="9069.35"/>
    <n v="27208.05"/>
  </r>
  <r>
    <s v="ORD0040"/>
    <x v="51"/>
    <s v="Meena Joshi"/>
    <x v="5"/>
    <x v="1"/>
    <x v="3"/>
    <n v="3"/>
    <n v="9011.01"/>
    <n v="27033.03"/>
  </r>
  <r>
    <s v="ORD0034"/>
    <x v="52"/>
    <s v="Priya Reddy"/>
    <x v="1"/>
    <x v="0"/>
    <x v="2"/>
    <n v="1"/>
    <n v="26482.07"/>
    <n v="26482.07"/>
  </r>
  <r>
    <s v="ORD0105"/>
    <x v="53"/>
    <s v="Amit Shah"/>
    <x v="5"/>
    <x v="1"/>
    <x v="3"/>
    <n v="3"/>
    <n v="8787.09"/>
    <n v="26361.27"/>
  </r>
  <r>
    <s v="ORD0106"/>
    <x v="54"/>
    <s v="Rahul Sharma"/>
    <x v="3"/>
    <x v="1"/>
    <x v="1"/>
    <n v="2"/>
    <n v="13153.73"/>
    <n v="26307.46"/>
  </r>
  <r>
    <s v="ORD0120"/>
    <x v="55"/>
    <s v="Manoj Reddy"/>
    <x v="5"/>
    <x v="1"/>
    <x v="3"/>
    <n v="3"/>
    <n v="8730.49"/>
    <n v="26191.47"/>
  </r>
  <r>
    <s v="ORD0068"/>
    <x v="56"/>
    <s v="Ananya Rao"/>
    <x v="4"/>
    <x v="0"/>
    <x v="3"/>
    <n v="2"/>
    <n v="13021.83"/>
    <n v="26043.66"/>
  </r>
  <r>
    <s v="ORD0042"/>
    <x v="57"/>
    <s v="Manoj Reddy"/>
    <x v="3"/>
    <x v="1"/>
    <x v="4"/>
    <n v="2"/>
    <n v="12898.77"/>
    <n v="25797.54"/>
  </r>
  <r>
    <s v="ORD0037"/>
    <x v="58"/>
    <s v="Divya Menon"/>
    <x v="3"/>
    <x v="1"/>
    <x v="3"/>
    <n v="2"/>
    <n v="12683.09"/>
    <n v="25366.18"/>
  </r>
  <r>
    <s v="ORD0081"/>
    <x v="15"/>
    <s v="Swathi Das"/>
    <x v="5"/>
    <x v="1"/>
    <x v="3"/>
    <n v="3"/>
    <n v="8334.08"/>
    <n v="25002.240000000002"/>
  </r>
  <r>
    <s v="ORD0009"/>
    <x v="59"/>
    <s v="Meena Joshi"/>
    <x v="4"/>
    <x v="0"/>
    <x v="2"/>
    <n v="2"/>
    <n v="12490.97"/>
    <n v="24981.94"/>
  </r>
  <r>
    <s v="ORD0012"/>
    <x v="47"/>
    <s v="Ananya Rao"/>
    <x v="4"/>
    <x v="0"/>
    <x v="1"/>
    <n v="2"/>
    <n v="12081.94"/>
    <n v="24163.88"/>
  </r>
  <r>
    <s v="ORD0062"/>
    <x v="60"/>
    <s v="Vikram Singh"/>
    <x v="5"/>
    <x v="1"/>
    <x v="2"/>
    <n v="3"/>
    <n v="7724.95"/>
    <n v="23174.85"/>
  </r>
  <r>
    <s v="ORD0108"/>
    <x v="18"/>
    <s v="Suresh Nair"/>
    <x v="3"/>
    <x v="1"/>
    <x v="3"/>
    <n v="2"/>
    <n v="10920.68"/>
    <n v="21841.360000000001"/>
  </r>
  <r>
    <s v="ORD0054"/>
    <x v="61"/>
    <s v="Manoj Reddy"/>
    <x v="5"/>
    <x v="1"/>
    <x v="2"/>
    <n v="2"/>
    <n v="8791.8700000000008"/>
    <n v="17583.740000000002"/>
  </r>
  <r>
    <s v="ORD0091"/>
    <x v="62"/>
    <s v="Ravi Kumar"/>
    <x v="5"/>
    <x v="1"/>
    <x v="1"/>
    <n v="2"/>
    <n v="7949.01"/>
    <n v="15898.02"/>
  </r>
  <r>
    <s v="ORD0117"/>
    <x v="63"/>
    <s v="Lakshmi Devi"/>
    <x v="2"/>
    <x v="0"/>
    <x v="0"/>
    <n v="1"/>
    <n v="15591.58"/>
    <n v="15591.58"/>
  </r>
  <r>
    <s v="ORD0019"/>
    <x v="64"/>
    <s v="Priya Reddy"/>
    <x v="6"/>
    <x v="0"/>
    <x v="0"/>
    <n v="5"/>
    <n v="2496.7600000000002"/>
    <n v="12483.8"/>
  </r>
  <r>
    <s v="ORD0039"/>
    <x v="65"/>
    <s v="Sneha Patel"/>
    <x v="3"/>
    <x v="1"/>
    <x v="0"/>
    <n v="1"/>
    <n v="12416.07"/>
    <n v="12416.07"/>
  </r>
  <r>
    <s v="ORD0118"/>
    <x v="66"/>
    <s v="Pooja Iyer"/>
    <x v="4"/>
    <x v="0"/>
    <x v="0"/>
    <n v="1"/>
    <n v="11633.29"/>
    <n v="11633.29"/>
  </r>
  <r>
    <s v="ORD0029"/>
    <x v="67"/>
    <s v="Rohit Verma"/>
    <x v="6"/>
    <x v="0"/>
    <x v="4"/>
    <n v="4"/>
    <n v="2723.42"/>
    <n v="10893.68"/>
  </r>
  <r>
    <s v="ORD0113"/>
    <x v="12"/>
    <s v="Kiran Das"/>
    <x v="6"/>
    <x v="0"/>
    <x v="1"/>
    <n v="4"/>
    <n v="2584.73"/>
    <n v="10338.92"/>
  </r>
  <r>
    <s v="ORD0025"/>
    <x v="68"/>
    <s v="Ananya Rao"/>
    <x v="7"/>
    <x v="2"/>
    <x v="4"/>
    <n v="5"/>
    <n v="2067.52"/>
    <n v="10337.6"/>
  </r>
  <r>
    <s v="ORD0093"/>
    <x v="69"/>
    <s v="Lakshmi Devi"/>
    <x v="6"/>
    <x v="0"/>
    <x v="2"/>
    <n v="4"/>
    <n v="2583.79"/>
    <n v="10335.16"/>
  </r>
  <r>
    <s v="ORD0063"/>
    <x v="66"/>
    <s v="Swathi Das"/>
    <x v="6"/>
    <x v="0"/>
    <x v="0"/>
    <n v="4"/>
    <n v="2525.84"/>
    <n v="10103.36"/>
  </r>
  <r>
    <s v="ORD0095"/>
    <x v="70"/>
    <s v="Kavya Rao"/>
    <x v="7"/>
    <x v="2"/>
    <x v="1"/>
    <n v="4"/>
    <n v="2374.77"/>
    <n v="9499.08"/>
  </r>
  <r>
    <s v="ORD0024"/>
    <x v="71"/>
    <s v="Sneha Patel"/>
    <x v="8"/>
    <x v="2"/>
    <x v="2"/>
    <n v="5"/>
    <n v="1894.31"/>
    <n v="9471.5499999999993"/>
  </r>
  <r>
    <s v="ORD0074"/>
    <x v="72"/>
    <s v="Swathi Das"/>
    <x v="7"/>
    <x v="2"/>
    <x v="2"/>
    <n v="4"/>
    <n v="2278.9899999999998"/>
    <n v="9115.9599999999991"/>
  </r>
  <r>
    <s v="ORD0061"/>
    <x v="52"/>
    <s v="Priya Reddy"/>
    <x v="8"/>
    <x v="2"/>
    <x v="0"/>
    <n v="5"/>
    <n v="1795.87"/>
    <n v="8979.35"/>
  </r>
  <r>
    <s v="ORD0032"/>
    <x v="23"/>
    <s v="Arjun Kumar"/>
    <x v="7"/>
    <x v="2"/>
    <x v="2"/>
    <n v="4"/>
    <n v="2033.24"/>
    <n v="8132.96"/>
  </r>
  <r>
    <s v="ORD0069"/>
    <x v="73"/>
    <s v="Suresh Nair"/>
    <x v="5"/>
    <x v="1"/>
    <x v="1"/>
    <n v="1"/>
    <n v="7954.91"/>
    <n v="7954.91"/>
  </r>
  <r>
    <s v="ORD0031"/>
    <x v="74"/>
    <s v="Pooja Iyer"/>
    <x v="8"/>
    <x v="2"/>
    <x v="1"/>
    <n v="4"/>
    <n v="1978.25"/>
    <n v="7913"/>
  </r>
  <r>
    <s v="ORD0046"/>
    <x v="75"/>
    <s v="Swathi Das"/>
    <x v="8"/>
    <x v="2"/>
    <x v="1"/>
    <n v="4"/>
    <n v="1870.77"/>
    <n v="7483.08"/>
  </r>
  <r>
    <s v="ORD0060"/>
    <x v="76"/>
    <s v="Suresh Nair"/>
    <x v="6"/>
    <x v="0"/>
    <x v="3"/>
    <n v="3"/>
    <n v="2390.88"/>
    <n v="7172.64"/>
  </r>
  <r>
    <s v="ORD0119"/>
    <x v="77"/>
    <s v="Kavya Rao"/>
    <x v="7"/>
    <x v="2"/>
    <x v="0"/>
    <n v="3"/>
    <n v="1985.57"/>
    <n v="5956.71"/>
  </r>
  <r>
    <s v="ORD0020"/>
    <x v="9"/>
    <s v="Lakshmi Devi"/>
    <x v="6"/>
    <x v="0"/>
    <x v="0"/>
    <n v="2"/>
    <n v="2646.04"/>
    <n v="5292.08"/>
  </r>
  <r>
    <s v="ORD0098"/>
    <x v="48"/>
    <s v="Arjun Kumar"/>
    <x v="8"/>
    <x v="2"/>
    <x v="3"/>
    <n v="3"/>
    <n v="1735.1"/>
    <n v="5205.3"/>
  </r>
  <r>
    <s v="ORD0114"/>
    <x v="78"/>
    <s v="Sneha Patel"/>
    <x v="8"/>
    <x v="2"/>
    <x v="3"/>
    <n v="3"/>
    <n v="1680.4"/>
    <n v="5041.2"/>
  </r>
  <r>
    <s v="ORD0099"/>
    <x v="79"/>
    <s v="Kiran Das"/>
    <x v="6"/>
    <x v="0"/>
    <x v="0"/>
    <n v="2"/>
    <n v="2441.52"/>
    <n v="4883.04"/>
  </r>
  <r>
    <s v="ORD0047"/>
    <x v="80"/>
    <s v="Nikhil Jain"/>
    <x v="6"/>
    <x v="0"/>
    <x v="4"/>
    <n v="2"/>
    <n v="2398.35"/>
    <n v="4796.7"/>
  </r>
  <r>
    <s v="ORD0036"/>
    <x v="40"/>
    <s v="Nikhil Jain"/>
    <x v="7"/>
    <x v="2"/>
    <x v="4"/>
    <n v="2"/>
    <n v="2298.2800000000002"/>
    <n v="4596.5600000000004"/>
  </r>
  <r>
    <s v="ORD0056"/>
    <x v="81"/>
    <s v="Pooja Iyer"/>
    <x v="7"/>
    <x v="2"/>
    <x v="0"/>
    <n v="2"/>
    <n v="2202.59"/>
    <n v="4405.18"/>
  </r>
  <r>
    <s v="ORD0007"/>
    <x v="59"/>
    <s v="Manoj Reddy"/>
    <x v="9"/>
    <x v="2"/>
    <x v="4"/>
    <n v="5"/>
    <n v="857.61"/>
    <n v="4288.05"/>
  </r>
  <r>
    <s v="ORD0079"/>
    <x v="5"/>
    <s v="Suresh Nair"/>
    <x v="7"/>
    <x v="2"/>
    <x v="4"/>
    <n v="2"/>
    <n v="2140.2600000000002"/>
    <n v="4280.5200000000004"/>
  </r>
  <r>
    <s v="ORD0049"/>
    <x v="82"/>
    <s v="Arjun Kumar"/>
    <x v="7"/>
    <x v="2"/>
    <x v="3"/>
    <n v="2"/>
    <n v="2005.03"/>
    <n v="4010.06"/>
  </r>
  <r>
    <s v="ORD0096"/>
    <x v="83"/>
    <s v="Ravi Kumar"/>
    <x v="8"/>
    <x v="2"/>
    <x v="1"/>
    <n v="2"/>
    <n v="1922.35"/>
    <n v="3844.7"/>
  </r>
  <r>
    <s v="ORD0053"/>
    <x v="84"/>
    <s v="Meena Joshi"/>
    <x v="8"/>
    <x v="2"/>
    <x v="2"/>
    <n v="2"/>
    <n v="1861.1"/>
    <n v="3722.2"/>
  </r>
  <r>
    <s v="ORD0084"/>
    <x v="85"/>
    <s v="Lakshmi Devi"/>
    <x v="8"/>
    <x v="2"/>
    <x v="2"/>
    <n v="2"/>
    <n v="1774.76"/>
    <n v="3549.52"/>
  </r>
  <r>
    <s v="ORD0017"/>
    <x v="69"/>
    <s v="Swathi Das"/>
    <x v="8"/>
    <x v="2"/>
    <x v="2"/>
    <n v="2"/>
    <n v="1708.79"/>
    <n v="3417.58"/>
  </r>
  <r>
    <s v="ORD0072"/>
    <x v="86"/>
    <s v="Kiran Das"/>
    <x v="8"/>
    <x v="2"/>
    <x v="1"/>
    <n v="2"/>
    <n v="1700.25"/>
    <n v="3400.5"/>
  </r>
  <r>
    <s v="ORD0073"/>
    <x v="22"/>
    <s v="Rohit Verma"/>
    <x v="9"/>
    <x v="2"/>
    <x v="2"/>
    <n v="3"/>
    <n v="965.58"/>
    <n v="2896.74"/>
  </r>
  <r>
    <s v="ORD0027"/>
    <x v="87"/>
    <s v="Nikhil Jain"/>
    <x v="9"/>
    <x v="2"/>
    <x v="0"/>
    <n v="3"/>
    <n v="853.1"/>
    <n v="2559.3000000000002"/>
  </r>
  <r>
    <s v="ORD0086"/>
    <x v="88"/>
    <s v="Lakshmi Devi"/>
    <x v="6"/>
    <x v="0"/>
    <x v="2"/>
    <n v="1"/>
    <n v="2391.89"/>
    <n v="2391.89"/>
  </r>
  <r>
    <s v="ORD0022"/>
    <x v="33"/>
    <s v="Swathi Das"/>
    <x v="7"/>
    <x v="2"/>
    <x v="2"/>
    <n v="1"/>
    <n v="2279.3200000000002"/>
    <n v="2279.3200000000002"/>
  </r>
  <r>
    <s v="ORD0026"/>
    <x v="89"/>
    <s v="Rahul Sharma"/>
    <x v="7"/>
    <x v="2"/>
    <x v="0"/>
    <n v="1"/>
    <n v="2243.54"/>
    <n v="2243.54"/>
  </r>
  <r>
    <s v="ORD0115"/>
    <x v="27"/>
    <s v="Neha Gupta"/>
    <x v="8"/>
    <x v="2"/>
    <x v="4"/>
    <n v="1"/>
    <n v="1828.33"/>
    <n v="1828.33"/>
  </r>
  <r>
    <s v="ORD0011"/>
    <x v="76"/>
    <s v="Rohit Verma"/>
    <x v="9"/>
    <x v="2"/>
    <x v="0"/>
    <n v="2"/>
    <n v="876.63"/>
    <n v="1753.26"/>
  </r>
  <r>
    <s v="ORD0015"/>
    <x v="31"/>
    <s v="Nikhil Jain"/>
    <x v="8"/>
    <x v="2"/>
    <x v="2"/>
    <n v="1"/>
    <n v="1695.95"/>
    <n v="1695.95"/>
  </r>
  <r>
    <s v="ORD0076"/>
    <x v="24"/>
    <s v="Pooja Iyer"/>
    <x v="8"/>
    <x v="2"/>
    <x v="2"/>
    <n v="1"/>
    <n v="1659.02"/>
    <n v="1659.02"/>
  </r>
  <r>
    <s v="ORD0080"/>
    <x v="61"/>
    <s v="Ravi Kumar"/>
    <x v="9"/>
    <x v="2"/>
    <x v="2"/>
    <n v="1"/>
    <n v="939.56"/>
    <n v="939.56"/>
  </r>
  <r>
    <s v="ORD0023"/>
    <x v="90"/>
    <s v="Manoj Reddy"/>
    <x v="9"/>
    <x v="2"/>
    <x v="0"/>
    <n v="1"/>
    <n v="862.83"/>
    <n v="862.83"/>
  </r>
  <r>
    <s v="ORD0014"/>
    <x v="91"/>
    <s v="Suresh Nair"/>
    <x v="9"/>
    <x v="2"/>
    <x v="1"/>
    <n v="1"/>
    <n v="851.23"/>
    <n v="851.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33E0A0-F1CF-4FE6-A4AD-53E8F7DE21B3}" name="PivotTable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1:B15" firstHeaderRow="1" firstDataRow="1" firstDataCol="1"/>
  <pivotFields count="11">
    <pivotField showAll="0"/>
    <pivotField numFmtId="164" showAll="0">
      <items count="93">
        <item x="91"/>
        <item x="59"/>
        <item x="80"/>
        <item x="5"/>
        <item x="57"/>
        <item x="19"/>
        <item x="51"/>
        <item x="33"/>
        <item x="81"/>
        <item x="3"/>
        <item x="79"/>
        <item x="90"/>
        <item x="67"/>
        <item x="38"/>
        <item x="76"/>
        <item x="32"/>
        <item x="23"/>
        <item x="56"/>
        <item x="87"/>
        <item x="47"/>
        <item x="20"/>
        <item x="83"/>
        <item x="15"/>
        <item x="61"/>
        <item x="63"/>
        <item x="84"/>
        <item x="60"/>
        <item x="13"/>
        <item x="44"/>
        <item x="68"/>
        <item x="18"/>
        <item x="14"/>
        <item x="29"/>
        <item x="77"/>
        <item x="9"/>
        <item x="66"/>
        <item x="24"/>
        <item x="36"/>
        <item x="16"/>
        <item x="41"/>
        <item x="50"/>
        <item x="28"/>
        <item x="46"/>
        <item x="89"/>
        <item x="71"/>
        <item x="82"/>
        <item x="54"/>
        <item x="48"/>
        <item x="69"/>
        <item x="12"/>
        <item x="30"/>
        <item x="85"/>
        <item x="6"/>
        <item x="0"/>
        <item x="7"/>
        <item x="26"/>
        <item x="78"/>
        <item x="43"/>
        <item x="49"/>
        <item x="65"/>
        <item x="74"/>
        <item x="34"/>
        <item x="86"/>
        <item x="88"/>
        <item x="8"/>
        <item x="45"/>
        <item x="62"/>
        <item x="37"/>
        <item x="35"/>
        <item x="75"/>
        <item x="42"/>
        <item x="70"/>
        <item x="64"/>
        <item x="11"/>
        <item x="22"/>
        <item x="53"/>
        <item x="58"/>
        <item x="2"/>
        <item x="55"/>
        <item x="39"/>
        <item x="72"/>
        <item x="1"/>
        <item x="10"/>
        <item x="40"/>
        <item x="25"/>
        <item x="17"/>
        <item x="52"/>
        <item x="21"/>
        <item x="73"/>
        <item x="27"/>
        <item x="4"/>
        <item x="31"/>
        <item t="default"/>
      </items>
    </pivotField>
    <pivotField showAll="0"/>
    <pivotField showAll="0">
      <items count="11">
        <item x="7"/>
        <item x="3"/>
        <item x="6"/>
        <item x="8"/>
        <item x="0"/>
        <item x="2"/>
        <item x="9"/>
        <item x="5"/>
        <item x="4"/>
        <item x="1"/>
        <item t="default"/>
      </items>
    </pivotField>
    <pivotField axis="axisRow" showAll="0">
      <items count="4">
        <item x="2"/>
        <item x="0"/>
        <item x="1"/>
        <item t="default"/>
      </items>
    </pivotField>
    <pivotField showAll="0">
      <items count="6">
        <item x="4"/>
        <item x="2"/>
        <item x="0"/>
        <item x="3"/>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758501-569B-49F1-AF61-C73A8CEA7CD7}" name="PivotTable1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s" fieldListSortAscending="1">
  <location ref="K2:L11" firstHeaderRow="1" firstDataRow="1" firstDataCol="1"/>
  <pivotFields count="11">
    <pivotField showAll="0"/>
    <pivotField numFmtId="164" showAll="0">
      <items count="93">
        <item x="91"/>
        <item x="59"/>
        <item x="80"/>
        <item x="5"/>
        <item x="57"/>
        <item x="19"/>
        <item x="51"/>
        <item x="33"/>
        <item x="81"/>
        <item x="3"/>
        <item x="79"/>
        <item x="90"/>
        <item x="67"/>
        <item x="38"/>
        <item x="76"/>
        <item x="32"/>
        <item x="23"/>
        <item x="56"/>
        <item x="87"/>
        <item x="47"/>
        <item x="20"/>
        <item x="83"/>
        <item x="15"/>
        <item x="61"/>
        <item x="63"/>
        <item x="84"/>
        <item x="60"/>
        <item x="13"/>
        <item x="44"/>
        <item x="68"/>
        <item x="18"/>
        <item x="14"/>
        <item x="29"/>
        <item x="77"/>
        <item x="9"/>
        <item x="66"/>
        <item x="24"/>
        <item x="36"/>
        <item x="16"/>
        <item x="41"/>
        <item x="50"/>
        <item x="28"/>
        <item x="46"/>
        <item x="89"/>
        <item x="71"/>
        <item x="82"/>
        <item x="54"/>
        <item x="48"/>
        <item x="69"/>
        <item x="12"/>
        <item x="30"/>
        <item x="85"/>
        <item x="6"/>
        <item x="0"/>
        <item x="7"/>
        <item x="26"/>
        <item x="78"/>
        <item x="43"/>
        <item x="49"/>
        <item x="65"/>
        <item x="74"/>
        <item x="34"/>
        <item x="86"/>
        <item x="88"/>
        <item x="8"/>
        <item x="45"/>
        <item x="62"/>
        <item x="37"/>
        <item x="35"/>
        <item x="75"/>
        <item x="42"/>
        <item x="70"/>
        <item x="64"/>
        <item x="11"/>
        <item x="22"/>
        <item x="53"/>
        <item x="58"/>
        <item x="2"/>
        <item x="55"/>
        <item x="39"/>
        <item x="72"/>
        <item x="1"/>
        <item x="10"/>
        <item x="40"/>
        <item x="25"/>
        <item x="17"/>
        <item x="52"/>
        <item x="21"/>
        <item x="73"/>
        <item x="27"/>
        <item x="4"/>
        <item x="31"/>
        <item t="default"/>
      </items>
    </pivotField>
    <pivotField showAll="0"/>
    <pivotField showAll="0">
      <items count="11">
        <item x="7"/>
        <item x="3"/>
        <item x="6"/>
        <item x="8"/>
        <item x="0"/>
        <item x="2"/>
        <item x="9"/>
        <item x="5"/>
        <item x="4"/>
        <item x="1"/>
        <item t="default"/>
      </items>
    </pivotField>
    <pivotField showAll="0"/>
    <pivotField showAll="0">
      <items count="6">
        <item x="4"/>
        <item x="2"/>
        <item x="0"/>
        <item x="3"/>
        <item x="1"/>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0"/>
  </rowFields>
  <rowItems count="9">
    <i>
      <x v="8"/>
    </i>
    <i>
      <x v="4"/>
    </i>
    <i>
      <x v="5"/>
    </i>
    <i>
      <x v="7"/>
    </i>
    <i>
      <x v="6"/>
    </i>
    <i>
      <x v="3"/>
    </i>
    <i>
      <x v="1"/>
    </i>
    <i>
      <x v="2"/>
    </i>
    <i t="grand">
      <x/>
    </i>
  </rowItems>
  <colItems count="1">
    <i/>
  </colItems>
  <dataFields count="1">
    <dataField name="Sum of Revenue" fld="8" baseField="0" baseItem="0"/>
  </dataFields>
  <chartFormats count="9">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0" count="1" selected="0">
            <x v="8"/>
          </reference>
        </references>
      </pivotArea>
    </chartFormat>
    <chartFormat chart="2" format="12">
      <pivotArea type="data" outline="0" fieldPosition="0">
        <references count="2">
          <reference field="4294967294" count="1" selected="0">
            <x v="0"/>
          </reference>
          <reference field="10" count="1" selected="0">
            <x v="4"/>
          </reference>
        </references>
      </pivotArea>
    </chartFormat>
    <chartFormat chart="2" format="13">
      <pivotArea type="data" outline="0" fieldPosition="0">
        <references count="2">
          <reference field="4294967294" count="1" selected="0">
            <x v="0"/>
          </reference>
          <reference field="10" count="1" selected="0">
            <x v="5"/>
          </reference>
        </references>
      </pivotArea>
    </chartFormat>
    <chartFormat chart="2" format="14">
      <pivotArea type="data" outline="0" fieldPosition="0">
        <references count="2">
          <reference field="4294967294" count="1" selected="0">
            <x v="0"/>
          </reference>
          <reference field="10" count="1" selected="0">
            <x v="7"/>
          </reference>
        </references>
      </pivotArea>
    </chartFormat>
    <chartFormat chart="2" format="15">
      <pivotArea type="data" outline="0" fieldPosition="0">
        <references count="2">
          <reference field="4294967294" count="1" selected="0">
            <x v="0"/>
          </reference>
          <reference field="10" count="1" selected="0">
            <x v="6"/>
          </reference>
        </references>
      </pivotArea>
    </chartFormat>
    <chartFormat chart="2" format="16">
      <pivotArea type="data" outline="0" fieldPosition="0">
        <references count="2">
          <reference field="4294967294" count="1" selected="0">
            <x v="0"/>
          </reference>
          <reference field="10" count="1" selected="0">
            <x v="3"/>
          </reference>
        </references>
      </pivotArea>
    </chartFormat>
    <chartFormat chart="2" format="17">
      <pivotArea type="data" outline="0" fieldPosition="0">
        <references count="2">
          <reference field="4294967294" count="1" selected="0">
            <x v="0"/>
          </reference>
          <reference field="10" count="1" selected="0">
            <x v="1"/>
          </reference>
        </references>
      </pivotArea>
    </chartFormat>
    <chartFormat chart="2" format="1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0092FB-F80A-4147-9B92-52C4B98F72F5}" name="PivotTable1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E2:F8" firstHeaderRow="1" firstDataRow="1" firstDataCol="1"/>
  <pivotFields count="11">
    <pivotField showAll="0"/>
    <pivotField numFmtId="164" showAll="0">
      <items count="93">
        <item x="91"/>
        <item x="59"/>
        <item x="80"/>
        <item x="5"/>
        <item x="57"/>
        <item x="19"/>
        <item x="51"/>
        <item x="33"/>
        <item x="81"/>
        <item x="3"/>
        <item x="79"/>
        <item x="90"/>
        <item x="67"/>
        <item x="38"/>
        <item x="76"/>
        <item x="32"/>
        <item x="23"/>
        <item x="56"/>
        <item x="87"/>
        <item x="47"/>
        <item x="20"/>
        <item x="83"/>
        <item x="15"/>
        <item x="61"/>
        <item x="63"/>
        <item x="84"/>
        <item x="60"/>
        <item x="13"/>
        <item x="44"/>
        <item x="68"/>
        <item x="18"/>
        <item x="14"/>
        <item x="29"/>
        <item x="77"/>
        <item x="9"/>
        <item x="66"/>
        <item x="24"/>
        <item x="36"/>
        <item x="16"/>
        <item x="41"/>
        <item x="50"/>
        <item x="28"/>
        <item x="46"/>
        <item x="89"/>
        <item x="71"/>
        <item x="82"/>
        <item x="54"/>
        <item x="48"/>
        <item x="69"/>
        <item x="12"/>
        <item x="30"/>
        <item x="85"/>
        <item x="6"/>
        <item x="0"/>
        <item x="7"/>
        <item x="26"/>
        <item x="78"/>
        <item x="43"/>
        <item x="49"/>
        <item x="65"/>
        <item x="74"/>
        <item x="34"/>
        <item x="86"/>
        <item x="88"/>
        <item x="8"/>
        <item x="45"/>
        <item x="62"/>
        <item x="37"/>
        <item x="35"/>
        <item x="75"/>
        <item x="42"/>
        <item x="70"/>
        <item x="64"/>
        <item x="11"/>
        <item x="22"/>
        <item x="53"/>
        <item x="58"/>
        <item x="2"/>
        <item x="55"/>
        <item x="39"/>
        <item x="72"/>
        <item x="1"/>
        <item x="10"/>
        <item x="40"/>
        <item x="25"/>
        <item x="17"/>
        <item x="52"/>
        <item x="21"/>
        <item x="73"/>
        <item x="27"/>
        <item x="4"/>
        <item x="31"/>
        <item t="default"/>
      </items>
    </pivotField>
    <pivotField showAll="0"/>
    <pivotField axis="axisRow" showAll="0" measureFilter="1" sortType="descending">
      <items count="11">
        <item x="7"/>
        <item x="3"/>
        <item x="6"/>
        <item x="8"/>
        <item x="0"/>
        <item x="2"/>
        <item x="9"/>
        <item x="5"/>
        <item x="4"/>
        <item x="1"/>
        <item t="default"/>
      </items>
      <autoSortScope>
        <pivotArea dataOnly="0" outline="0" fieldPosition="0">
          <references count="1">
            <reference field="4294967294" count="1" selected="0">
              <x v="0"/>
            </reference>
          </references>
        </pivotArea>
      </autoSortScope>
    </pivotField>
    <pivotField showAll="0"/>
    <pivotField showAll="0">
      <items count="6">
        <item x="4"/>
        <item x="2"/>
        <item x="0"/>
        <item x="3"/>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4"/>
    </i>
    <i>
      <x v="9"/>
    </i>
    <i>
      <x v="5"/>
    </i>
    <i>
      <x v="7"/>
    </i>
    <i>
      <x v="8"/>
    </i>
    <i t="grand">
      <x/>
    </i>
  </rowItems>
  <colItems count="1">
    <i/>
  </colItems>
  <dataFields count="1">
    <dataField name="Sum of Revenue"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32D85E-E5B0-44FC-A3DC-9C06E19BEB3E}" name="PivotTable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A2:B8" firstHeaderRow="1" firstDataRow="1" firstDataCol="1"/>
  <pivotFields count="11">
    <pivotField showAll="0"/>
    <pivotField numFmtId="164" showAll="0">
      <items count="93">
        <item x="91"/>
        <item x="59"/>
        <item x="80"/>
        <item x="5"/>
        <item x="57"/>
        <item x="19"/>
        <item x="51"/>
        <item x="33"/>
        <item x="81"/>
        <item x="3"/>
        <item x="79"/>
        <item x="90"/>
        <item x="67"/>
        <item x="38"/>
        <item x="76"/>
        <item x="32"/>
        <item x="23"/>
        <item x="56"/>
        <item x="87"/>
        <item x="47"/>
        <item x="20"/>
        <item x="83"/>
        <item x="15"/>
        <item x="61"/>
        <item x="63"/>
        <item x="84"/>
        <item x="60"/>
        <item x="13"/>
        <item x="44"/>
        <item x="68"/>
        <item x="18"/>
        <item x="14"/>
        <item x="29"/>
        <item x="77"/>
        <item x="9"/>
        <item x="66"/>
        <item x="24"/>
        <item x="36"/>
        <item x="16"/>
        <item x="41"/>
        <item x="50"/>
        <item x="28"/>
        <item x="46"/>
        <item x="89"/>
        <item x="71"/>
        <item x="82"/>
        <item x="54"/>
        <item x="48"/>
        <item x="69"/>
        <item x="12"/>
        <item x="30"/>
        <item x="85"/>
        <item x="6"/>
        <item x="0"/>
        <item x="7"/>
        <item x="26"/>
        <item x="78"/>
        <item x="43"/>
        <item x="49"/>
        <item x="65"/>
        <item x="74"/>
        <item x="34"/>
        <item x="86"/>
        <item x="88"/>
        <item x="8"/>
        <item x="45"/>
        <item x="62"/>
        <item x="37"/>
        <item x="35"/>
        <item x="75"/>
        <item x="42"/>
        <item x="70"/>
        <item x="64"/>
        <item x="11"/>
        <item x="22"/>
        <item x="53"/>
        <item x="58"/>
        <item x="2"/>
        <item x="55"/>
        <item x="39"/>
        <item x="72"/>
        <item x="1"/>
        <item x="10"/>
        <item x="40"/>
        <item x="25"/>
        <item x="17"/>
        <item x="52"/>
        <item x="21"/>
        <item x="73"/>
        <item x="27"/>
        <item x="4"/>
        <item x="31"/>
        <item t="default"/>
      </items>
    </pivotField>
    <pivotField showAll="0"/>
    <pivotField showAll="0">
      <items count="11">
        <item x="7"/>
        <item x="3"/>
        <item x="6"/>
        <item x="8"/>
        <item x="0"/>
        <item x="2"/>
        <item x="9"/>
        <item x="5"/>
        <item x="4"/>
        <item x="1"/>
        <item t="default"/>
      </items>
    </pivotField>
    <pivotField showAll="0">
      <items count="4">
        <item x="2"/>
        <item x="0"/>
        <item x="1"/>
        <item t="default"/>
      </items>
    </pivotField>
    <pivotField axis="axisRow"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3"/>
    </i>
    <i>
      <x v="1"/>
    </i>
    <i>
      <x/>
    </i>
    <i>
      <x v="2"/>
    </i>
    <i>
      <x v="4"/>
    </i>
    <i t="grand">
      <x/>
    </i>
  </rowItems>
  <colItems count="1">
    <i/>
  </colItems>
  <dataFields count="1">
    <dataField name="Sum of Revenue" fld="8"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048172-1FCD-42DB-8EFC-738F66F3F177}" name="PivotTable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E11:F22" firstHeaderRow="1" firstDataRow="1" firstDataCol="1"/>
  <pivotFields count="11">
    <pivotField showAll="0"/>
    <pivotField numFmtId="164" showAll="0">
      <items count="93">
        <item x="91"/>
        <item x="59"/>
        <item x="80"/>
        <item x="5"/>
        <item x="57"/>
        <item x="19"/>
        <item x="51"/>
        <item x="33"/>
        <item x="81"/>
        <item x="3"/>
        <item x="79"/>
        <item x="90"/>
        <item x="67"/>
        <item x="38"/>
        <item x="76"/>
        <item x="32"/>
        <item x="23"/>
        <item x="56"/>
        <item x="87"/>
        <item x="47"/>
        <item x="20"/>
        <item x="83"/>
        <item x="15"/>
        <item x="61"/>
        <item x="63"/>
        <item x="84"/>
        <item x="60"/>
        <item x="13"/>
        <item x="44"/>
        <item x="68"/>
        <item x="18"/>
        <item x="14"/>
        <item x="29"/>
        <item x="77"/>
        <item x="9"/>
        <item x="66"/>
        <item x="24"/>
        <item x="36"/>
        <item x="16"/>
        <item x="41"/>
        <item x="50"/>
        <item x="28"/>
        <item x="46"/>
        <item x="89"/>
        <item x="71"/>
        <item x="82"/>
        <item x="54"/>
        <item x="48"/>
        <item x="69"/>
        <item x="12"/>
        <item x="30"/>
        <item x="85"/>
        <item x="6"/>
        <item x="0"/>
        <item x="7"/>
        <item x="26"/>
        <item x="78"/>
        <item x="43"/>
        <item x="49"/>
        <item x="65"/>
        <item x="74"/>
        <item x="34"/>
        <item x="86"/>
        <item x="88"/>
        <item x="8"/>
        <item x="45"/>
        <item x="62"/>
        <item x="37"/>
        <item x="35"/>
        <item x="75"/>
        <item x="42"/>
        <item x="70"/>
        <item x="64"/>
        <item x="11"/>
        <item x="22"/>
        <item x="53"/>
        <item x="58"/>
        <item x="2"/>
        <item x="55"/>
        <item x="39"/>
        <item x="72"/>
        <item x="1"/>
        <item x="10"/>
        <item x="40"/>
        <item x="25"/>
        <item x="17"/>
        <item x="52"/>
        <item x="21"/>
        <item x="73"/>
        <item x="27"/>
        <item x="4"/>
        <item x="31"/>
        <item t="default"/>
      </items>
    </pivotField>
    <pivotField showAll="0"/>
    <pivotField axis="axisRow" showAll="0" sortType="ascending">
      <items count="11">
        <item x="7"/>
        <item x="3"/>
        <item x="6"/>
        <item x="8"/>
        <item x="0"/>
        <item x="2"/>
        <item x="9"/>
        <item x="5"/>
        <item x="4"/>
        <item x="1"/>
        <item t="default"/>
      </items>
      <autoSortScope>
        <pivotArea dataOnly="0" outline="0" fieldPosition="0">
          <references count="1">
            <reference field="4294967294" count="1" selected="0">
              <x v="0"/>
            </reference>
          </references>
        </pivotArea>
      </autoSortScope>
    </pivotField>
    <pivotField showAll="0"/>
    <pivotField showAll="0">
      <items count="6">
        <item x="4"/>
        <item x="2"/>
        <item x="0"/>
        <item x="3"/>
        <item x="1"/>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6"/>
    </i>
    <i>
      <x/>
    </i>
    <i>
      <x v="3"/>
    </i>
    <i>
      <x v="2"/>
    </i>
    <i>
      <x v="1"/>
    </i>
    <i>
      <x v="8"/>
    </i>
    <i>
      <x v="7"/>
    </i>
    <i>
      <x v="5"/>
    </i>
    <i>
      <x v="9"/>
    </i>
    <i>
      <x v="4"/>
    </i>
    <i t="grand">
      <x/>
    </i>
  </rowItems>
  <colItems count="1">
    <i/>
  </colItems>
  <dataFields count="1">
    <dataField name="Sum of Revenue" fld="8" baseField="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B7B380-3344-4F93-90A6-A6D4612353D1}" name="PivotTable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H2:I13" firstHeaderRow="1" firstDataRow="1" firstDataCol="1"/>
  <pivotFields count="11">
    <pivotField showAll="0"/>
    <pivotField numFmtId="164" showAll="0">
      <items count="93">
        <item x="91"/>
        <item x="59"/>
        <item x="80"/>
        <item x="5"/>
        <item x="57"/>
        <item x="19"/>
        <item x="51"/>
        <item x="33"/>
        <item x="81"/>
        <item x="3"/>
        <item x="79"/>
        <item x="90"/>
        <item x="67"/>
        <item x="38"/>
        <item x="76"/>
        <item x="32"/>
        <item x="23"/>
        <item x="56"/>
        <item x="87"/>
        <item x="47"/>
        <item x="20"/>
        <item x="83"/>
        <item x="15"/>
        <item x="61"/>
        <item x="63"/>
        <item x="84"/>
        <item x="60"/>
        <item x="13"/>
        <item x="44"/>
        <item x="68"/>
        <item x="18"/>
        <item x="14"/>
        <item x="29"/>
        <item x="77"/>
        <item x="9"/>
        <item x="66"/>
        <item x="24"/>
        <item x="36"/>
        <item x="16"/>
        <item x="41"/>
        <item x="50"/>
        <item x="28"/>
        <item x="46"/>
        <item x="89"/>
        <item x="71"/>
        <item x="82"/>
        <item x="54"/>
        <item x="48"/>
        <item x="69"/>
        <item x="12"/>
        <item x="30"/>
        <item x="85"/>
        <item x="6"/>
        <item x="0"/>
        <item x="7"/>
        <item x="26"/>
        <item x="78"/>
        <item x="43"/>
        <item x="49"/>
        <item x="65"/>
        <item x="74"/>
        <item x="34"/>
        <item x="86"/>
        <item x="88"/>
        <item x="8"/>
        <item x="45"/>
        <item x="62"/>
        <item x="37"/>
        <item x="35"/>
        <item x="75"/>
        <item x="42"/>
        <item x="70"/>
        <item x="64"/>
        <item x="11"/>
        <item x="22"/>
        <item x="53"/>
        <item x="58"/>
        <item x="2"/>
        <item x="55"/>
        <item x="39"/>
        <item x="72"/>
        <item x="1"/>
        <item x="10"/>
        <item x="40"/>
        <item x="25"/>
        <item x="17"/>
        <item x="52"/>
        <item x="21"/>
        <item x="73"/>
        <item x="27"/>
        <item x="4"/>
        <item x="31"/>
        <item t="default"/>
      </items>
    </pivotField>
    <pivotField showAll="0"/>
    <pivotField axis="axisRow" showAll="0">
      <items count="11">
        <item x="7"/>
        <item x="3"/>
        <item x="6"/>
        <item x="8"/>
        <item x="0"/>
        <item x="2"/>
        <item x="9"/>
        <item x="5"/>
        <item x="4"/>
        <item x="1"/>
        <item t="default"/>
      </items>
    </pivotField>
    <pivotField showAll="0"/>
    <pivotField showAll="0">
      <items count="6">
        <item x="4"/>
        <item x="2"/>
        <item x="0"/>
        <item x="3"/>
        <item x="1"/>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194708-87A4-47A3-B4C5-A0186AEF901C}"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18:B24" firstHeaderRow="1" firstDataRow="1" firstDataCol="1"/>
  <pivotFields count="11">
    <pivotField showAll="0"/>
    <pivotField numFmtId="164" showAll="0">
      <items count="93">
        <item x="91"/>
        <item x="59"/>
        <item x="80"/>
        <item x="5"/>
        <item x="57"/>
        <item x="19"/>
        <item x="51"/>
        <item x="33"/>
        <item x="81"/>
        <item x="3"/>
        <item x="79"/>
        <item x="90"/>
        <item x="67"/>
        <item x="38"/>
        <item x="76"/>
        <item x="32"/>
        <item x="23"/>
        <item x="56"/>
        <item x="87"/>
        <item x="47"/>
        <item x="20"/>
        <item x="83"/>
        <item x="15"/>
        <item x="61"/>
        <item x="63"/>
        <item x="84"/>
        <item x="60"/>
        <item x="13"/>
        <item x="44"/>
        <item x="68"/>
        <item x="18"/>
        <item x="14"/>
        <item x="29"/>
        <item x="77"/>
        <item x="9"/>
        <item x="66"/>
        <item x="24"/>
        <item x="36"/>
        <item x="16"/>
        <item x="41"/>
        <item x="50"/>
        <item x="28"/>
        <item x="46"/>
        <item x="89"/>
        <item x="71"/>
        <item x="82"/>
        <item x="54"/>
        <item x="48"/>
        <item x="69"/>
        <item x="12"/>
        <item x="30"/>
        <item x="85"/>
        <item x="6"/>
        <item x="0"/>
        <item x="7"/>
        <item x="26"/>
        <item x="78"/>
        <item x="43"/>
        <item x="49"/>
        <item x="65"/>
        <item x="74"/>
        <item x="34"/>
        <item x="86"/>
        <item x="88"/>
        <item x="8"/>
        <item x="45"/>
        <item x="62"/>
        <item x="37"/>
        <item x="35"/>
        <item x="75"/>
        <item x="42"/>
        <item x="70"/>
        <item x="64"/>
        <item x="11"/>
        <item x="22"/>
        <item x="53"/>
        <item x="58"/>
        <item x="2"/>
        <item x="55"/>
        <item x="39"/>
        <item x="72"/>
        <item x="1"/>
        <item x="10"/>
        <item x="40"/>
        <item x="25"/>
        <item x="17"/>
        <item x="52"/>
        <item x="21"/>
        <item x="73"/>
        <item x="27"/>
        <item x="4"/>
        <item x="31"/>
        <item t="default"/>
      </items>
    </pivotField>
    <pivotField showAll="0"/>
    <pivotField showAll="0">
      <items count="11">
        <item x="7"/>
        <item x="3"/>
        <item x="6"/>
        <item x="8"/>
        <item x="0"/>
        <item x="2"/>
        <item x="9"/>
        <item x="5"/>
        <item x="4"/>
        <item x="1"/>
        <item t="default"/>
      </items>
    </pivotField>
    <pivotField showAll="0"/>
    <pivotField axis="axisRow" showAll="0" sortType="a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4"/>
    </i>
    <i>
      <x v="2"/>
    </i>
    <i>
      <x/>
    </i>
    <i>
      <x v="1"/>
    </i>
    <i>
      <x v="3"/>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4385B01-A02B-44E1-ADC8-8AFCCF97EDA6}" sourceName="Product">
  <pivotTables>
    <pivotTable tabId="2" name="PivotTable1"/>
    <pivotTable tabId="2" name="PivotTable2"/>
    <pivotTable tabId="2" name="PivotTable4"/>
    <pivotTable tabId="2" name="PivotTable7"/>
    <pivotTable tabId="2" name="PivotTable8"/>
    <pivotTable tabId="2" name="PivotTable10"/>
    <pivotTable tabId="2" name="PivotTable12"/>
  </pivotTables>
  <data>
    <tabular pivotCacheId="1856968230">
      <items count="10">
        <i x="7" s="1"/>
        <i x="3" s="1"/>
        <i x="6" s="1"/>
        <i x="8" s="1"/>
        <i x="0" s="1"/>
        <i x="2" s="1"/>
        <i x="9" s="1"/>
        <i x="5"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4B65EA-139B-4D2B-8A3E-033AEF6DFAC4}" sourceName="Category">
  <pivotTables>
    <pivotTable tabId="2" name="PivotTable1"/>
  </pivotTables>
  <data>
    <tabular pivotCacheId="185696823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FA0E39-BA81-458C-8AD3-4C291214BB85}" sourceName="Region">
  <pivotTables>
    <pivotTable tabId="2" name="PivotTable1"/>
    <pivotTable tabId="2" name="PivotTable2"/>
    <pivotTable tabId="2" name="PivotTable4"/>
    <pivotTable tabId="2" name="PivotTable7"/>
    <pivotTable tabId="2" name="PivotTable8"/>
    <pivotTable tabId="2" name="PivotTable10"/>
    <pivotTable tabId="2" name="PivotTable12"/>
  </pivotTables>
  <data>
    <tabular pivotCacheId="1856968230">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73C52BD-7DA9-4771-9A51-A61C0D0A4691}" cache="Slicer_Product" caption="Product" rowHeight="241300"/>
  <slicer name="Category 1" xr10:uid="{EAB8C3FC-1691-480E-A015-8ABB12C0AC16}" cache="Slicer_Category" caption="Category" rowHeight="241300"/>
  <slicer name="Region 1" xr10:uid="{CB80EFF5-4456-40CB-9337-77D0F695A394}" cache="Slicer_Region" caption="Region" rowHeight="24130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F3BA8-AF4B-4C8F-A249-FDBD342370B6}">
  <dimension ref="A1:K121"/>
  <sheetViews>
    <sheetView tabSelected="1" topLeftCell="B64" workbookViewId="0">
      <selection activeCell="L11" sqref="L11"/>
    </sheetView>
  </sheetViews>
  <sheetFormatPr defaultRowHeight="14.5" x14ac:dyDescent="0.35"/>
  <cols>
    <col min="1" max="1" width="10" bestFit="1" customWidth="1"/>
    <col min="2" max="2" width="12.81640625" bestFit="1" customWidth="1"/>
    <col min="3" max="3" width="18.26953125" bestFit="1" customWidth="1"/>
    <col min="4" max="4" width="11.36328125" bestFit="1" customWidth="1"/>
    <col min="5" max="5" width="10.453125" bestFit="1" customWidth="1"/>
    <col min="6" max="6" width="8.26953125" bestFit="1" customWidth="1"/>
    <col min="7" max="7" width="10.36328125" bestFit="1" customWidth="1"/>
    <col min="8" max="8" width="11.36328125" bestFit="1" customWidth="1"/>
    <col min="9" max="9" width="10.1796875" bestFit="1" customWidth="1"/>
    <col min="10" max="10" width="11.81640625" bestFit="1" customWidth="1"/>
  </cols>
  <sheetData>
    <row r="1" spans="1:11" ht="18.5" x14ac:dyDescent="0.45">
      <c r="A1" s="1" t="s">
        <v>0</v>
      </c>
      <c r="B1" s="1" t="s">
        <v>1</v>
      </c>
      <c r="C1" s="1" t="s">
        <v>2</v>
      </c>
      <c r="D1" s="1" t="s">
        <v>3</v>
      </c>
      <c r="E1" s="1" t="s">
        <v>4</v>
      </c>
      <c r="F1" s="1" t="s">
        <v>5</v>
      </c>
      <c r="G1" s="1" t="s">
        <v>6</v>
      </c>
      <c r="H1" s="1" t="s">
        <v>7</v>
      </c>
      <c r="I1" s="1" t="s">
        <v>8</v>
      </c>
      <c r="J1" s="1" t="s">
        <v>180</v>
      </c>
      <c r="K1" s="1" t="s">
        <v>179</v>
      </c>
    </row>
    <row r="2" spans="1:11" x14ac:dyDescent="0.35">
      <c r="A2" t="s">
        <v>9</v>
      </c>
      <c r="B2" s="2">
        <v>46173</v>
      </c>
      <c r="C2" t="s">
        <v>10</v>
      </c>
      <c r="D2" t="s">
        <v>11</v>
      </c>
      <c r="E2" t="s">
        <v>12</v>
      </c>
      <c r="F2" t="s">
        <v>13</v>
      </c>
      <c r="G2">
        <v>5</v>
      </c>
      <c r="H2">
        <v>55593.14</v>
      </c>
      <c r="I2">
        <v>277965.7</v>
      </c>
      <c r="J2">
        <f t="shared" ref="J2:J65" si="0">I2*75%</f>
        <v>208474.27500000002</v>
      </c>
      <c r="K2">
        <f>I2-J2</f>
        <v>69491.424999999988</v>
      </c>
    </row>
    <row r="3" spans="1:11" x14ac:dyDescent="0.35">
      <c r="A3" t="s">
        <v>14</v>
      </c>
      <c r="B3" s="2">
        <v>46240</v>
      </c>
      <c r="C3" t="s">
        <v>15</v>
      </c>
      <c r="D3" t="s">
        <v>11</v>
      </c>
      <c r="E3" t="s">
        <v>12</v>
      </c>
      <c r="F3" t="s">
        <v>16</v>
      </c>
      <c r="G3">
        <v>5</v>
      </c>
      <c r="H3">
        <v>52241.18</v>
      </c>
      <c r="I3">
        <v>261205.9</v>
      </c>
      <c r="J3">
        <f t="shared" si="0"/>
        <v>195904.42499999999</v>
      </c>
      <c r="K3">
        <f t="shared" ref="K3:K66" si="1">I3-J3</f>
        <v>65301.475000000006</v>
      </c>
    </row>
    <row r="4" spans="1:11" x14ac:dyDescent="0.35">
      <c r="A4" t="s">
        <v>17</v>
      </c>
      <c r="B4" s="2">
        <v>46232</v>
      </c>
      <c r="C4" t="s">
        <v>18</v>
      </c>
      <c r="D4" t="s">
        <v>11</v>
      </c>
      <c r="E4" t="s">
        <v>12</v>
      </c>
      <c r="F4" t="s">
        <v>19</v>
      </c>
      <c r="G4">
        <v>4</v>
      </c>
      <c r="H4">
        <v>51946.77</v>
      </c>
      <c r="I4">
        <v>207787.08</v>
      </c>
      <c r="J4">
        <f t="shared" si="0"/>
        <v>155840.31</v>
      </c>
      <c r="K4">
        <f t="shared" si="1"/>
        <v>51946.76999999999</v>
      </c>
    </row>
    <row r="5" spans="1:11" x14ac:dyDescent="0.35">
      <c r="A5" t="s">
        <v>20</v>
      </c>
      <c r="B5" s="2">
        <v>46060</v>
      </c>
      <c r="C5" t="s">
        <v>21</v>
      </c>
      <c r="D5" t="s">
        <v>11</v>
      </c>
      <c r="E5" t="s">
        <v>12</v>
      </c>
      <c r="F5" t="s">
        <v>22</v>
      </c>
      <c r="G5">
        <v>3</v>
      </c>
      <c r="H5">
        <v>55907.61</v>
      </c>
      <c r="I5">
        <v>167722.82999999999</v>
      </c>
      <c r="J5">
        <f t="shared" si="0"/>
        <v>125792.1225</v>
      </c>
      <c r="K5">
        <f t="shared" si="1"/>
        <v>41930.70749999999</v>
      </c>
    </row>
    <row r="6" spans="1:11" x14ac:dyDescent="0.35">
      <c r="A6" t="s">
        <v>23</v>
      </c>
      <c r="B6" s="2">
        <v>46261</v>
      </c>
      <c r="C6" t="s">
        <v>24</v>
      </c>
      <c r="D6" t="s">
        <v>11</v>
      </c>
      <c r="E6" t="s">
        <v>12</v>
      </c>
      <c r="F6" t="s">
        <v>19</v>
      </c>
      <c r="G6">
        <v>3</v>
      </c>
      <c r="H6">
        <v>53511.17</v>
      </c>
      <c r="I6">
        <v>160533.51</v>
      </c>
      <c r="J6">
        <f t="shared" si="0"/>
        <v>120400.13250000001</v>
      </c>
      <c r="K6">
        <f t="shared" si="1"/>
        <v>40133.377500000002</v>
      </c>
    </row>
    <row r="7" spans="1:11" x14ac:dyDescent="0.35">
      <c r="A7" t="s">
        <v>25</v>
      </c>
      <c r="B7" s="2">
        <v>46040</v>
      </c>
      <c r="C7" t="s">
        <v>24</v>
      </c>
      <c r="D7" t="s">
        <v>11</v>
      </c>
      <c r="E7" t="s">
        <v>12</v>
      </c>
      <c r="F7" t="s">
        <v>13</v>
      </c>
      <c r="G7">
        <v>3</v>
      </c>
      <c r="H7">
        <v>51966.44</v>
      </c>
      <c r="I7">
        <v>155899.32</v>
      </c>
      <c r="J7">
        <f t="shared" si="0"/>
        <v>116924.49</v>
      </c>
      <c r="K7">
        <f t="shared" si="1"/>
        <v>38974.83</v>
      </c>
    </row>
    <row r="8" spans="1:11" x14ac:dyDescent="0.35">
      <c r="A8" t="s">
        <v>26</v>
      </c>
      <c r="B8" s="2">
        <v>46172</v>
      </c>
      <c r="C8" t="s">
        <v>27</v>
      </c>
      <c r="D8" t="s">
        <v>11</v>
      </c>
      <c r="E8" t="s">
        <v>12</v>
      </c>
      <c r="F8" t="s">
        <v>28</v>
      </c>
      <c r="G8">
        <v>3</v>
      </c>
      <c r="H8">
        <v>50128.82</v>
      </c>
      <c r="I8">
        <v>150386.46</v>
      </c>
      <c r="J8">
        <f t="shared" si="0"/>
        <v>112789.845</v>
      </c>
      <c r="K8">
        <f t="shared" si="1"/>
        <v>37596.614999999991</v>
      </c>
    </row>
    <row r="9" spans="1:11" x14ac:dyDescent="0.35">
      <c r="A9" t="s">
        <v>29</v>
      </c>
      <c r="B9" s="2">
        <v>46175</v>
      </c>
      <c r="C9" t="s">
        <v>24</v>
      </c>
      <c r="D9" t="s">
        <v>30</v>
      </c>
      <c r="E9" t="s">
        <v>12</v>
      </c>
      <c r="F9" t="s">
        <v>28</v>
      </c>
      <c r="G9">
        <v>5</v>
      </c>
      <c r="H9">
        <v>26578.81</v>
      </c>
      <c r="I9">
        <v>132894.04999999999</v>
      </c>
      <c r="J9">
        <f t="shared" si="0"/>
        <v>99670.537499999991</v>
      </c>
      <c r="K9">
        <f t="shared" si="1"/>
        <v>33223.512499999997</v>
      </c>
    </row>
    <row r="10" spans="1:11" x14ac:dyDescent="0.35">
      <c r="A10" t="s">
        <v>31</v>
      </c>
      <c r="B10" s="2">
        <v>46194</v>
      </c>
      <c r="C10" t="s">
        <v>27</v>
      </c>
      <c r="D10" t="s">
        <v>30</v>
      </c>
      <c r="E10" t="s">
        <v>12</v>
      </c>
      <c r="F10" t="s">
        <v>22</v>
      </c>
      <c r="G10">
        <v>5</v>
      </c>
      <c r="H10">
        <v>26532.83</v>
      </c>
      <c r="I10">
        <v>132664.15</v>
      </c>
      <c r="J10">
        <f t="shared" si="0"/>
        <v>99498.112499999988</v>
      </c>
      <c r="K10">
        <f t="shared" si="1"/>
        <v>33166.037500000006</v>
      </c>
    </row>
    <row r="11" spans="1:11" x14ac:dyDescent="0.35">
      <c r="A11" t="s">
        <v>32</v>
      </c>
      <c r="B11" s="2">
        <v>46131</v>
      </c>
      <c r="C11" t="s">
        <v>24</v>
      </c>
      <c r="D11" t="s">
        <v>30</v>
      </c>
      <c r="E11" t="s">
        <v>12</v>
      </c>
      <c r="F11" t="s">
        <v>13</v>
      </c>
      <c r="G11">
        <v>5</v>
      </c>
      <c r="H11">
        <v>25686.86</v>
      </c>
      <c r="I11">
        <v>128434.3</v>
      </c>
      <c r="J11">
        <f t="shared" si="0"/>
        <v>96325.725000000006</v>
      </c>
      <c r="K11">
        <f t="shared" si="1"/>
        <v>32108.574999999997</v>
      </c>
    </row>
    <row r="12" spans="1:11" x14ac:dyDescent="0.35">
      <c r="A12" t="s">
        <v>33</v>
      </c>
      <c r="B12" s="2">
        <v>46243</v>
      </c>
      <c r="C12" t="s">
        <v>10</v>
      </c>
      <c r="D12" t="s">
        <v>30</v>
      </c>
      <c r="E12" t="s">
        <v>12</v>
      </c>
      <c r="F12" t="s">
        <v>16</v>
      </c>
      <c r="G12">
        <v>5</v>
      </c>
      <c r="H12">
        <v>25580.58</v>
      </c>
      <c r="I12">
        <v>127902.9</v>
      </c>
      <c r="J12">
        <f t="shared" si="0"/>
        <v>95927.174999999988</v>
      </c>
      <c r="K12">
        <f t="shared" si="1"/>
        <v>31975.725000000006</v>
      </c>
    </row>
    <row r="13" spans="1:11" x14ac:dyDescent="0.35">
      <c r="A13" t="s">
        <v>34</v>
      </c>
      <c r="B13" s="2">
        <v>46217</v>
      </c>
      <c r="C13" t="s">
        <v>35</v>
      </c>
      <c r="D13" t="s">
        <v>30</v>
      </c>
      <c r="E13" t="s">
        <v>12</v>
      </c>
      <c r="F13" t="s">
        <v>22</v>
      </c>
      <c r="G13">
        <v>4</v>
      </c>
      <c r="H13">
        <v>29769.73</v>
      </c>
      <c r="I13">
        <v>119078.92</v>
      </c>
      <c r="J13">
        <f t="shared" si="0"/>
        <v>89309.19</v>
      </c>
      <c r="K13">
        <f t="shared" si="1"/>
        <v>29769.729999999996</v>
      </c>
    </row>
    <row r="14" spans="1:11" x14ac:dyDescent="0.35">
      <c r="A14" t="s">
        <v>36</v>
      </c>
      <c r="B14" s="2">
        <v>46167</v>
      </c>
      <c r="C14" t="s">
        <v>37</v>
      </c>
      <c r="D14" t="s">
        <v>30</v>
      </c>
      <c r="E14" t="s">
        <v>12</v>
      </c>
      <c r="F14" t="s">
        <v>19</v>
      </c>
      <c r="G14">
        <v>4</v>
      </c>
      <c r="H14">
        <v>28881.29</v>
      </c>
      <c r="I14">
        <v>115525.16</v>
      </c>
      <c r="J14">
        <f t="shared" si="0"/>
        <v>86643.87</v>
      </c>
      <c r="K14">
        <f t="shared" si="1"/>
        <v>28881.290000000008</v>
      </c>
    </row>
    <row r="15" spans="1:11" x14ac:dyDescent="0.35">
      <c r="A15" t="s">
        <v>38</v>
      </c>
      <c r="B15" s="2">
        <v>46110</v>
      </c>
      <c r="C15" t="s">
        <v>39</v>
      </c>
      <c r="D15" t="s">
        <v>11</v>
      </c>
      <c r="E15" t="s">
        <v>12</v>
      </c>
      <c r="F15" t="s">
        <v>22</v>
      </c>
      <c r="G15">
        <v>2</v>
      </c>
      <c r="H15">
        <v>57179.53</v>
      </c>
      <c r="I15">
        <v>114359.06</v>
      </c>
      <c r="J15">
        <f t="shared" si="0"/>
        <v>85769.294999999998</v>
      </c>
      <c r="K15">
        <f t="shared" si="1"/>
        <v>28589.764999999999</v>
      </c>
    </row>
    <row r="16" spans="1:11" x14ac:dyDescent="0.35">
      <c r="A16" t="s">
        <v>40</v>
      </c>
      <c r="B16" s="2">
        <v>46122</v>
      </c>
      <c r="C16" t="s">
        <v>39</v>
      </c>
      <c r="D16" t="s">
        <v>11</v>
      </c>
      <c r="E16" t="s">
        <v>12</v>
      </c>
      <c r="F16" t="s">
        <v>16</v>
      </c>
      <c r="G16">
        <v>2</v>
      </c>
      <c r="H16">
        <v>53668.7</v>
      </c>
      <c r="I16">
        <v>107337.4</v>
      </c>
      <c r="J16">
        <f t="shared" si="0"/>
        <v>80503.049999999988</v>
      </c>
      <c r="K16">
        <f t="shared" si="1"/>
        <v>26834.350000000006</v>
      </c>
    </row>
    <row r="17" spans="1:11" x14ac:dyDescent="0.35">
      <c r="A17" t="s">
        <v>41</v>
      </c>
      <c r="B17" s="2">
        <v>46098</v>
      </c>
      <c r="C17" t="s">
        <v>42</v>
      </c>
      <c r="D17" t="s">
        <v>30</v>
      </c>
      <c r="E17" t="s">
        <v>12</v>
      </c>
      <c r="F17" t="s">
        <v>19</v>
      </c>
      <c r="G17">
        <v>4</v>
      </c>
      <c r="H17">
        <v>25641.279999999999</v>
      </c>
      <c r="I17">
        <v>102565.12</v>
      </c>
      <c r="J17">
        <f t="shared" si="0"/>
        <v>76923.839999999997</v>
      </c>
      <c r="K17">
        <f t="shared" si="1"/>
        <v>25641.279999999999</v>
      </c>
    </row>
    <row r="18" spans="1:11" x14ac:dyDescent="0.35">
      <c r="A18" t="s">
        <v>43</v>
      </c>
      <c r="B18" s="2">
        <v>46131</v>
      </c>
      <c r="C18" t="s">
        <v>44</v>
      </c>
      <c r="D18" t="s">
        <v>45</v>
      </c>
      <c r="E18" t="s">
        <v>12</v>
      </c>
      <c r="F18" t="s">
        <v>19</v>
      </c>
      <c r="G18">
        <v>5</v>
      </c>
      <c r="H18">
        <v>14845.84</v>
      </c>
      <c r="I18">
        <v>74229.2</v>
      </c>
      <c r="J18">
        <f t="shared" si="0"/>
        <v>55671.899999999994</v>
      </c>
      <c r="K18">
        <f t="shared" si="1"/>
        <v>18557.300000000003</v>
      </c>
    </row>
    <row r="19" spans="1:11" x14ac:dyDescent="0.35">
      <c r="A19" t="s">
        <v>46</v>
      </c>
      <c r="B19" s="2">
        <v>46137</v>
      </c>
      <c r="C19" t="s">
        <v>47</v>
      </c>
      <c r="D19" t="s">
        <v>45</v>
      </c>
      <c r="E19" t="s">
        <v>12</v>
      </c>
      <c r="F19" t="s">
        <v>19</v>
      </c>
      <c r="G19">
        <v>5</v>
      </c>
      <c r="H19">
        <v>14758.56</v>
      </c>
      <c r="I19">
        <v>73792.800000000003</v>
      </c>
      <c r="J19">
        <f t="shared" si="0"/>
        <v>55344.600000000006</v>
      </c>
      <c r="K19">
        <f t="shared" si="1"/>
        <v>18448.199999999997</v>
      </c>
    </row>
    <row r="20" spans="1:11" x14ac:dyDescent="0.35">
      <c r="A20" t="s">
        <v>48</v>
      </c>
      <c r="B20" s="2">
        <v>46251</v>
      </c>
      <c r="C20" t="s">
        <v>37</v>
      </c>
      <c r="D20" t="s">
        <v>49</v>
      </c>
      <c r="E20" t="s">
        <v>50</v>
      </c>
      <c r="F20" t="s">
        <v>16</v>
      </c>
      <c r="G20">
        <v>5</v>
      </c>
      <c r="H20">
        <v>12756.02</v>
      </c>
      <c r="I20">
        <v>63780.1</v>
      </c>
      <c r="J20">
        <f t="shared" si="0"/>
        <v>47835.074999999997</v>
      </c>
      <c r="K20">
        <f t="shared" si="1"/>
        <v>15945.025000000001</v>
      </c>
    </row>
    <row r="21" spans="1:11" x14ac:dyDescent="0.35">
      <c r="A21" t="s">
        <v>51</v>
      </c>
      <c r="B21" s="2">
        <v>46120</v>
      </c>
      <c r="C21" t="s">
        <v>44</v>
      </c>
      <c r="D21" t="s">
        <v>45</v>
      </c>
      <c r="E21" t="s">
        <v>12</v>
      </c>
      <c r="F21" t="s">
        <v>28</v>
      </c>
      <c r="G21">
        <v>4</v>
      </c>
      <c r="H21">
        <v>15494.79</v>
      </c>
      <c r="I21">
        <v>61979.16</v>
      </c>
      <c r="J21">
        <f t="shared" si="0"/>
        <v>46484.37</v>
      </c>
      <c r="K21">
        <f t="shared" si="1"/>
        <v>15494.79</v>
      </c>
    </row>
    <row r="22" spans="1:11" x14ac:dyDescent="0.35">
      <c r="A22" t="s">
        <v>52</v>
      </c>
      <c r="B22" s="2">
        <v>46044</v>
      </c>
      <c r="C22" t="s">
        <v>21</v>
      </c>
      <c r="D22" t="s">
        <v>53</v>
      </c>
      <c r="E22" t="s">
        <v>12</v>
      </c>
      <c r="F22" t="s">
        <v>22</v>
      </c>
      <c r="G22">
        <v>5</v>
      </c>
      <c r="H22">
        <v>12391.2</v>
      </c>
      <c r="I22">
        <v>61956</v>
      </c>
      <c r="J22">
        <f t="shared" si="0"/>
        <v>46467</v>
      </c>
      <c r="K22">
        <f t="shared" si="1"/>
        <v>15489</v>
      </c>
    </row>
    <row r="23" spans="1:11" x14ac:dyDescent="0.35">
      <c r="A23" t="s">
        <v>54</v>
      </c>
      <c r="B23" s="2">
        <v>46120</v>
      </c>
      <c r="C23" t="s">
        <v>39</v>
      </c>
      <c r="D23" t="s">
        <v>30</v>
      </c>
      <c r="E23" t="s">
        <v>12</v>
      </c>
      <c r="F23" t="s">
        <v>16</v>
      </c>
      <c r="G23">
        <v>2</v>
      </c>
      <c r="H23">
        <v>30052.31</v>
      </c>
      <c r="I23">
        <v>60104.62</v>
      </c>
      <c r="J23">
        <f t="shared" si="0"/>
        <v>45078.465000000004</v>
      </c>
      <c r="K23">
        <f t="shared" si="1"/>
        <v>15026.154999999999</v>
      </c>
    </row>
    <row r="24" spans="1:11" x14ac:dyDescent="0.35">
      <c r="A24" t="s">
        <v>55</v>
      </c>
      <c r="B24" s="2">
        <v>46089</v>
      </c>
      <c r="C24" t="s">
        <v>44</v>
      </c>
      <c r="D24" t="s">
        <v>11</v>
      </c>
      <c r="E24" t="s">
        <v>12</v>
      </c>
      <c r="F24" t="s">
        <v>28</v>
      </c>
      <c r="G24">
        <v>1</v>
      </c>
      <c r="H24">
        <v>59147.42</v>
      </c>
      <c r="I24">
        <v>59147.42</v>
      </c>
      <c r="J24">
        <f t="shared" si="0"/>
        <v>44360.565000000002</v>
      </c>
      <c r="K24">
        <f t="shared" si="1"/>
        <v>14786.854999999996</v>
      </c>
    </row>
    <row r="25" spans="1:11" x14ac:dyDescent="0.35">
      <c r="A25" t="s">
        <v>56</v>
      </c>
      <c r="B25" s="2">
        <v>46257</v>
      </c>
      <c r="C25" t="s">
        <v>18</v>
      </c>
      <c r="D25" t="s">
        <v>45</v>
      </c>
      <c r="E25" t="s">
        <v>12</v>
      </c>
      <c r="F25" t="s">
        <v>22</v>
      </c>
      <c r="G25">
        <v>4</v>
      </c>
      <c r="H25">
        <v>14686.9</v>
      </c>
      <c r="I25">
        <v>58747.6</v>
      </c>
      <c r="J25">
        <f t="shared" si="0"/>
        <v>44060.7</v>
      </c>
      <c r="K25">
        <f t="shared" si="1"/>
        <v>14686.900000000001</v>
      </c>
    </row>
    <row r="26" spans="1:11" x14ac:dyDescent="0.35">
      <c r="A26" t="s">
        <v>57</v>
      </c>
      <c r="B26" s="2">
        <v>46220</v>
      </c>
      <c r="C26" t="s">
        <v>47</v>
      </c>
      <c r="D26" t="s">
        <v>45</v>
      </c>
      <c r="E26" t="s">
        <v>12</v>
      </c>
      <c r="F26" t="s">
        <v>13</v>
      </c>
      <c r="G26">
        <v>4</v>
      </c>
      <c r="H26">
        <v>14668.43</v>
      </c>
      <c r="I26">
        <v>58673.72</v>
      </c>
      <c r="J26">
        <f t="shared" si="0"/>
        <v>44005.29</v>
      </c>
      <c r="K26">
        <f t="shared" si="1"/>
        <v>14668.43</v>
      </c>
    </row>
    <row r="27" spans="1:11" x14ac:dyDescent="0.35">
      <c r="A27" t="s">
        <v>58</v>
      </c>
      <c r="B27" s="2">
        <v>46080</v>
      </c>
      <c r="C27" t="s">
        <v>59</v>
      </c>
      <c r="D27" t="s">
        <v>30</v>
      </c>
      <c r="E27" t="s">
        <v>12</v>
      </c>
      <c r="F27" t="s">
        <v>22</v>
      </c>
      <c r="G27">
        <v>2</v>
      </c>
      <c r="H27">
        <v>28967.66</v>
      </c>
      <c r="I27">
        <v>57935.32</v>
      </c>
      <c r="J27">
        <f t="shared" si="0"/>
        <v>43451.49</v>
      </c>
      <c r="K27">
        <f t="shared" si="1"/>
        <v>14483.830000000002</v>
      </c>
    </row>
    <row r="28" spans="1:11" x14ac:dyDescent="0.35">
      <c r="A28" t="s">
        <v>60</v>
      </c>
      <c r="B28" s="2">
        <v>46134</v>
      </c>
      <c r="C28" t="s">
        <v>27</v>
      </c>
      <c r="D28" t="s">
        <v>45</v>
      </c>
      <c r="E28" t="s">
        <v>12</v>
      </c>
      <c r="F28" t="s">
        <v>13</v>
      </c>
      <c r="G28">
        <v>4</v>
      </c>
      <c r="H28">
        <v>14158.26</v>
      </c>
      <c r="I28">
        <v>56633.04</v>
      </c>
      <c r="J28">
        <f t="shared" si="0"/>
        <v>42474.78</v>
      </c>
      <c r="K28">
        <f t="shared" si="1"/>
        <v>14158.260000000002</v>
      </c>
    </row>
    <row r="29" spans="1:11" x14ac:dyDescent="0.35">
      <c r="A29" t="s">
        <v>61</v>
      </c>
      <c r="B29" s="2">
        <v>46232</v>
      </c>
      <c r="C29" t="s">
        <v>35</v>
      </c>
      <c r="D29" t="s">
        <v>53</v>
      </c>
      <c r="E29" t="s">
        <v>12</v>
      </c>
      <c r="F29" t="s">
        <v>19</v>
      </c>
      <c r="G29">
        <v>5</v>
      </c>
      <c r="H29">
        <v>10818.78</v>
      </c>
      <c r="I29">
        <v>54093.9</v>
      </c>
      <c r="J29">
        <f t="shared" si="0"/>
        <v>40570.425000000003</v>
      </c>
      <c r="K29">
        <f t="shared" si="1"/>
        <v>13523.474999999999</v>
      </c>
    </row>
    <row r="30" spans="1:11" x14ac:dyDescent="0.35">
      <c r="A30" t="s">
        <v>62</v>
      </c>
      <c r="B30" s="2">
        <v>46250</v>
      </c>
      <c r="C30" t="s">
        <v>15</v>
      </c>
      <c r="D30" t="s">
        <v>30</v>
      </c>
      <c r="E30" t="s">
        <v>12</v>
      </c>
      <c r="F30" t="s">
        <v>28</v>
      </c>
      <c r="G30">
        <v>2</v>
      </c>
      <c r="H30">
        <v>26681.01</v>
      </c>
      <c r="I30">
        <v>53362.02</v>
      </c>
      <c r="J30">
        <f t="shared" si="0"/>
        <v>40021.514999999999</v>
      </c>
      <c r="K30">
        <f t="shared" si="1"/>
        <v>13340.504999999997</v>
      </c>
    </row>
    <row r="31" spans="1:11" x14ac:dyDescent="0.35">
      <c r="A31" t="s">
        <v>63</v>
      </c>
      <c r="B31" s="2">
        <v>46177</v>
      </c>
      <c r="C31" t="s">
        <v>64</v>
      </c>
      <c r="D31" t="s">
        <v>30</v>
      </c>
      <c r="E31" t="s">
        <v>12</v>
      </c>
      <c r="F31" t="s">
        <v>28</v>
      </c>
      <c r="G31">
        <v>2</v>
      </c>
      <c r="H31">
        <v>26502.9</v>
      </c>
      <c r="I31">
        <v>53005.8</v>
      </c>
      <c r="J31">
        <f t="shared" si="0"/>
        <v>39754.350000000006</v>
      </c>
      <c r="K31">
        <f t="shared" si="1"/>
        <v>13251.449999999997</v>
      </c>
    </row>
    <row r="32" spans="1:11" x14ac:dyDescent="0.35">
      <c r="A32" t="s">
        <v>65</v>
      </c>
      <c r="B32" s="2">
        <v>46260</v>
      </c>
      <c r="C32" t="s">
        <v>35</v>
      </c>
      <c r="D32" t="s">
        <v>53</v>
      </c>
      <c r="E32" t="s">
        <v>12</v>
      </c>
      <c r="F32" t="s">
        <v>22</v>
      </c>
      <c r="G32">
        <v>4</v>
      </c>
      <c r="H32">
        <v>13114.47</v>
      </c>
      <c r="I32">
        <v>52457.88</v>
      </c>
      <c r="J32">
        <f t="shared" si="0"/>
        <v>39343.409999999996</v>
      </c>
      <c r="K32">
        <f t="shared" si="1"/>
        <v>13114.470000000001</v>
      </c>
    </row>
    <row r="33" spans="1:11" x14ac:dyDescent="0.35">
      <c r="A33" t="s">
        <v>66</v>
      </c>
      <c r="B33" s="2">
        <v>46144</v>
      </c>
      <c r="C33" t="s">
        <v>42</v>
      </c>
      <c r="D33" t="s">
        <v>11</v>
      </c>
      <c r="E33" t="s">
        <v>12</v>
      </c>
      <c r="F33" t="s">
        <v>13</v>
      </c>
      <c r="G33">
        <v>1</v>
      </c>
      <c r="H33">
        <v>52193.27</v>
      </c>
      <c r="I33">
        <v>52193.27</v>
      </c>
      <c r="J33">
        <f t="shared" si="0"/>
        <v>39144.952499999999</v>
      </c>
      <c r="K33">
        <f t="shared" si="1"/>
        <v>13048.317499999997</v>
      </c>
    </row>
    <row r="34" spans="1:11" x14ac:dyDescent="0.35">
      <c r="A34" t="s">
        <v>67</v>
      </c>
      <c r="B34" s="2">
        <v>46125</v>
      </c>
      <c r="C34" t="s">
        <v>68</v>
      </c>
      <c r="D34" t="s">
        <v>53</v>
      </c>
      <c r="E34" t="s">
        <v>12</v>
      </c>
      <c r="F34" t="s">
        <v>22</v>
      </c>
      <c r="G34">
        <v>4</v>
      </c>
      <c r="H34">
        <v>12954.77</v>
      </c>
      <c r="I34">
        <v>51819.08</v>
      </c>
      <c r="J34">
        <f t="shared" si="0"/>
        <v>38864.31</v>
      </c>
      <c r="K34">
        <f t="shared" si="1"/>
        <v>12954.770000000004</v>
      </c>
    </row>
    <row r="35" spans="1:11" x14ac:dyDescent="0.35">
      <c r="A35" t="s">
        <v>69</v>
      </c>
      <c r="B35" s="2">
        <v>46170</v>
      </c>
      <c r="C35" t="s">
        <v>59</v>
      </c>
      <c r="D35" t="s">
        <v>49</v>
      </c>
      <c r="E35" t="s">
        <v>50</v>
      </c>
      <c r="F35" t="s">
        <v>16</v>
      </c>
      <c r="G35">
        <v>4</v>
      </c>
      <c r="H35">
        <v>12926.73</v>
      </c>
      <c r="I35">
        <v>51706.92</v>
      </c>
      <c r="J35">
        <f t="shared" si="0"/>
        <v>38780.19</v>
      </c>
      <c r="K35">
        <f t="shared" si="1"/>
        <v>12926.729999999996</v>
      </c>
    </row>
    <row r="36" spans="1:11" x14ac:dyDescent="0.35">
      <c r="A36" t="s">
        <v>70</v>
      </c>
      <c r="B36" s="2">
        <v>46264</v>
      </c>
      <c r="C36" t="s">
        <v>68</v>
      </c>
      <c r="D36" t="s">
        <v>53</v>
      </c>
      <c r="E36" t="s">
        <v>12</v>
      </c>
      <c r="F36" t="s">
        <v>19</v>
      </c>
      <c r="G36">
        <v>4</v>
      </c>
      <c r="H36">
        <v>11944.75</v>
      </c>
      <c r="I36">
        <v>47779</v>
      </c>
      <c r="J36">
        <f t="shared" si="0"/>
        <v>35834.25</v>
      </c>
      <c r="K36">
        <f t="shared" si="1"/>
        <v>11944.75</v>
      </c>
    </row>
    <row r="37" spans="1:11" x14ac:dyDescent="0.35">
      <c r="A37" t="s">
        <v>71</v>
      </c>
      <c r="B37" s="2">
        <v>46077</v>
      </c>
      <c r="C37" t="s">
        <v>37</v>
      </c>
      <c r="D37" t="s">
        <v>49</v>
      </c>
      <c r="E37" t="s">
        <v>50</v>
      </c>
      <c r="F37" t="s">
        <v>16</v>
      </c>
      <c r="G37">
        <v>4</v>
      </c>
      <c r="H37">
        <v>11861.18</v>
      </c>
      <c r="I37">
        <v>47444.72</v>
      </c>
      <c r="J37">
        <f t="shared" si="0"/>
        <v>35583.54</v>
      </c>
      <c r="K37">
        <f t="shared" si="1"/>
        <v>11861.18</v>
      </c>
    </row>
    <row r="38" spans="1:11" x14ac:dyDescent="0.35">
      <c r="A38" t="s">
        <v>72</v>
      </c>
      <c r="B38" s="2">
        <v>46052</v>
      </c>
      <c r="C38" t="s">
        <v>73</v>
      </c>
      <c r="D38" t="s">
        <v>74</v>
      </c>
      <c r="E38" t="s">
        <v>50</v>
      </c>
      <c r="F38" t="s">
        <v>28</v>
      </c>
      <c r="G38">
        <v>5</v>
      </c>
      <c r="H38">
        <v>9323.2000000000007</v>
      </c>
      <c r="I38">
        <v>46616</v>
      </c>
      <c r="J38">
        <f t="shared" si="0"/>
        <v>34962</v>
      </c>
      <c r="K38">
        <f t="shared" si="1"/>
        <v>11654</v>
      </c>
    </row>
    <row r="39" spans="1:11" x14ac:dyDescent="0.35">
      <c r="A39" t="s">
        <v>75</v>
      </c>
      <c r="B39" s="2">
        <v>46190</v>
      </c>
      <c r="C39" t="s">
        <v>64</v>
      </c>
      <c r="D39" t="s">
        <v>49</v>
      </c>
      <c r="E39" t="s">
        <v>50</v>
      </c>
      <c r="F39" t="s">
        <v>13</v>
      </c>
      <c r="G39">
        <v>4</v>
      </c>
      <c r="H39">
        <v>11385.56</v>
      </c>
      <c r="I39">
        <v>45542.239999999998</v>
      </c>
      <c r="J39">
        <f t="shared" si="0"/>
        <v>34156.68</v>
      </c>
      <c r="K39">
        <f t="shared" si="1"/>
        <v>11385.559999999998</v>
      </c>
    </row>
    <row r="40" spans="1:11" x14ac:dyDescent="0.35">
      <c r="A40" t="s">
        <v>76</v>
      </c>
      <c r="B40" s="2">
        <v>46205</v>
      </c>
      <c r="C40" t="s">
        <v>77</v>
      </c>
      <c r="D40" t="s">
        <v>45</v>
      </c>
      <c r="E40" t="s">
        <v>12</v>
      </c>
      <c r="F40" t="s">
        <v>22</v>
      </c>
      <c r="G40">
        <v>3</v>
      </c>
      <c r="H40">
        <v>14819.62</v>
      </c>
      <c r="I40">
        <v>44458.86</v>
      </c>
      <c r="J40">
        <f t="shared" si="0"/>
        <v>33344.145000000004</v>
      </c>
      <c r="K40">
        <f t="shared" si="1"/>
        <v>11114.714999999997</v>
      </c>
    </row>
    <row r="41" spans="1:11" x14ac:dyDescent="0.35">
      <c r="A41" t="s">
        <v>78</v>
      </c>
      <c r="B41" s="2">
        <v>46135</v>
      </c>
      <c r="C41" t="s">
        <v>35</v>
      </c>
      <c r="D41" t="s">
        <v>45</v>
      </c>
      <c r="E41" t="s">
        <v>12</v>
      </c>
      <c r="F41" t="s">
        <v>19</v>
      </c>
      <c r="G41">
        <v>3</v>
      </c>
      <c r="H41">
        <v>14354.96</v>
      </c>
      <c r="I41">
        <v>43064.88</v>
      </c>
      <c r="J41">
        <f t="shared" si="0"/>
        <v>32298.659999999996</v>
      </c>
      <c r="K41">
        <f t="shared" si="1"/>
        <v>10766.220000000001</v>
      </c>
    </row>
    <row r="42" spans="1:11" x14ac:dyDescent="0.35">
      <c r="A42" t="s">
        <v>79</v>
      </c>
      <c r="B42" s="2">
        <v>46202</v>
      </c>
      <c r="C42" t="s">
        <v>15</v>
      </c>
      <c r="D42" t="s">
        <v>45</v>
      </c>
      <c r="E42" t="s">
        <v>12</v>
      </c>
      <c r="F42" t="s">
        <v>16</v>
      </c>
      <c r="G42">
        <v>3</v>
      </c>
      <c r="H42">
        <v>13977.59</v>
      </c>
      <c r="I42">
        <v>41932.769999999997</v>
      </c>
      <c r="J42">
        <f t="shared" si="0"/>
        <v>31449.577499999999</v>
      </c>
      <c r="K42">
        <f t="shared" si="1"/>
        <v>10483.192499999997</v>
      </c>
    </row>
    <row r="43" spans="1:11" x14ac:dyDescent="0.35">
      <c r="A43" t="s">
        <v>80</v>
      </c>
      <c r="B43" s="2">
        <v>46120</v>
      </c>
      <c r="C43" t="s">
        <v>15</v>
      </c>
      <c r="D43" t="s">
        <v>45</v>
      </c>
      <c r="E43" t="s">
        <v>12</v>
      </c>
      <c r="F43" t="s">
        <v>19</v>
      </c>
      <c r="G43">
        <v>3</v>
      </c>
      <c r="H43">
        <v>13806.63</v>
      </c>
      <c r="I43">
        <v>41419.89</v>
      </c>
      <c r="J43">
        <f t="shared" si="0"/>
        <v>31064.9175</v>
      </c>
      <c r="K43">
        <f t="shared" si="1"/>
        <v>10354.9725</v>
      </c>
    </row>
    <row r="44" spans="1:11" x14ac:dyDescent="0.35">
      <c r="A44" t="s">
        <v>81</v>
      </c>
      <c r="B44" s="2">
        <v>46134</v>
      </c>
      <c r="C44" t="s">
        <v>64</v>
      </c>
      <c r="D44" t="s">
        <v>45</v>
      </c>
      <c r="E44" t="s">
        <v>12</v>
      </c>
      <c r="F44" t="s">
        <v>28</v>
      </c>
      <c r="G44">
        <v>3</v>
      </c>
      <c r="H44">
        <v>13633.16</v>
      </c>
      <c r="I44">
        <v>40899.480000000003</v>
      </c>
      <c r="J44">
        <f t="shared" si="0"/>
        <v>30674.61</v>
      </c>
      <c r="K44">
        <f t="shared" si="1"/>
        <v>10224.870000000003</v>
      </c>
    </row>
    <row r="45" spans="1:11" x14ac:dyDescent="0.35">
      <c r="A45" t="s">
        <v>82</v>
      </c>
      <c r="B45" s="2">
        <v>46073</v>
      </c>
      <c r="C45" t="s">
        <v>83</v>
      </c>
      <c r="D45" t="s">
        <v>74</v>
      </c>
      <c r="E45" t="s">
        <v>50</v>
      </c>
      <c r="F45" t="s">
        <v>28</v>
      </c>
      <c r="G45">
        <v>4</v>
      </c>
      <c r="H45">
        <v>9250.5</v>
      </c>
      <c r="I45">
        <v>37002</v>
      </c>
      <c r="J45">
        <f t="shared" si="0"/>
        <v>27751.5</v>
      </c>
      <c r="K45">
        <f t="shared" si="1"/>
        <v>9250.5</v>
      </c>
    </row>
    <row r="46" spans="1:11" x14ac:dyDescent="0.35">
      <c r="A46" t="s">
        <v>84</v>
      </c>
      <c r="B46" s="2">
        <v>46236</v>
      </c>
      <c r="C46" t="s">
        <v>64</v>
      </c>
      <c r="D46" t="s">
        <v>53</v>
      </c>
      <c r="E46" t="s">
        <v>12</v>
      </c>
      <c r="F46" t="s">
        <v>19</v>
      </c>
      <c r="G46">
        <v>3</v>
      </c>
      <c r="H46">
        <v>11774.58</v>
      </c>
      <c r="I46">
        <v>35323.74</v>
      </c>
      <c r="J46">
        <f t="shared" si="0"/>
        <v>26492.805</v>
      </c>
      <c r="K46">
        <f t="shared" si="1"/>
        <v>8830.9349999999977</v>
      </c>
    </row>
    <row r="47" spans="1:11" x14ac:dyDescent="0.35">
      <c r="A47" t="s">
        <v>85</v>
      </c>
      <c r="B47" s="2">
        <v>46248</v>
      </c>
      <c r="C47" t="s">
        <v>73</v>
      </c>
      <c r="D47" t="s">
        <v>49</v>
      </c>
      <c r="E47" t="s">
        <v>50</v>
      </c>
      <c r="F47" t="s">
        <v>19</v>
      </c>
      <c r="G47">
        <v>3</v>
      </c>
      <c r="H47">
        <v>11610</v>
      </c>
      <c r="I47">
        <v>34830</v>
      </c>
      <c r="J47">
        <f t="shared" si="0"/>
        <v>26122.5</v>
      </c>
      <c r="K47">
        <f t="shared" si="1"/>
        <v>8707.5</v>
      </c>
    </row>
    <row r="48" spans="1:11" x14ac:dyDescent="0.35">
      <c r="A48" t="s">
        <v>86</v>
      </c>
      <c r="B48" s="2">
        <v>46142</v>
      </c>
      <c r="C48" t="s">
        <v>37</v>
      </c>
      <c r="D48" t="s">
        <v>74</v>
      </c>
      <c r="E48" t="s">
        <v>50</v>
      </c>
      <c r="F48" t="s">
        <v>19</v>
      </c>
      <c r="G48">
        <v>4</v>
      </c>
      <c r="H48">
        <v>8663.01</v>
      </c>
      <c r="I48">
        <v>34652.04</v>
      </c>
      <c r="J48">
        <f t="shared" si="0"/>
        <v>25989.03</v>
      </c>
      <c r="K48">
        <f t="shared" si="1"/>
        <v>8663.010000000002</v>
      </c>
    </row>
    <row r="49" spans="1:11" x14ac:dyDescent="0.35">
      <c r="A49" t="s">
        <v>87</v>
      </c>
      <c r="B49" s="2">
        <v>46211</v>
      </c>
      <c r="C49" t="s">
        <v>35</v>
      </c>
      <c r="D49" t="s">
        <v>74</v>
      </c>
      <c r="E49" t="s">
        <v>50</v>
      </c>
      <c r="F49" t="s">
        <v>28</v>
      </c>
      <c r="G49">
        <v>4</v>
      </c>
      <c r="H49">
        <v>8564.9699999999993</v>
      </c>
      <c r="I49">
        <v>34259.879999999997</v>
      </c>
      <c r="J49">
        <f t="shared" si="0"/>
        <v>25694.909999999996</v>
      </c>
      <c r="K49">
        <f t="shared" si="1"/>
        <v>8564.9700000000012</v>
      </c>
    </row>
    <row r="50" spans="1:11" x14ac:dyDescent="0.35">
      <c r="A50" t="s">
        <v>88</v>
      </c>
      <c r="B50" s="2">
        <v>46142</v>
      </c>
      <c r="C50" t="s">
        <v>21</v>
      </c>
      <c r="D50" t="s">
        <v>74</v>
      </c>
      <c r="E50" t="s">
        <v>50</v>
      </c>
      <c r="F50" t="s">
        <v>13</v>
      </c>
      <c r="G50">
        <v>4</v>
      </c>
      <c r="H50">
        <v>8212.5</v>
      </c>
      <c r="I50">
        <v>32850</v>
      </c>
      <c r="J50">
        <f t="shared" si="0"/>
        <v>24637.5</v>
      </c>
      <c r="K50">
        <f t="shared" si="1"/>
        <v>8212.5</v>
      </c>
    </row>
    <row r="51" spans="1:11" x14ac:dyDescent="0.35">
      <c r="A51" t="s">
        <v>89</v>
      </c>
      <c r="B51" s="2">
        <v>46182</v>
      </c>
      <c r="C51" t="s">
        <v>90</v>
      </c>
      <c r="D51" t="s">
        <v>45</v>
      </c>
      <c r="E51" t="s">
        <v>12</v>
      </c>
      <c r="F51" t="s">
        <v>22</v>
      </c>
      <c r="G51">
        <v>2</v>
      </c>
      <c r="H51">
        <v>16017.69</v>
      </c>
      <c r="I51">
        <v>32035.38</v>
      </c>
      <c r="J51">
        <f t="shared" si="0"/>
        <v>24026.535</v>
      </c>
      <c r="K51">
        <f t="shared" si="1"/>
        <v>8008.8450000000012</v>
      </c>
    </row>
    <row r="52" spans="1:11" x14ac:dyDescent="0.35">
      <c r="A52" t="s">
        <v>91</v>
      </c>
      <c r="B52" s="2">
        <v>46113</v>
      </c>
      <c r="C52" t="s">
        <v>35</v>
      </c>
      <c r="D52" t="s">
        <v>45</v>
      </c>
      <c r="E52" t="s">
        <v>12</v>
      </c>
      <c r="F52" t="s">
        <v>16</v>
      </c>
      <c r="G52">
        <v>2</v>
      </c>
      <c r="H52">
        <v>15500.8</v>
      </c>
      <c r="I52">
        <v>31001.599999999999</v>
      </c>
      <c r="J52">
        <f t="shared" si="0"/>
        <v>23251.199999999997</v>
      </c>
      <c r="K52">
        <f t="shared" si="1"/>
        <v>7750.4000000000015</v>
      </c>
    </row>
    <row r="53" spans="1:11" x14ac:dyDescent="0.35">
      <c r="A53" t="s">
        <v>92</v>
      </c>
      <c r="B53" s="2">
        <v>46199</v>
      </c>
      <c r="C53" t="s">
        <v>90</v>
      </c>
      <c r="D53" t="s">
        <v>30</v>
      </c>
      <c r="E53" t="s">
        <v>12</v>
      </c>
      <c r="F53" t="s">
        <v>28</v>
      </c>
      <c r="G53">
        <v>1</v>
      </c>
      <c r="H53">
        <v>30492.29</v>
      </c>
      <c r="I53">
        <v>30492.29</v>
      </c>
      <c r="J53">
        <f t="shared" si="0"/>
        <v>22869.217499999999</v>
      </c>
      <c r="K53">
        <f t="shared" si="1"/>
        <v>7623.072500000002</v>
      </c>
    </row>
    <row r="54" spans="1:11" x14ac:dyDescent="0.35">
      <c r="A54" t="s">
        <v>93</v>
      </c>
      <c r="B54" s="2">
        <v>46146</v>
      </c>
      <c r="C54" t="s">
        <v>59</v>
      </c>
      <c r="D54" t="s">
        <v>45</v>
      </c>
      <c r="E54" t="s">
        <v>12</v>
      </c>
      <c r="F54" t="s">
        <v>16</v>
      </c>
      <c r="G54">
        <v>2</v>
      </c>
      <c r="H54">
        <v>14719.24</v>
      </c>
      <c r="I54">
        <v>29438.48</v>
      </c>
      <c r="J54">
        <f t="shared" si="0"/>
        <v>22078.86</v>
      </c>
      <c r="K54">
        <f t="shared" si="1"/>
        <v>7359.619999999999</v>
      </c>
    </row>
    <row r="55" spans="1:11" x14ac:dyDescent="0.35">
      <c r="A55" t="s">
        <v>94</v>
      </c>
      <c r="B55" s="2">
        <v>46085</v>
      </c>
      <c r="C55" t="s">
        <v>10</v>
      </c>
      <c r="D55" t="s">
        <v>30</v>
      </c>
      <c r="E55" t="s">
        <v>12</v>
      </c>
      <c r="F55" t="s">
        <v>22</v>
      </c>
      <c r="G55">
        <v>1</v>
      </c>
      <c r="H55">
        <v>29352.68</v>
      </c>
      <c r="I55">
        <v>29352.68</v>
      </c>
      <c r="J55">
        <f t="shared" si="0"/>
        <v>22014.510000000002</v>
      </c>
      <c r="K55">
        <f t="shared" si="1"/>
        <v>7338.1699999999983</v>
      </c>
    </row>
    <row r="56" spans="1:11" x14ac:dyDescent="0.35">
      <c r="A56" t="s">
        <v>95</v>
      </c>
      <c r="B56" s="2">
        <v>46113</v>
      </c>
      <c r="C56" t="s">
        <v>21</v>
      </c>
      <c r="D56" t="s">
        <v>30</v>
      </c>
      <c r="E56" t="s">
        <v>12</v>
      </c>
      <c r="F56" t="s">
        <v>16</v>
      </c>
      <c r="G56">
        <v>1</v>
      </c>
      <c r="H56">
        <v>28890.3</v>
      </c>
      <c r="I56">
        <v>28890.3</v>
      </c>
      <c r="J56">
        <f t="shared" si="0"/>
        <v>21667.724999999999</v>
      </c>
      <c r="K56">
        <f t="shared" si="1"/>
        <v>7222.5750000000007</v>
      </c>
    </row>
    <row r="57" spans="1:11" x14ac:dyDescent="0.35">
      <c r="A57" t="s">
        <v>96</v>
      </c>
      <c r="B57" s="2">
        <v>46161</v>
      </c>
      <c r="C57" t="s">
        <v>64</v>
      </c>
      <c r="D57" t="s">
        <v>30</v>
      </c>
      <c r="E57" t="s">
        <v>12</v>
      </c>
      <c r="F57" t="s">
        <v>13</v>
      </c>
      <c r="G57">
        <v>1</v>
      </c>
      <c r="H57">
        <v>28852.01</v>
      </c>
      <c r="I57">
        <v>28852.01</v>
      </c>
      <c r="J57">
        <f t="shared" si="0"/>
        <v>21639.0075</v>
      </c>
      <c r="K57">
        <f t="shared" si="1"/>
        <v>7213.0024999999987</v>
      </c>
    </row>
    <row r="58" spans="1:11" x14ac:dyDescent="0.35">
      <c r="A58" t="s">
        <v>97</v>
      </c>
      <c r="B58" s="2">
        <v>46186</v>
      </c>
      <c r="C58" t="s">
        <v>35</v>
      </c>
      <c r="D58" t="s">
        <v>74</v>
      </c>
      <c r="E58" t="s">
        <v>50</v>
      </c>
      <c r="F58" t="s">
        <v>22</v>
      </c>
      <c r="G58">
        <v>3</v>
      </c>
      <c r="H58">
        <v>9332.19</v>
      </c>
      <c r="I58">
        <v>27996.57</v>
      </c>
      <c r="J58">
        <f t="shared" si="0"/>
        <v>20997.427499999998</v>
      </c>
      <c r="K58">
        <f t="shared" si="1"/>
        <v>6999.1425000000017</v>
      </c>
    </row>
    <row r="59" spans="1:11" x14ac:dyDescent="0.35">
      <c r="A59" t="s">
        <v>98</v>
      </c>
      <c r="B59" s="2">
        <v>46167</v>
      </c>
      <c r="C59" t="s">
        <v>15</v>
      </c>
      <c r="D59" t="s">
        <v>30</v>
      </c>
      <c r="E59" t="s">
        <v>12</v>
      </c>
      <c r="F59" t="s">
        <v>13</v>
      </c>
      <c r="G59">
        <v>1</v>
      </c>
      <c r="H59">
        <v>27766.400000000001</v>
      </c>
      <c r="I59">
        <v>27766.400000000001</v>
      </c>
      <c r="J59">
        <f t="shared" si="0"/>
        <v>20824.800000000003</v>
      </c>
      <c r="K59">
        <f t="shared" si="1"/>
        <v>6941.5999999999985</v>
      </c>
    </row>
    <row r="60" spans="1:11" x14ac:dyDescent="0.35">
      <c r="A60" t="s">
        <v>99</v>
      </c>
      <c r="B60" s="2">
        <v>46143</v>
      </c>
      <c r="C60" t="s">
        <v>64</v>
      </c>
      <c r="D60" t="s">
        <v>74</v>
      </c>
      <c r="E60" t="s">
        <v>50</v>
      </c>
      <c r="F60" t="s">
        <v>28</v>
      </c>
      <c r="G60">
        <v>3</v>
      </c>
      <c r="H60">
        <v>9069.35</v>
      </c>
      <c r="I60">
        <v>27208.05</v>
      </c>
      <c r="J60">
        <f t="shared" si="0"/>
        <v>20406.037499999999</v>
      </c>
      <c r="K60">
        <f t="shared" si="1"/>
        <v>6802.0125000000007</v>
      </c>
    </row>
    <row r="61" spans="1:11" x14ac:dyDescent="0.35">
      <c r="A61" t="s">
        <v>100</v>
      </c>
      <c r="B61" s="2">
        <v>46050</v>
      </c>
      <c r="C61" t="s">
        <v>10</v>
      </c>
      <c r="D61" t="s">
        <v>74</v>
      </c>
      <c r="E61" t="s">
        <v>50</v>
      </c>
      <c r="F61" t="s">
        <v>22</v>
      </c>
      <c r="G61">
        <v>3</v>
      </c>
      <c r="H61">
        <v>9011.01</v>
      </c>
      <c r="I61">
        <v>27033.03</v>
      </c>
      <c r="J61">
        <f t="shared" si="0"/>
        <v>20274.772499999999</v>
      </c>
      <c r="K61">
        <f t="shared" si="1"/>
        <v>6758.2574999999997</v>
      </c>
    </row>
    <row r="62" spans="1:11" x14ac:dyDescent="0.35">
      <c r="A62" t="s">
        <v>101</v>
      </c>
      <c r="B62" s="2">
        <v>46254</v>
      </c>
      <c r="C62" t="s">
        <v>24</v>
      </c>
      <c r="D62" t="s">
        <v>30</v>
      </c>
      <c r="E62" t="s">
        <v>12</v>
      </c>
      <c r="F62" t="s">
        <v>19</v>
      </c>
      <c r="G62">
        <v>1</v>
      </c>
      <c r="H62">
        <v>26482.07</v>
      </c>
      <c r="I62">
        <v>26482.07</v>
      </c>
      <c r="J62">
        <f t="shared" si="0"/>
        <v>19861.552499999998</v>
      </c>
      <c r="K62">
        <f t="shared" si="1"/>
        <v>6620.5175000000017</v>
      </c>
    </row>
    <row r="63" spans="1:11" x14ac:dyDescent="0.35">
      <c r="A63" t="s">
        <v>102</v>
      </c>
      <c r="B63" s="2">
        <v>46227</v>
      </c>
      <c r="C63" t="s">
        <v>73</v>
      </c>
      <c r="D63" t="s">
        <v>74</v>
      </c>
      <c r="E63" t="s">
        <v>50</v>
      </c>
      <c r="F63" t="s">
        <v>22</v>
      </c>
      <c r="G63">
        <v>3</v>
      </c>
      <c r="H63">
        <v>8787.09</v>
      </c>
      <c r="I63">
        <v>26361.27</v>
      </c>
      <c r="J63">
        <f t="shared" si="0"/>
        <v>19770.952499999999</v>
      </c>
      <c r="K63">
        <f t="shared" si="1"/>
        <v>6590.317500000001</v>
      </c>
    </row>
    <row r="64" spans="1:11" x14ac:dyDescent="0.35">
      <c r="A64" t="s">
        <v>103</v>
      </c>
      <c r="B64" s="2">
        <v>46159</v>
      </c>
      <c r="C64" t="s">
        <v>64</v>
      </c>
      <c r="D64" t="s">
        <v>49</v>
      </c>
      <c r="E64" t="s">
        <v>50</v>
      </c>
      <c r="F64" t="s">
        <v>16</v>
      </c>
      <c r="G64">
        <v>2</v>
      </c>
      <c r="H64">
        <v>13153.73</v>
      </c>
      <c r="I64">
        <v>26307.46</v>
      </c>
      <c r="J64">
        <f t="shared" si="0"/>
        <v>19730.595000000001</v>
      </c>
      <c r="K64">
        <f t="shared" si="1"/>
        <v>6576.864999999998</v>
      </c>
    </row>
    <row r="65" spans="1:11" x14ac:dyDescent="0.35">
      <c r="A65" t="s">
        <v>104</v>
      </c>
      <c r="B65" s="2">
        <v>46235</v>
      </c>
      <c r="C65" t="s">
        <v>18</v>
      </c>
      <c r="D65" t="s">
        <v>74</v>
      </c>
      <c r="E65" t="s">
        <v>50</v>
      </c>
      <c r="F65" t="s">
        <v>22</v>
      </c>
      <c r="G65">
        <v>3</v>
      </c>
      <c r="H65">
        <v>8730.49</v>
      </c>
      <c r="I65">
        <v>26191.47</v>
      </c>
      <c r="J65">
        <f t="shared" si="0"/>
        <v>19643.602500000001</v>
      </c>
      <c r="K65">
        <f t="shared" si="1"/>
        <v>6547.8675000000003</v>
      </c>
    </row>
    <row r="66" spans="1:11" x14ac:dyDescent="0.35">
      <c r="A66" t="s">
        <v>105</v>
      </c>
      <c r="B66" s="2">
        <v>46083</v>
      </c>
      <c r="C66" t="s">
        <v>44</v>
      </c>
      <c r="D66" t="s">
        <v>53</v>
      </c>
      <c r="E66" t="s">
        <v>12</v>
      </c>
      <c r="F66" t="s">
        <v>22</v>
      </c>
      <c r="G66">
        <v>2</v>
      </c>
      <c r="H66">
        <v>13021.83</v>
      </c>
      <c r="I66">
        <v>26043.66</v>
      </c>
      <c r="J66">
        <f t="shared" ref="J66:J121" si="2">I66*75%</f>
        <v>19532.744999999999</v>
      </c>
      <c r="K66">
        <f t="shared" si="1"/>
        <v>6510.9150000000009</v>
      </c>
    </row>
    <row r="67" spans="1:11" x14ac:dyDescent="0.35">
      <c r="A67" t="s">
        <v>106</v>
      </c>
      <c r="B67" s="2">
        <v>46042</v>
      </c>
      <c r="C67" t="s">
        <v>18</v>
      </c>
      <c r="D67" t="s">
        <v>49</v>
      </c>
      <c r="E67" t="s">
        <v>50</v>
      </c>
      <c r="F67" t="s">
        <v>28</v>
      </c>
      <c r="G67">
        <v>2</v>
      </c>
      <c r="H67">
        <v>12898.77</v>
      </c>
      <c r="I67">
        <v>25797.54</v>
      </c>
      <c r="J67">
        <f t="shared" si="2"/>
        <v>19348.154999999999</v>
      </c>
      <c r="K67">
        <f t="shared" ref="K67:K121" si="3">I67-J67</f>
        <v>6449.385000000002</v>
      </c>
    </row>
    <row r="68" spans="1:11" x14ac:dyDescent="0.35">
      <c r="A68" t="s">
        <v>107</v>
      </c>
      <c r="B68" s="2">
        <v>46229</v>
      </c>
      <c r="C68" t="s">
        <v>21</v>
      </c>
      <c r="D68" t="s">
        <v>49</v>
      </c>
      <c r="E68" t="s">
        <v>50</v>
      </c>
      <c r="F68" t="s">
        <v>22</v>
      </c>
      <c r="G68">
        <v>2</v>
      </c>
      <c r="H68">
        <v>12683.09</v>
      </c>
      <c r="I68">
        <v>25366.18</v>
      </c>
      <c r="J68">
        <f t="shared" si="2"/>
        <v>19024.635000000002</v>
      </c>
      <c r="K68">
        <f t="shared" si="3"/>
        <v>6341.5449999999983</v>
      </c>
    </row>
    <row r="69" spans="1:11" x14ac:dyDescent="0.35">
      <c r="A69" t="s">
        <v>108</v>
      </c>
      <c r="B69" s="2">
        <v>46098</v>
      </c>
      <c r="C69" t="s">
        <v>35</v>
      </c>
      <c r="D69" t="s">
        <v>74</v>
      </c>
      <c r="E69" t="s">
        <v>50</v>
      </c>
      <c r="F69" t="s">
        <v>22</v>
      </c>
      <c r="G69">
        <v>3</v>
      </c>
      <c r="H69">
        <v>8334.08</v>
      </c>
      <c r="I69">
        <v>25002.240000000002</v>
      </c>
      <c r="J69">
        <f t="shared" si="2"/>
        <v>18751.68</v>
      </c>
      <c r="K69">
        <f t="shared" si="3"/>
        <v>6250.5600000000013</v>
      </c>
    </row>
    <row r="70" spans="1:11" x14ac:dyDescent="0.35">
      <c r="A70" t="s">
        <v>109</v>
      </c>
      <c r="B70" s="2">
        <v>46034</v>
      </c>
      <c r="C70" t="s">
        <v>10</v>
      </c>
      <c r="D70" t="s">
        <v>53</v>
      </c>
      <c r="E70" t="s">
        <v>12</v>
      </c>
      <c r="F70" t="s">
        <v>19</v>
      </c>
      <c r="G70">
        <v>2</v>
      </c>
      <c r="H70">
        <v>12490.97</v>
      </c>
      <c r="I70">
        <v>24981.94</v>
      </c>
      <c r="J70">
        <f t="shared" si="2"/>
        <v>18736.454999999998</v>
      </c>
      <c r="K70">
        <f t="shared" si="3"/>
        <v>6245.4850000000006</v>
      </c>
    </row>
    <row r="71" spans="1:11" x14ac:dyDescent="0.35">
      <c r="A71" t="s">
        <v>110</v>
      </c>
      <c r="B71" s="2">
        <v>46085</v>
      </c>
      <c r="C71" t="s">
        <v>44</v>
      </c>
      <c r="D71" t="s">
        <v>53</v>
      </c>
      <c r="E71" t="s">
        <v>12</v>
      </c>
      <c r="F71" t="s">
        <v>16</v>
      </c>
      <c r="G71">
        <v>2</v>
      </c>
      <c r="H71">
        <v>12081.94</v>
      </c>
      <c r="I71">
        <v>24163.88</v>
      </c>
      <c r="J71">
        <f t="shared" si="2"/>
        <v>18122.91</v>
      </c>
      <c r="K71">
        <f t="shared" si="3"/>
        <v>6040.9700000000012</v>
      </c>
    </row>
    <row r="72" spans="1:11" x14ac:dyDescent="0.35">
      <c r="A72" t="s">
        <v>111</v>
      </c>
      <c r="B72" s="2">
        <v>46108</v>
      </c>
      <c r="C72" t="s">
        <v>90</v>
      </c>
      <c r="D72" t="s">
        <v>74</v>
      </c>
      <c r="E72" t="s">
        <v>50</v>
      </c>
      <c r="F72" t="s">
        <v>19</v>
      </c>
      <c r="G72">
        <v>3</v>
      </c>
      <c r="H72">
        <v>7724.95</v>
      </c>
      <c r="I72">
        <v>23174.85</v>
      </c>
      <c r="J72">
        <f t="shared" si="2"/>
        <v>17381.137499999997</v>
      </c>
      <c r="K72">
        <f t="shared" si="3"/>
        <v>5793.7125000000015</v>
      </c>
    </row>
    <row r="73" spans="1:11" x14ac:dyDescent="0.35">
      <c r="A73" t="s">
        <v>112</v>
      </c>
      <c r="B73" s="2">
        <v>46120</v>
      </c>
      <c r="C73" t="s">
        <v>113</v>
      </c>
      <c r="D73" t="s">
        <v>49</v>
      </c>
      <c r="E73" t="s">
        <v>50</v>
      </c>
      <c r="F73" t="s">
        <v>22</v>
      </c>
      <c r="G73">
        <v>2</v>
      </c>
      <c r="H73">
        <v>10920.68</v>
      </c>
      <c r="I73">
        <v>21841.360000000001</v>
      </c>
      <c r="J73">
        <f t="shared" si="2"/>
        <v>16381.02</v>
      </c>
      <c r="K73">
        <f t="shared" si="3"/>
        <v>5460.34</v>
      </c>
    </row>
    <row r="74" spans="1:11" x14ac:dyDescent="0.35">
      <c r="A74" t="s">
        <v>114</v>
      </c>
      <c r="B74" s="2">
        <v>46099</v>
      </c>
      <c r="C74" t="s">
        <v>18</v>
      </c>
      <c r="D74" t="s">
        <v>74</v>
      </c>
      <c r="E74" t="s">
        <v>50</v>
      </c>
      <c r="F74" t="s">
        <v>19</v>
      </c>
      <c r="G74">
        <v>2</v>
      </c>
      <c r="H74">
        <v>8791.8700000000008</v>
      </c>
      <c r="I74">
        <v>17583.740000000002</v>
      </c>
      <c r="J74">
        <f t="shared" si="2"/>
        <v>13187.805</v>
      </c>
      <c r="K74">
        <f t="shared" si="3"/>
        <v>4395.9350000000013</v>
      </c>
    </row>
    <row r="75" spans="1:11" x14ac:dyDescent="0.35">
      <c r="A75" t="s">
        <v>115</v>
      </c>
      <c r="B75" s="2">
        <v>46201</v>
      </c>
      <c r="C75" t="s">
        <v>37</v>
      </c>
      <c r="D75" t="s">
        <v>74</v>
      </c>
      <c r="E75" t="s">
        <v>50</v>
      </c>
      <c r="F75" t="s">
        <v>16</v>
      </c>
      <c r="G75">
        <v>2</v>
      </c>
      <c r="H75">
        <v>7949.01</v>
      </c>
      <c r="I75">
        <v>15898.02</v>
      </c>
      <c r="J75">
        <f t="shared" si="2"/>
        <v>11923.514999999999</v>
      </c>
      <c r="K75">
        <f t="shared" si="3"/>
        <v>3974.505000000001</v>
      </c>
    </row>
    <row r="76" spans="1:11" x14ac:dyDescent="0.35">
      <c r="A76" t="s">
        <v>116</v>
      </c>
      <c r="B76" s="2">
        <v>46100</v>
      </c>
      <c r="C76" t="s">
        <v>42</v>
      </c>
      <c r="D76" t="s">
        <v>45</v>
      </c>
      <c r="E76" t="s">
        <v>12</v>
      </c>
      <c r="F76" t="s">
        <v>13</v>
      </c>
      <c r="G76">
        <v>1</v>
      </c>
      <c r="H76">
        <v>15591.58</v>
      </c>
      <c r="I76">
        <v>15591.58</v>
      </c>
      <c r="J76">
        <f t="shared" si="2"/>
        <v>11693.684999999999</v>
      </c>
      <c r="K76">
        <f t="shared" si="3"/>
        <v>3897.8950000000004</v>
      </c>
    </row>
    <row r="77" spans="1:11" x14ac:dyDescent="0.35">
      <c r="A77" t="s">
        <v>117</v>
      </c>
      <c r="B77" s="2">
        <v>46216</v>
      </c>
      <c r="C77" t="s">
        <v>24</v>
      </c>
      <c r="D77" t="s">
        <v>118</v>
      </c>
      <c r="E77" t="s">
        <v>12</v>
      </c>
      <c r="F77" t="s">
        <v>13</v>
      </c>
      <c r="G77">
        <v>5</v>
      </c>
      <c r="H77">
        <v>2496.7600000000002</v>
      </c>
      <c r="I77">
        <v>12483.8</v>
      </c>
      <c r="J77">
        <f t="shared" si="2"/>
        <v>9362.8499999999985</v>
      </c>
      <c r="K77">
        <f t="shared" si="3"/>
        <v>3120.9500000000007</v>
      </c>
    </row>
    <row r="78" spans="1:11" x14ac:dyDescent="0.35">
      <c r="A78" t="s">
        <v>119</v>
      </c>
      <c r="B78" s="2">
        <v>46188</v>
      </c>
      <c r="C78" t="s">
        <v>15</v>
      </c>
      <c r="D78" t="s">
        <v>49</v>
      </c>
      <c r="E78" t="s">
        <v>50</v>
      </c>
      <c r="F78" t="s">
        <v>13</v>
      </c>
      <c r="G78">
        <v>1</v>
      </c>
      <c r="H78">
        <v>12416.07</v>
      </c>
      <c r="I78">
        <v>12416.07</v>
      </c>
      <c r="J78">
        <f t="shared" si="2"/>
        <v>9312.0524999999998</v>
      </c>
      <c r="K78">
        <f t="shared" si="3"/>
        <v>3104.0174999999999</v>
      </c>
    </row>
    <row r="79" spans="1:11" x14ac:dyDescent="0.35">
      <c r="A79" t="s">
        <v>120</v>
      </c>
      <c r="B79" s="2">
        <v>46132</v>
      </c>
      <c r="C79" t="s">
        <v>68</v>
      </c>
      <c r="D79" t="s">
        <v>53</v>
      </c>
      <c r="E79" t="s">
        <v>12</v>
      </c>
      <c r="F79" t="s">
        <v>13</v>
      </c>
      <c r="G79">
        <v>1</v>
      </c>
      <c r="H79">
        <v>11633.29</v>
      </c>
      <c r="I79">
        <v>11633.29</v>
      </c>
      <c r="J79">
        <f t="shared" si="2"/>
        <v>8724.9675000000007</v>
      </c>
      <c r="K79">
        <f t="shared" si="3"/>
        <v>2908.3225000000002</v>
      </c>
    </row>
    <row r="80" spans="1:11" x14ac:dyDescent="0.35">
      <c r="A80" t="s">
        <v>121</v>
      </c>
      <c r="B80" s="2">
        <v>46065</v>
      </c>
      <c r="C80" t="s">
        <v>39</v>
      </c>
      <c r="D80" t="s">
        <v>118</v>
      </c>
      <c r="E80" t="s">
        <v>12</v>
      </c>
      <c r="F80" t="s">
        <v>28</v>
      </c>
      <c r="G80">
        <v>4</v>
      </c>
      <c r="H80">
        <v>2723.42</v>
      </c>
      <c r="I80">
        <v>10893.68</v>
      </c>
      <c r="J80">
        <f t="shared" si="2"/>
        <v>8170.26</v>
      </c>
      <c r="K80">
        <f t="shared" si="3"/>
        <v>2723.42</v>
      </c>
    </row>
    <row r="81" spans="1:11" x14ac:dyDescent="0.35">
      <c r="A81" t="s">
        <v>122</v>
      </c>
      <c r="B81" s="2">
        <v>46167</v>
      </c>
      <c r="C81" t="s">
        <v>59</v>
      </c>
      <c r="D81" t="s">
        <v>118</v>
      </c>
      <c r="E81" t="s">
        <v>12</v>
      </c>
      <c r="F81" t="s">
        <v>16</v>
      </c>
      <c r="G81">
        <v>4</v>
      </c>
      <c r="H81">
        <v>2584.73</v>
      </c>
      <c r="I81">
        <v>10338.92</v>
      </c>
      <c r="J81">
        <f t="shared" si="2"/>
        <v>7754.1900000000005</v>
      </c>
      <c r="K81">
        <f t="shared" si="3"/>
        <v>2584.7299999999996</v>
      </c>
    </row>
    <row r="82" spans="1:11" x14ac:dyDescent="0.35">
      <c r="A82" t="s">
        <v>123</v>
      </c>
      <c r="B82" s="2">
        <v>46118</v>
      </c>
      <c r="C82" t="s">
        <v>44</v>
      </c>
      <c r="D82" t="s">
        <v>124</v>
      </c>
      <c r="E82" t="s">
        <v>125</v>
      </c>
      <c r="F82" t="s">
        <v>28</v>
      </c>
      <c r="G82">
        <v>5</v>
      </c>
      <c r="H82">
        <v>2067.52</v>
      </c>
      <c r="I82">
        <v>10337.6</v>
      </c>
      <c r="J82">
        <f t="shared" si="2"/>
        <v>7753.2000000000007</v>
      </c>
      <c r="K82">
        <f t="shared" si="3"/>
        <v>2584.3999999999996</v>
      </c>
    </row>
    <row r="83" spans="1:11" x14ac:dyDescent="0.35">
      <c r="A83" t="s">
        <v>126</v>
      </c>
      <c r="B83" s="2">
        <v>46166</v>
      </c>
      <c r="C83" t="s">
        <v>42</v>
      </c>
      <c r="D83" t="s">
        <v>118</v>
      </c>
      <c r="E83" t="s">
        <v>12</v>
      </c>
      <c r="F83" t="s">
        <v>19</v>
      </c>
      <c r="G83">
        <v>4</v>
      </c>
      <c r="H83">
        <v>2583.79</v>
      </c>
      <c r="I83">
        <v>10335.16</v>
      </c>
      <c r="J83">
        <f t="shared" si="2"/>
        <v>7751.37</v>
      </c>
      <c r="K83">
        <f t="shared" si="3"/>
        <v>2583.79</v>
      </c>
    </row>
    <row r="84" spans="1:11" x14ac:dyDescent="0.35">
      <c r="A84" t="s">
        <v>127</v>
      </c>
      <c r="B84" s="2">
        <v>46132</v>
      </c>
      <c r="C84" t="s">
        <v>35</v>
      </c>
      <c r="D84" t="s">
        <v>118</v>
      </c>
      <c r="E84" t="s">
        <v>12</v>
      </c>
      <c r="F84" t="s">
        <v>13</v>
      </c>
      <c r="G84">
        <v>4</v>
      </c>
      <c r="H84">
        <v>2525.84</v>
      </c>
      <c r="I84">
        <v>10103.36</v>
      </c>
      <c r="J84">
        <f t="shared" si="2"/>
        <v>7577.52</v>
      </c>
      <c r="K84">
        <f t="shared" si="3"/>
        <v>2525.84</v>
      </c>
    </row>
    <row r="85" spans="1:11" x14ac:dyDescent="0.35">
      <c r="A85" t="s">
        <v>128</v>
      </c>
      <c r="B85" s="2">
        <v>46213</v>
      </c>
      <c r="C85" t="s">
        <v>27</v>
      </c>
      <c r="D85" t="s">
        <v>124</v>
      </c>
      <c r="E85" t="s">
        <v>125</v>
      </c>
      <c r="F85" t="s">
        <v>16</v>
      </c>
      <c r="G85">
        <v>4</v>
      </c>
      <c r="H85">
        <v>2374.77</v>
      </c>
      <c r="I85">
        <v>9499.08</v>
      </c>
      <c r="J85">
        <f t="shared" si="2"/>
        <v>7124.3099999999995</v>
      </c>
      <c r="K85">
        <f t="shared" si="3"/>
        <v>2374.7700000000004</v>
      </c>
    </row>
    <row r="86" spans="1:11" x14ac:dyDescent="0.35">
      <c r="A86" t="s">
        <v>129</v>
      </c>
      <c r="B86" s="2">
        <v>46152</v>
      </c>
      <c r="C86" t="s">
        <v>15</v>
      </c>
      <c r="D86" t="s">
        <v>130</v>
      </c>
      <c r="E86" t="s">
        <v>125</v>
      </c>
      <c r="F86" t="s">
        <v>19</v>
      </c>
      <c r="G86">
        <v>5</v>
      </c>
      <c r="H86">
        <v>1894.31</v>
      </c>
      <c r="I86">
        <v>9471.5499999999993</v>
      </c>
      <c r="J86">
        <f t="shared" si="2"/>
        <v>7103.6624999999995</v>
      </c>
      <c r="K86">
        <f t="shared" si="3"/>
        <v>2367.8874999999998</v>
      </c>
    </row>
    <row r="87" spans="1:11" x14ac:dyDescent="0.35">
      <c r="A87" t="s">
        <v>131</v>
      </c>
      <c r="B87" s="2">
        <v>46238</v>
      </c>
      <c r="C87" t="s">
        <v>35</v>
      </c>
      <c r="D87" t="s">
        <v>124</v>
      </c>
      <c r="E87" t="s">
        <v>125</v>
      </c>
      <c r="F87" t="s">
        <v>19</v>
      </c>
      <c r="G87">
        <v>4</v>
      </c>
      <c r="H87">
        <v>2278.9899999999998</v>
      </c>
      <c r="I87">
        <v>9115.9599999999991</v>
      </c>
      <c r="J87">
        <f t="shared" si="2"/>
        <v>6836.9699999999993</v>
      </c>
      <c r="K87">
        <f t="shared" si="3"/>
        <v>2278.9899999999998</v>
      </c>
    </row>
    <row r="88" spans="1:11" x14ac:dyDescent="0.35">
      <c r="A88" t="s">
        <v>132</v>
      </c>
      <c r="B88" s="2">
        <v>46254</v>
      </c>
      <c r="C88" t="s">
        <v>24</v>
      </c>
      <c r="D88" t="s">
        <v>130</v>
      </c>
      <c r="E88" t="s">
        <v>125</v>
      </c>
      <c r="F88" t="s">
        <v>13</v>
      </c>
      <c r="G88">
        <v>5</v>
      </c>
      <c r="H88">
        <v>1795.87</v>
      </c>
      <c r="I88">
        <v>8979.35</v>
      </c>
      <c r="J88">
        <f t="shared" si="2"/>
        <v>6734.5125000000007</v>
      </c>
      <c r="K88">
        <f t="shared" si="3"/>
        <v>2244.8374999999996</v>
      </c>
    </row>
    <row r="89" spans="1:11" x14ac:dyDescent="0.35">
      <c r="A89" t="s">
        <v>133</v>
      </c>
      <c r="B89" s="2">
        <v>46080</v>
      </c>
      <c r="C89" t="s">
        <v>83</v>
      </c>
      <c r="D89" t="s">
        <v>124</v>
      </c>
      <c r="E89" t="s">
        <v>125</v>
      </c>
      <c r="F89" t="s">
        <v>19</v>
      </c>
      <c r="G89">
        <v>4</v>
      </c>
      <c r="H89">
        <v>2033.24</v>
      </c>
      <c r="I89">
        <v>8132.96</v>
      </c>
      <c r="J89">
        <f t="shared" si="2"/>
        <v>6099.72</v>
      </c>
      <c r="K89">
        <f t="shared" si="3"/>
        <v>2033.2399999999998</v>
      </c>
    </row>
    <row r="90" spans="1:11" x14ac:dyDescent="0.35">
      <c r="A90" t="s">
        <v>134</v>
      </c>
      <c r="B90" s="2">
        <v>46259</v>
      </c>
      <c r="C90" t="s">
        <v>113</v>
      </c>
      <c r="D90" t="s">
        <v>74</v>
      </c>
      <c r="E90" t="s">
        <v>50</v>
      </c>
      <c r="F90" t="s">
        <v>16</v>
      </c>
      <c r="G90">
        <v>1</v>
      </c>
      <c r="H90">
        <v>7954.91</v>
      </c>
      <c r="I90">
        <v>7954.91</v>
      </c>
      <c r="J90">
        <f t="shared" si="2"/>
        <v>5966.1824999999999</v>
      </c>
      <c r="K90">
        <f t="shared" si="3"/>
        <v>1988.7275</v>
      </c>
    </row>
    <row r="91" spans="1:11" x14ac:dyDescent="0.35">
      <c r="A91" t="s">
        <v>135</v>
      </c>
      <c r="B91" s="2">
        <v>46189</v>
      </c>
      <c r="C91" t="s">
        <v>68</v>
      </c>
      <c r="D91" t="s">
        <v>130</v>
      </c>
      <c r="E91" t="s">
        <v>125</v>
      </c>
      <c r="F91" t="s">
        <v>16</v>
      </c>
      <c r="G91">
        <v>4</v>
      </c>
      <c r="H91">
        <v>1978.25</v>
      </c>
      <c r="I91">
        <v>7913</v>
      </c>
      <c r="J91">
        <f t="shared" si="2"/>
        <v>5934.75</v>
      </c>
      <c r="K91">
        <f t="shared" si="3"/>
        <v>1978.25</v>
      </c>
    </row>
    <row r="92" spans="1:11" x14ac:dyDescent="0.35">
      <c r="A92" t="s">
        <v>136</v>
      </c>
      <c r="B92" s="2">
        <v>46210</v>
      </c>
      <c r="C92" t="s">
        <v>35</v>
      </c>
      <c r="D92" t="s">
        <v>130</v>
      </c>
      <c r="E92" t="s">
        <v>125</v>
      </c>
      <c r="F92" t="s">
        <v>16</v>
      </c>
      <c r="G92">
        <v>4</v>
      </c>
      <c r="H92">
        <v>1870.77</v>
      </c>
      <c r="I92">
        <v>7483.08</v>
      </c>
      <c r="J92">
        <f t="shared" si="2"/>
        <v>5612.3099999999995</v>
      </c>
      <c r="K92">
        <f t="shared" si="3"/>
        <v>1870.7700000000004</v>
      </c>
    </row>
    <row r="93" spans="1:11" x14ac:dyDescent="0.35">
      <c r="A93" t="s">
        <v>137</v>
      </c>
      <c r="B93" s="2">
        <v>46076</v>
      </c>
      <c r="C93" t="s">
        <v>113</v>
      </c>
      <c r="D93" t="s">
        <v>118</v>
      </c>
      <c r="E93" t="s">
        <v>12</v>
      </c>
      <c r="F93" t="s">
        <v>22</v>
      </c>
      <c r="G93">
        <v>3</v>
      </c>
      <c r="H93">
        <v>2390.88</v>
      </c>
      <c r="I93">
        <v>7172.64</v>
      </c>
      <c r="J93">
        <f t="shared" si="2"/>
        <v>5379.4800000000005</v>
      </c>
      <c r="K93">
        <f t="shared" si="3"/>
        <v>1793.1599999999999</v>
      </c>
    </row>
    <row r="94" spans="1:11" x14ac:dyDescent="0.35">
      <c r="A94" t="s">
        <v>138</v>
      </c>
      <c r="B94" s="2">
        <v>46130</v>
      </c>
      <c r="C94" t="s">
        <v>27</v>
      </c>
      <c r="D94" t="s">
        <v>124</v>
      </c>
      <c r="E94" t="s">
        <v>125</v>
      </c>
      <c r="F94" t="s">
        <v>13</v>
      </c>
      <c r="G94">
        <v>3</v>
      </c>
      <c r="H94">
        <v>1985.57</v>
      </c>
      <c r="I94">
        <v>5956.71</v>
      </c>
      <c r="J94">
        <f t="shared" si="2"/>
        <v>4467.5325000000003</v>
      </c>
      <c r="K94">
        <f t="shared" si="3"/>
        <v>1489.1774999999998</v>
      </c>
    </row>
    <row r="95" spans="1:11" x14ac:dyDescent="0.35">
      <c r="A95" t="s">
        <v>139</v>
      </c>
      <c r="B95" s="2">
        <v>46131</v>
      </c>
      <c r="C95" t="s">
        <v>42</v>
      </c>
      <c r="D95" t="s">
        <v>118</v>
      </c>
      <c r="E95" t="s">
        <v>12</v>
      </c>
      <c r="F95" t="s">
        <v>13</v>
      </c>
      <c r="G95">
        <v>2</v>
      </c>
      <c r="H95">
        <v>2646.04</v>
      </c>
      <c r="I95">
        <v>5292.08</v>
      </c>
      <c r="J95">
        <f t="shared" si="2"/>
        <v>3969.06</v>
      </c>
      <c r="K95">
        <f t="shared" si="3"/>
        <v>1323.02</v>
      </c>
    </row>
    <row r="96" spans="1:11" x14ac:dyDescent="0.35">
      <c r="A96" t="s">
        <v>140</v>
      </c>
      <c r="B96" s="2">
        <v>46161</v>
      </c>
      <c r="C96" t="s">
        <v>83</v>
      </c>
      <c r="D96" t="s">
        <v>130</v>
      </c>
      <c r="E96" t="s">
        <v>125</v>
      </c>
      <c r="F96" t="s">
        <v>22</v>
      </c>
      <c r="G96">
        <v>3</v>
      </c>
      <c r="H96">
        <v>1735.1</v>
      </c>
      <c r="I96">
        <v>5205.3</v>
      </c>
      <c r="J96">
        <f t="shared" si="2"/>
        <v>3903.9750000000004</v>
      </c>
      <c r="K96">
        <f t="shared" si="3"/>
        <v>1301.3249999999998</v>
      </c>
    </row>
    <row r="97" spans="1:11" x14ac:dyDescent="0.35">
      <c r="A97" t="s">
        <v>141</v>
      </c>
      <c r="B97" s="2">
        <v>46178</v>
      </c>
      <c r="C97" t="s">
        <v>15</v>
      </c>
      <c r="D97" t="s">
        <v>130</v>
      </c>
      <c r="E97" t="s">
        <v>125</v>
      </c>
      <c r="F97" t="s">
        <v>22</v>
      </c>
      <c r="G97">
        <v>3</v>
      </c>
      <c r="H97">
        <v>1680.4</v>
      </c>
      <c r="I97">
        <v>5041.2</v>
      </c>
      <c r="J97">
        <f t="shared" si="2"/>
        <v>3780.8999999999996</v>
      </c>
      <c r="K97">
        <f t="shared" si="3"/>
        <v>1260.3000000000002</v>
      </c>
    </row>
    <row r="98" spans="1:11" x14ac:dyDescent="0.35">
      <c r="A98" t="s">
        <v>142</v>
      </c>
      <c r="B98" s="2">
        <v>46062</v>
      </c>
      <c r="C98" t="s">
        <v>59</v>
      </c>
      <c r="D98" t="s">
        <v>118</v>
      </c>
      <c r="E98" t="s">
        <v>12</v>
      </c>
      <c r="F98" t="s">
        <v>13</v>
      </c>
      <c r="G98">
        <v>2</v>
      </c>
      <c r="H98">
        <v>2441.52</v>
      </c>
      <c r="I98">
        <v>4883.04</v>
      </c>
      <c r="J98">
        <f t="shared" si="2"/>
        <v>3662.2799999999997</v>
      </c>
      <c r="K98">
        <f t="shared" si="3"/>
        <v>1220.7600000000002</v>
      </c>
    </row>
    <row r="99" spans="1:11" x14ac:dyDescent="0.35">
      <c r="A99" t="s">
        <v>143</v>
      </c>
      <c r="B99" s="2">
        <v>46037</v>
      </c>
      <c r="C99" t="s">
        <v>47</v>
      </c>
      <c r="D99" t="s">
        <v>118</v>
      </c>
      <c r="E99" t="s">
        <v>12</v>
      </c>
      <c r="F99" t="s">
        <v>28</v>
      </c>
      <c r="G99">
        <v>2</v>
      </c>
      <c r="H99">
        <v>2398.35</v>
      </c>
      <c r="I99">
        <v>4796.7</v>
      </c>
      <c r="J99">
        <f t="shared" si="2"/>
        <v>3597.5249999999996</v>
      </c>
      <c r="K99">
        <f t="shared" si="3"/>
        <v>1199.1750000000002</v>
      </c>
    </row>
    <row r="100" spans="1:11" x14ac:dyDescent="0.35">
      <c r="A100" t="s">
        <v>144</v>
      </c>
      <c r="B100" s="2">
        <v>46248</v>
      </c>
      <c r="C100" t="s">
        <v>47</v>
      </c>
      <c r="D100" t="s">
        <v>124</v>
      </c>
      <c r="E100" t="s">
        <v>125</v>
      </c>
      <c r="F100" t="s">
        <v>28</v>
      </c>
      <c r="G100">
        <v>2</v>
      </c>
      <c r="H100">
        <v>2298.2800000000002</v>
      </c>
      <c r="I100">
        <v>4596.5600000000004</v>
      </c>
      <c r="J100">
        <f t="shared" si="2"/>
        <v>3447.42</v>
      </c>
      <c r="K100">
        <f t="shared" si="3"/>
        <v>1149.1400000000003</v>
      </c>
    </row>
    <row r="101" spans="1:11" x14ac:dyDescent="0.35">
      <c r="A101" t="s">
        <v>145</v>
      </c>
      <c r="B101" s="2">
        <v>46056</v>
      </c>
      <c r="C101" t="s">
        <v>68</v>
      </c>
      <c r="D101" t="s">
        <v>124</v>
      </c>
      <c r="E101" t="s">
        <v>125</v>
      </c>
      <c r="F101" t="s">
        <v>13</v>
      </c>
      <c r="G101">
        <v>2</v>
      </c>
      <c r="H101">
        <v>2202.59</v>
      </c>
      <c r="I101">
        <v>4405.18</v>
      </c>
      <c r="J101">
        <f t="shared" si="2"/>
        <v>3303.8850000000002</v>
      </c>
      <c r="K101">
        <f t="shared" si="3"/>
        <v>1101.2950000000001</v>
      </c>
    </row>
    <row r="102" spans="1:11" x14ac:dyDescent="0.35">
      <c r="A102" t="s">
        <v>146</v>
      </c>
      <c r="B102" s="2">
        <v>46034</v>
      </c>
      <c r="C102" t="s">
        <v>18</v>
      </c>
      <c r="D102" t="s">
        <v>147</v>
      </c>
      <c r="E102" t="s">
        <v>125</v>
      </c>
      <c r="F102" t="s">
        <v>28</v>
      </c>
      <c r="G102">
        <v>5</v>
      </c>
      <c r="H102">
        <v>857.61</v>
      </c>
      <c r="I102">
        <v>4288.05</v>
      </c>
      <c r="J102">
        <f t="shared" si="2"/>
        <v>3216.0375000000004</v>
      </c>
      <c r="K102">
        <f t="shared" si="3"/>
        <v>1072.0124999999998</v>
      </c>
    </row>
    <row r="103" spans="1:11" x14ac:dyDescent="0.35">
      <c r="A103" t="s">
        <v>148</v>
      </c>
      <c r="B103" s="2">
        <v>46040</v>
      </c>
      <c r="C103" t="s">
        <v>113</v>
      </c>
      <c r="D103" t="s">
        <v>124</v>
      </c>
      <c r="E103" t="s">
        <v>125</v>
      </c>
      <c r="F103" t="s">
        <v>28</v>
      </c>
      <c r="G103">
        <v>2</v>
      </c>
      <c r="H103">
        <v>2140.2600000000002</v>
      </c>
      <c r="I103">
        <v>4280.5200000000004</v>
      </c>
      <c r="J103">
        <f t="shared" si="2"/>
        <v>3210.3900000000003</v>
      </c>
      <c r="K103">
        <f t="shared" si="3"/>
        <v>1070.1300000000001</v>
      </c>
    </row>
    <row r="104" spans="1:11" x14ac:dyDescent="0.35">
      <c r="A104" t="s">
        <v>149</v>
      </c>
      <c r="B104" s="2">
        <v>46153</v>
      </c>
      <c r="C104" t="s">
        <v>83</v>
      </c>
      <c r="D104" t="s">
        <v>124</v>
      </c>
      <c r="E104" t="s">
        <v>125</v>
      </c>
      <c r="F104" t="s">
        <v>22</v>
      </c>
      <c r="G104">
        <v>2</v>
      </c>
      <c r="H104">
        <v>2005.03</v>
      </c>
      <c r="I104">
        <v>4010.06</v>
      </c>
      <c r="J104">
        <f t="shared" si="2"/>
        <v>3007.5450000000001</v>
      </c>
      <c r="K104">
        <f t="shared" si="3"/>
        <v>1002.5149999999999</v>
      </c>
    </row>
    <row r="105" spans="1:11" x14ac:dyDescent="0.35">
      <c r="A105" t="s">
        <v>150</v>
      </c>
      <c r="B105" s="2">
        <v>46093</v>
      </c>
      <c r="C105" t="s">
        <v>37</v>
      </c>
      <c r="D105" t="s">
        <v>130</v>
      </c>
      <c r="E105" t="s">
        <v>125</v>
      </c>
      <c r="F105" t="s">
        <v>16</v>
      </c>
      <c r="G105">
        <v>2</v>
      </c>
      <c r="H105">
        <v>1922.35</v>
      </c>
      <c r="I105">
        <v>3844.7</v>
      </c>
      <c r="J105">
        <f t="shared" si="2"/>
        <v>2883.5249999999996</v>
      </c>
      <c r="K105">
        <f t="shared" si="3"/>
        <v>961.17500000000018</v>
      </c>
    </row>
    <row r="106" spans="1:11" x14ac:dyDescent="0.35">
      <c r="A106" t="s">
        <v>151</v>
      </c>
      <c r="B106" s="2">
        <v>46103</v>
      </c>
      <c r="C106" t="s">
        <v>10</v>
      </c>
      <c r="D106" t="s">
        <v>130</v>
      </c>
      <c r="E106" t="s">
        <v>125</v>
      </c>
      <c r="F106" t="s">
        <v>19</v>
      </c>
      <c r="G106">
        <v>2</v>
      </c>
      <c r="H106">
        <v>1861.1</v>
      </c>
      <c r="I106">
        <v>3722.2</v>
      </c>
      <c r="J106">
        <f t="shared" si="2"/>
        <v>2791.6499999999996</v>
      </c>
      <c r="K106">
        <f t="shared" si="3"/>
        <v>930.55000000000018</v>
      </c>
    </row>
    <row r="107" spans="1:11" x14ac:dyDescent="0.35">
      <c r="A107" t="s">
        <v>152</v>
      </c>
      <c r="B107" s="2">
        <v>46171</v>
      </c>
      <c r="C107" t="s">
        <v>42</v>
      </c>
      <c r="D107" t="s">
        <v>130</v>
      </c>
      <c r="E107" t="s">
        <v>125</v>
      </c>
      <c r="F107" t="s">
        <v>19</v>
      </c>
      <c r="G107">
        <v>2</v>
      </c>
      <c r="H107">
        <v>1774.76</v>
      </c>
      <c r="I107">
        <v>3549.52</v>
      </c>
      <c r="J107">
        <f t="shared" si="2"/>
        <v>2662.14</v>
      </c>
      <c r="K107">
        <f t="shared" si="3"/>
        <v>887.38000000000011</v>
      </c>
    </row>
    <row r="108" spans="1:11" x14ac:dyDescent="0.35">
      <c r="A108" t="s">
        <v>153</v>
      </c>
      <c r="B108" s="2">
        <v>46166</v>
      </c>
      <c r="C108" t="s">
        <v>35</v>
      </c>
      <c r="D108" t="s">
        <v>130</v>
      </c>
      <c r="E108" t="s">
        <v>125</v>
      </c>
      <c r="F108" t="s">
        <v>19</v>
      </c>
      <c r="G108">
        <v>2</v>
      </c>
      <c r="H108">
        <v>1708.79</v>
      </c>
      <c r="I108">
        <v>3417.58</v>
      </c>
      <c r="J108">
        <f t="shared" si="2"/>
        <v>2563.1849999999999</v>
      </c>
      <c r="K108">
        <f t="shared" si="3"/>
        <v>854.39499999999998</v>
      </c>
    </row>
    <row r="109" spans="1:11" x14ac:dyDescent="0.35">
      <c r="A109" t="s">
        <v>154</v>
      </c>
      <c r="B109" s="2">
        <v>46191</v>
      </c>
      <c r="C109" t="s">
        <v>59</v>
      </c>
      <c r="D109" t="s">
        <v>130</v>
      </c>
      <c r="E109" t="s">
        <v>125</v>
      </c>
      <c r="F109" t="s">
        <v>16</v>
      </c>
      <c r="G109">
        <v>2</v>
      </c>
      <c r="H109">
        <v>1700.25</v>
      </c>
      <c r="I109">
        <v>3400.5</v>
      </c>
      <c r="J109">
        <f t="shared" si="2"/>
        <v>2550.375</v>
      </c>
      <c r="K109">
        <f t="shared" si="3"/>
        <v>850.125</v>
      </c>
    </row>
    <row r="110" spans="1:11" x14ac:dyDescent="0.35">
      <c r="A110" t="s">
        <v>155</v>
      </c>
      <c r="B110" s="2">
        <v>46220</v>
      </c>
      <c r="C110" t="s">
        <v>39</v>
      </c>
      <c r="D110" t="s">
        <v>147</v>
      </c>
      <c r="E110" t="s">
        <v>125</v>
      </c>
      <c r="F110" t="s">
        <v>19</v>
      </c>
      <c r="G110">
        <v>3</v>
      </c>
      <c r="H110">
        <v>965.58</v>
      </c>
      <c r="I110">
        <v>2896.74</v>
      </c>
      <c r="J110">
        <f t="shared" si="2"/>
        <v>2172.5549999999998</v>
      </c>
      <c r="K110">
        <f t="shared" si="3"/>
        <v>724.18499999999995</v>
      </c>
    </row>
    <row r="111" spans="1:11" x14ac:dyDescent="0.35">
      <c r="A111" t="s">
        <v>156</v>
      </c>
      <c r="B111" s="2">
        <v>46084</v>
      </c>
      <c r="C111" t="s">
        <v>47</v>
      </c>
      <c r="D111" t="s">
        <v>147</v>
      </c>
      <c r="E111" t="s">
        <v>125</v>
      </c>
      <c r="F111" t="s">
        <v>13</v>
      </c>
      <c r="G111">
        <v>3</v>
      </c>
      <c r="H111">
        <v>853.1</v>
      </c>
      <c r="I111">
        <v>2559.3000000000002</v>
      </c>
      <c r="J111">
        <f t="shared" si="2"/>
        <v>1919.4750000000001</v>
      </c>
      <c r="K111">
        <f t="shared" si="3"/>
        <v>639.82500000000005</v>
      </c>
    </row>
    <row r="112" spans="1:11" x14ac:dyDescent="0.35">
      <c r="A112" t="s">
        <v>157</v>
      </c>
      <c r="B112" s="2">
        <v>46192</v>
      </c>
      <c r="C112" t="s">
        <v>42</v>
      </c>
      <c r="D112" t="s">
        <v>118</v>
      </c>
      <c r="E112" t="s">
        <v>12</v>
      </c>
      <c r="F112" t="s">
        <v>19</v>
      </c>
      <c r="G112">
        <v>1</v>
      </c>
      <c r="H112">
        <v>2391.89</v>
      </c>
      <c r="I112">
        <v>2391.89</v>
      </c>
      <c r="J112">
        <f t="shared" si="2"/>
        <v>1793.9175</v>
      </c>
      <c r="K112">
        <f t="shared" si="3"/>
        <v>597.97249999999985</v>
      </c>
    </row>
    <row r="113" spans="1:11" x14ac:dyDescent="0.35">
      <c r="A113" t="s">
        <v>158</v>
      </c>
      <c r="B113" s="2">
        <v>46052</v>
      </c>
      <c r="C113" t="s">
        <v>35</v>
      </c>
      <c r="D113" t="s">
        <v>124</v>
      </c>
      <c r="E113" t="s">
        <v>125</v>
      </c>
      <c r="F113" t="s">
        <v>19</v>
      </c>
      <c r="G113">
        <v>1</v>
      </c>
      <c r="H113">
        <v>2279.3200000000002</v>
      </c>
      <c r="I113">
        <v>2279.3200000000002</v>
      </c>
      <c r="J113">
        <f t="shared" si="2"/>
        <v>1709.4900000000002</v>
      </c>
      <c r="K113">
        <f t="shared" si="3"/>
        <v>569.82999999999993</v>
      </c>
    </row>
    <row r="114" spans="1:11" x14ac:dyDescent="0.35">
      <c r="A114" t="s">
        <v>159</v>
      </c>
      <c r="B114" s="2">
        <v>46148</v>
      </c>
      <c r="C114" t="s">
        <v>64</v>
      </c>
      <c r="D114" t="s">
        <v>124</v>
      </c>
      <c r="E114" t="s">
        <v>125</v>
      </c>
      <c r="F114" t="s">
        <v>13</v>
      </c>
      <c r="G114">
        <v>1</v>
      </c>
      <c r="H114">
        <v>2243.54</v>
      </c>
      <c r="I114">
        <v>2243.54</v>
      </c>
      <c r="J114">
        <f t="shared" si="2"/>
        <v>1682.655</v>
      </c>
      <c r="K114">
        <f t="shared" si="3"/>
        <v>560.88499999999999</v>
      </c>
    </row>
    <row r="115" spans="1:11" x14ac:dyDescent="0.35">
      <c r="A115" t="s">
        <v>160</v>
      </c>
      <c r="B115" s="2">
        <v>46260</v>
      </c>
      <c r="C115" t="s">
        <v>77</v>
      </c>
      <c r="D115" t="s">
        <v>130</v>
      </c>
      <c r="E115" t="s">
        <v>125</v>
      </c>
      <c r="F115" t="s">
        <v>28</v>
      </c>
      <c r="G115">
        <v>1</v>
      </c>
      <c r="H115">
        <v>1828.33</v>
      </c>
      <c r="I115">
        <v>1828.33</v>
      </c>
      <c r="J115">
        <f t="shared" si="2"/>
        <v>1371.2474999999999</v>
      </c>
      <c r="K115">
        <f t="shared" si="3"/>
        <v>457.08249999999998</v>
      </c>
    </row>
    <row r="116" spans="1:11" x14ac:dyDescent="0.35">
      <c r="A116" t="s">
        <v>161</v>
      </c>
      <c r="B116" s="2">
        <v>46076</v>
      </c>
      <c r="C116" t="s">
        <v>39</v>
      </c>
      <c r="D116" t="s">
        <v>147</v>
      </c>
      <c r="E116" t="s">
        <v>125</v>
      </c>
      <c r="F116" t="s">
        <v>13</v>
      </c>
      <c r="G116">
        <v>2</v>
      </c>
      <c r="H116">
        <v>876.63</v>
      </c>
      <c r="I116">
        <v>1753.26</v>
      </c>
      <c r="J116">
        <f t="shared" si="2"/>
        <v>1314.9449999999999</v>
      </c>
      <c r="K116">
        <f t="shared" si="3"/>
        <v>438.31500000000005</v>
      </c>
    </row>
    <row r="117" spans="1:11" x14ac:dyDescent="0.35">
      <c r="A117" t="s">
        <v>162</v>
      </c>
      <c r="B117" s="2">
        <v>46264</v>
      </c>
      <c r="C117" t="s">
        <v>47</v>
      </c>
      <c r="D117" t="s">
        <v>130</v>
      </c>
      <c r="E117" t="s">
        <v>125</v>
      </c>
      <c r="F117" t="s">
        <v>19</v>
      </c>
      <c r="G117">
        <v>1</v>
      </c>
      <c r="H117">
        <v>1695.95</v>
      </c>
      <c r="I117">
        <v>1695.95</v>
      </c>
      <c r="J117">
        <f t="shared" si="2"/>
        <v>1271.9625000000001</v>
      </c>
      <c r="K117">
        <f t="shared" si="3"/>
        <v>423.98749999999995</v>
      </c>
    </row>
    <row r="118" spans="1:11" x14ac:dyDescent="0.35">
      <c r="A118" t="s">
        <v>163</v>
      </c>
      <c r="B118" s="2">
        <v>46134</v>
      </c>
      <c r="C118" t="s">
        <v>68</v>
      </c>
      <c r="D118" t="s">
        <v>130</v>
      </c>
      <c r="E118" t="s">
        <v>125</v>
      </c>
      <c r="F118" t="s">
        <v>19</v>
      </c>
      <c r="G118">
        <v>1</v>
      </c>
      <c r="H118">
        <v>1659.02</v>
      </c>
      <c r="I118">
        <v>1659.02</v>
      </c>
      <c r="J118">
        <f t="shared" si="2"/>
        <v>1244.2649999999999</v>
      </c>
      <c r="K118">
        <f t="shared" si="3"/>
        <v>414.75500000000011</v>
      </c>
    </row>
    <row r="119" spans="1:11" x14ac:dyDescent="0.35">
      <c r="A119" t="s">
        <v>164</v>
      </c>
      <c r="B119" s="2">
        <v>46099</v>
      </c>
      <c r="C119" t="s">
        <v>37</v>
      </c>
      <c r="D119" t="s">
        <v>147</v>
      </c>
      <c r="E119" t="s">
        <v>125</v>
      </c>
      <c r="F119" t="s">
        <v>19</v>
      </c>
      <c r="G119">
        <v>1</v>
      </c>
      <c r="H119">
        <v>939.56</v>
      </c>
      <c r="I119">
        <v>939.56</v>
      </c>
      <c r="J119">
        <f t="shared" si="2"/>
        <v>704.67</v>
      </c>
      <c r="K119">
        <f t="shared" si="3"/>
        <v>234.89</v>
      </c>
    </row>
    <row r="120" spans="1:11" x14ac:dyDescent="0.35">
      <c r="A120" t="s">
        <v>165</v>
      </c>
      <c r="B120" s="2">
        <v>46063</v>
      </c>
      <c r="C120" t="s">
        <v>18</v>
      </c>
      <c r="D120" t="s">
        <v>147</v>
      </c>
      <c r="E120" t="s">
        <v>125</v>
      </c>
      <c r="F120" t="s">
        <v>13</v>
      </c>
      <c r="G120">
        <v>1</v>
      </c>
      <c r="H120">
        <v>862.83</v>
      </c>
      <c r="I120">
        <v>862.83</v>
      </c>
      <c r="J120">
        <f t="shared" si="2"/>
        <v>647.12250000000006</v>
      </c>
      <c r="K120">
        <f t="shared" si="3"/>
        <v>215.70749999999998</v>
      </c>
    </row>
    <row r="121" spans="1:11" x14ac:dyDescent="0.35">
      <c r="A121" t="s">
        <v>166</v>
      </c>
      <c r="B121" s="2">
        <v>46031</v>
      </c>
      <c r="C121" t="s">
        <v>113</v>
      </c>
      <c r="D121" t="s">
        <v>147</v>
      </c>
      <c r="E121" t="s">
        <v>125</v>
      </c>
      <c r="F121" t="s">
        <v>16</v>
      </c>
      <c r="G121">
        <v>1</v>
      </c>
      <c r="H121">
        <v>851.23</v>
      </c>
      <c r="I121">
        <v>851.23</v>
      </c>
      <c r="J121">
        <f t="shared" si="2"/>
        <v>638.42250000000001</v>
      </c>
      <c r="K121">
        <f t="shared" si="3"/>
        <v>212.8075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F3C0-E351-4845-A6A7-B7577CDA81E5}">
  <dimension ref="A2:L24"/>
  <sheetViews>
    <sheetView workbookViewId="0">
      <selection activeCell="K2" sqref="K2"/>
    </sheetView>
  </sheetViews>
  <sheetFormatPr defaultRowHeight="14.5" x14ac:dyDescent="0.35"/>
  <cols>
    <col min="1" max="1" width="10.7265625" bestFit="1" customWidth="1"/>
    <col min="2" max="2" width="14.36328125" bestFit="1" customWidth="1"/>
    <col min="5" max="5" width="12.36328125" bestFit="1" customWidth="1"/>
    <col min="6" max="6" width="14.36328125" bestFit="1" customWidth="1"/>
    <col min="8" max="8" width="11.36328125" bestFit="1" customWidth="1"/>
    <col min="9" max="9" width="14.54296875" bestFit="1" customWidth="1"/>
    <col min="11" max="11" width="10.7265625" bestFit="1" customWidth="1"/>
    <col min="12" max="12" width="14.36328125" bestFit="1" customWidth="1"/>
  </cols>
  <sheetData>
    <row r="2" spans="1:12" x14ac:dyDescent="0.35">
      <c r="A2" s="3" t="s">
        <v>5</v>
      </c>
      <c r="B2" t="s">
        <v>167</v>
      </c>
      <c r="E2" s="3" t="s">
        <v>3</v>
      </c>
      <c r="F2" t="s">
        <v>167</v>
      </c>
      <c r="H2" s="3" t="s">
        <v>3</v>
      </c>
      <c r="I2" t="s">
        <v>169</v>
      </c>
      <c r="K2" s="3" t="s">
        <v>178</v>
      </c>
      <c r="L2" t="s">
        <v>167</v>
      </c>
    </row>
    <row r="3" spans="1:12" x14ac:dyDescent="0.35">
      <c r="A3" s="4" t="s">
        <v>19</v>
      </c>
      <c r="B3">
        <v>1177426.33</v>
      </c>
      <c r="E3" s="4" t="s">
        <v>11</v>
      </c>
      <c r="F3">
        <v>1714537.95</v>
      </c>
      <c r="H3" s="4" t="s">
        <v>124</v>
      </c>
      <c r="I3">
        <v>30</v>
      </c>
      <c r="K3" s="4" t="s">
        <v>177</v>
      </c>
      <c r="L3">
        <v>982767.24999999988</v>
      </c>
    </row>
    <row r="4" spans="1:12" x14ac:dyDescent="0.35">
      <c r="A4" s="4" t="s">
        <v>22</v>
      </c>
      <c r="B4">
        <v>1149852.7399999998</v>
      </c>
      <c r="E4" s="4" t="s">
        <v>30</v>
      </c>
      <c r="F4">
        <v>1255308.1099999999</v>
      </c>
      <c r="H4" s="4" t="s">
        <v>49</v>
      </c>
      <c r="I4">
        <v>29</v>
      </c>
      <c r="K4" s="4" t="s">
        <v>173</v>
      </c>
      <c r="L4">
        <v>933931.21</v>
      </c>
    </row>
    <row r="5" spans="1:12" x14ac:dyDescent="0.35">
      <c r="A5" s="4" t="s">
        <v>16</v>
      </c>
      <c r="B5">
        <v>968400.48999999987</v>
      </c>
      <c r="E5" s="4" t="s">
        <v>45</v>
      </c>
      <c r="F5">
        <v>703898.43999999983</v>
      </c>
      <c r="H5" s="4" t="s">
        <v>118</v>
      </c>
      <c r="I5">
        <v>31</v>
      </c>
      <c r="K5" s="4" t="s">
        <v>174</v>
      </c>
      <c r="L5">
        <v>835921.54000000039</v>
      </c>
    </row>
    <row r="6" spans="1:12" x14ac:dyDescent="0.35">
      <c r="A6" s="4" t="s">
        <v>13</v>
      </c>
      <c r="B6">
        <v>963973.39000000013</v>
      </c>
      <c r="E6" s="4" t="s">
        <v>74</v>
      </c>
      <c r="F6">
        <v>409784.07</v>
      </c>
      <c r="H6" s="4" t="s">
        <v>130</v>
      </c>
      <c r="I6">
        <v>37</v>
      </c>
      <c r="K6" s="4" t="s">
        <v>176</v>
      </c>
      <c r="L6">
        <v>602442.51</v>
      </c>
    </row>
    <row r="7" spans="1:12" x14ac:dyDescent="0.35">
      <c r="A7" s="4" t="s">
        <v>28</v>
      </c>
      <c r="B7">
        <v>794071.5900000002</v>
      </c>
      <c r="E7" s="4" t="s">
        <v>53</v>
      </c>
      <c r="F7">
        <v>390252.36999999994</v>
      </c>
      <c r="H7" s="4" t="s">
        <v>11</v>
      </c>
      <c r="I7">
        <v>32</v>
      </c>
      <c r="K7" s="4" t="s">
        <v>175</v>
      </c>
      <c r="L7">
        <v>543623.92999999993</v>
      </c>
    </row>
    <row r="8" spans="1:12" x14ac:dyDescent="0.35">
      <c r="A8" s="4" t="s">
        <v>168</v>
      </c>
      <c r="B8">
        <v>5053724.5399999991</v>
      </c>
      <c r="E8" s="4" t="s">
        <v>168</v>
      </c>
      <c r="F8">
        <v>4473780.9399999995</v>
      </c>
      <c r="H8" s="4" t="s">
        <v>45</v>
      </c>
      <c r="I8">
        <v>48</v>
      </c>
      <c r="K8" s="4" t="s">
        <v>172</v>
      </c>
      <c r="L8">
        <v>448049.98999999993</v>
      </c>
    </row>
    <row r="9" spans="1:12" x14ac:dyDescent="0.35">
      <c r="H9" s="4" t="s">
        <v>147</v>
      </c>
      <c r="I9">
        <v>16</v>
      </c>
      <c r="K9" s="4" t="s">
        <v>170</v>
      </c>
      <c r="L9">
        <v>358779.64999999997</v>
      </c>
    </row>
    <row r="10" spans="1:12" x14ac:dyDescent="0.35">
      <c r="H10" s="4" t="s">
        <v>74</v>
      </c>
      <c r="I10">
        <v>47</v>
      </c>
      <c r="K10" s="4" t="s">
        <v>171</v>
      </c>
      <c r="L10">
        <v>348208.46</v>
      </c>
    </row>
    <row r="11" spans="1:12" x14ac:dyDescent="0.35">
      <c r="A11" s="3" t="s">
        <v>4</v>
      </c>
      <c r="B11" t="s">
        <v>167</v>
      </c>
      <c r="E11" s="3" t="s">
        <v>3</v>
      </c>
      <c r="F11" t="s">
        <v>167</v>
      </c>
      <c r="H11" s="4" t="s">
        <v>53</v>
      </c>
      <c r="I11">
        <v>32</v>
      </c>
      <c r="K11" s="4" t="s">
        <v>168</v>
      </c>
      <c r="L11">
        <v>5053724.54</v>
      </c>
    </row>
    <row r="12" spans="1:12" x14ac:dyDescent="0.35">
      <c r="A12" s="4" t="s">
        <v>125</v>
      </c>
      <c r="B12">
        <v>146219.74000000002</v>
      </c>
      <c r="E12" s="4" t="s">
        <v>147</v>
      </c>
      <c r="F12">
        <v>14150.97</v>
      </c>
      <c r="H12" s="4" t="s">
        <v>30</v>
      </c>
      <c r="I12">
        <v>46</v>
      </c>
    </row>
    <row r="13" spans="1:12" x14ac:dyDescent="0.35">
      <c r="A13" s="4" t="s">
        <v>12</v>
      </c>
      <c r="B13">
        <v>4142688.14</v>
      </c>
      <c r="E13" s="4" t="s">
        <v>124</v>
      </c>
      <c r="F13">
        <v>64857.489999999991</v>
      </c>
      <c r="H13" s="4" t="s">
        <v>168</v>
      </c>
      <c r="I13">
        <v>348</v>
      </c>
    </row>
    <row r="14" spans="1:12" x14ac:dyDescent="0.35">
      <c r="A14" s="4" t="s">
        <v>50</v>
      </c>
      <c r="B14">
        <v>764816.65999999992</v>
      </c>
      <c r="E14" s="4" t="s">
        <v>130</v>
      </c>
      <c r="F14">
        <v>67211.28</v>
      </c>
    </row>
    <row r="15" spans="1:12" x14ac:dyDescent="0.35">
      <c r="A15" s="4" t="s">
        <v>168</v>
      </c>
      <c r="B15">
        <v>5053724.54</v>
      </c>
      <c r="E15" s="4" t="s">
        <v>118</v>
      </c>
      <c r="F15">
        <v>78691.26999999999</v>
      </c>
    </row>
    <row r="16" spans="1:12" x14ac:dyDescent="0.35">
      <c r="E16" s="4" t="s">
        <v>49</v>
      </c>
      <c r="F16">
        <v>355032.58999999997</v>
      </c>
    </row>
    <row r="17" spans="1:6" x14ac:dyDescent="0.35">
      <c r="E17" s="4" t="s">
        <v>53</v>
      </c>
      <c r="F17">
        <v>390252.36999999994</v>
      </c>
    </row>
    <row r="18" spans="1:6" x14ac:dyDescent="0.35">
      <c r="A18" s="3" t="s">
        <v>5</v>
      </c>
      <c r="B18" t="s">
        <v>167</v>
      </c>
      <c r="E18" s="4" t="s">
        <v>74</v>
      </c>
      <c r="F18">
        <v>409784.07</v>
      </c>
    </row>
    <row r="19" spans="1:6" x14ac:dyDescent="0.35">
      <c r="A19" s="4" t="s">
        <v>28</v>
      </c>
      <c r="B19">
        <v>794071.5900000002</v>
      </c>
      <c r="E19" s="4" t="s">
        <v>45</v>
      </c>
      <c r="F19">
        <v>703898.43999999983</v>
      </c>
    </row>
    <row r="20" spans="1:6" x14ac:dyDescent="0.35">
      <c r="A20" s="4" t="s">
        <v>13</v>
      </c>
      <c r="B20">
        <v>963973.39000000013</v>
      </c>
      <c r="E20" s="4" t="s">
        <v>30</v>
      </c>
      <c r="F20">
        <v>1255308.1099999999</v>
      </c>
    </row>
    <row r="21" spans="1:6" x14ac:dyDescent="0.35">
      <c r="A21" s="4" t="s">
        <v>16</v>
      </c>
      <c r="B21">
        <v>968400.48999999987</v>
      </c>
      <c r="E21" s="4" t="s">
        <v>11</v>
      </c>
      <c r="F21">
        <v>1714537.95</v>
      </c>
    </row>
    <row r="22" spans="1:6" x14ac:dyDescent="0.35">
      <c r="A22" s="4" t="s">
        <v>22</v>
      </c>
      <c r="B22">
        <v>1149852.7399999998</v>
      </c>
      <c r="E22" s="4" t="s">
        <v>168</v>
      </c>
      <c r="F22">
        <v>5053724.54</v>
      </c>
    </row>
    <row r="23" spans="1:6" x14ac:dyDescent="0.35">
      <c r="A23" s="4" t="s">
        <v>19</v>
      </c>
      <c r="B23">
        <v>1177426.33</v>
      </c>
    </row>
    <row r="24" spans="1:6" x14ac:dyDescent="0.35">
      <c r="A24" s="4" t="s">
        <v>168</v>
      </c>
      <c r="B24">
        <v>5053724.5399999991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8EE0D-769C-4F84-AE4F-0CD323E5DC51}">
  <dimension ref="A1:N22"/>
  <sheetViews>
    <sheetView showGridLines="0" showRowColHeaders="0" zoomScaleNormal="100" workbookViewId="0">
      <selection activeCell="F28" sqref="F28"/>
    </sheetView>
  </sheetViews>
  <sheetFormatPr defaultRowHeight="14.5" x14ac:dyDescent="0.35"/>
  <cols>
    <col min="1" max="1" width="12.6328125" bestFit="1" customWidth="1"/>
    <col min="3" max="3" width="12.7265625" customWidth="1"/>
    <col min="4" max="4" width="14.08984375" bestFit="1" customWidth="1"/>
    <col min="6" max="6" width="11.1796875" bestFit="1" customWidth="1"/>
    <col min="7" max="7" width="35.90625" bestFit="1" customWidth="1"/>
    <col min="10" max="10" width="16.54296875" bestFit="1" customWidth="1"/>
    <col min="13" max="13" width="15.90625" bestFit="1" customWidth="1"/>
    <col min="14" max="14" width="11.81640625" bestFit="1" customWidth="1"/>
  </cols>
  <sheetData>
    <row r="1" spans="1:14" ht="18.5" x14ac:dyDescent="0.45">
      <c r="A1" s="6"/>
      <c r="B1" s="6"/>
      <c r="C1" s="6"/>
      <c r="D1" s="6"/>
      <c r="E1" s="6"/>
      <c r="F1" s="6"/>
      <c r="G1" s="8" t="s">
        <v>183</v>
      </c>
      <c r="H1" s="6"/>
      <c r="I1" s="6"/>
      <c r="J1" s="6"/>
      <c r="K1" s="6"/>
      <c r="L1" s="6"/>
      <c r="M1" s="6"/>
      <c r="N1" s="6"/>
    </row>
    <row r="2" spans="1:14" ht="15.5" x14ac:dyDescent="0.35">
      <c r="A2" s="10" t="s">
        <v>184</v>
      </c>
      <c r="B2" s="5"/>
      <c r="C2" s="6"/>
      <c r="D2" s="10" t="s">
        <v>181</v>
      </c>
      <c r="E2" s="6"/>
      <c r="F2" s="6"/>
      <c r="G2" s="6"/>
      <c r="H2" s="6"/>
      <c r="I2" s="6"/>
      <c r="J2" s="10" t="s">
        <v>182</v>
      </c>
      <c r="K2" s="6"/>
      <c r="L2" s="6"/>
      <c r="M2" s="10" t="s">
        <v>185</v>
      </c>
      <c r="N2" s="5"/>
    </row>
    <row r="3" spans="1:14" ht="15.5" x14ac:dyDescent="0.35">
      <c r="A3" s="9">
        <f>SUM('Cleaned Data'!I:I)</f>
        <v>5053724.5399999982</v>
      </c>
      <c r="B3" s="5"/>
      <c r="C3" s="6"/>
      <c r="D3" s="9">
        <f>COUNTA('Cleaned Data'!A2:A124)</f>
        <v>120</v>
      </c>
      <c r="E3" s="6"/>
      <c r="F3" s="6"/>
      <c r="G3" s="6"/>
      <c r="H3" s="6"/>
      <c r="I3" s="6"/>
      <c r="J3" s="9">
        <f>SUM('Cleaned Data'!G:G)</f>
        <v>348</v>
      </c>
      <c r="K3" s="6"/>
      <c r="L3" s="6"/>
      <c r="M3" s="9">
        <f>SUM('Cleaned Data'!K:K)</f>
        <v>1263431.1349999995</v>
      </c>
      <c r="N3" s="5"/>
    </row>
    <row r="4" spans="1:14" x14ac:dyDescent="0.35">
      <c r="A4" s="7"/>
      <c r="B4" s="7"/>
      <c r="C4" s="7"/>
      <c r="D4" s="7"/>
      <c r="E4" s="7"/>
      <c r="F4" s="7"/>
      <c r="G4" s="7"/>
      <c r="H4" s="7"/>
      <c r="I4" s="7"/>
      <c r="J4" s="7"/>
      <c r="K4" s="7"/>
      <c r="L4" s="7"/>
      <c r="M4" s="7"/>
      <c r="N4" s="7"/>
    </row>
    <row r="5" spans="1:14" x14ac:dyDescent="0.35">
      <c r="A5" s="7"/>
      <c r="B5" s="7"/>
      <c r="C5" s="7"/>
      <c r="D5" s="7"/>
      <c r="E5" s="7"/>
      <c r="F5" s="7"/>
      <c r="G5" s="7"/>
      <c r="H5" s="7"/>
      <c r="I5" s="7"/>
      <c r="J5" s="7"/>
      <c r="K5" s="7"/>
      <c r="L5" s="7"/>
      <c r="M5" s="7"/>
    </row>
    <row r="6" spans="1:14" x14ac:dyDescent="0.35">
      <c r="A6" s="7"/>
      <c r="B6" s="7"/>
      <c r="C6" s="7"/>
      <c r="D6" s="7"/>
      <c r="E6" s="7"/>
      <c r="F6" s="7"/>
      <c r="G6" s="7"/>
      <c r="H6" s="7"/>
      <c r="I6" s="7"/>
      <c r="J6" s="7"/>
      <c r="K6" s="7"/>
      <c r="L6" s="7"/>
      <c r="M6" s="7"/>
    </row>
    <row r="7" spans="1:14" x14ac:dyDescent="0.35">
      <c r="A7" s="7"/>
      <c r="B7" s="7"/>
      <c r="C7" s="7"/>
      <c r="D7" s="7"/>
      <c r="E7" s="7"/>
      <c r="F7" s="7"/>
      <c r="G7" s="7"/>
      <c r="H7" s="7"/>
      <c r="I7" s="7"/>
      <c r="J7" s="7"/>
      <c r="K7" s="7"/>
      <c r="L7" s="7"/>
      <c r="M7" s="7"/>
    </row>
    <row r="8" spans="1:14" x14ac:dyDescent="0.35">
      <c r="A8" s="7"/>
      <c r="B8" s="7"/>
      <c r="C8" s="7"/>
      <c r="D8" s="7"/>
      <c r="E8" s="7"/>
      <c r="F8" s="7"/>
      <c r="G8" s="7"/>
      <c r="H8" s="7"/>
      <c r="I8" s="7"/>
      <c r="J8" s="7"/>
      <c r="K8" s="7"/>
      <c r="L8" s="7"/>
      <c r="M8" s="7"/>
    </row>
    <row r="9" spans="1:14" x14ac:dyDescent="0.35">
      <c r="A9" s="7"/>
      <c r="B9" s="7"/>
      <c r="C9" s="7"/>
      <c r="D9" s="7"/>
      <c r="E9" s="7"/>
      <c r="F9" s="7"/>
      <c r="G9" s="7"/>
      <c r="H9" s="7"/>
      <c r="I9" s="7"/>
      <c r="J9" s="7"/>
      <c r="K9" s="7"/>
      <c r="L9" s="7"/>
      <c r="M9" s="7"/>
    </row>
    <row r="10" spans="1:14" x14ac:dyDescent="0.35">
      <c r="A10" s="7"/>
      <c r="B10" s="7"/>
      <c r="C10" s="7"/>
      <c r="D10" s="7"/>
      <c r="E10" s="7"/>
      <c r="F10" s="7"/>
      <c r="G10" s="7"/>
      <c r="H10" s="7"/>
      <c r="I10" s="7"/>
      <c r="J10" s="7"/>
      <c r="K10" s="7"/>
      <c r="L10" s="7"/>
      <c r="M10" s="7"/>
    </row>
    <row r="11" spans="1:14" x14ac:dyDescent="0.35">
      <c r="A11" s="7"/>
      <c r="B11" s="7"/>
      <c r="C11" s="7"/>
      <c r="D11" s="7"/>
      <c r="E11" s="7"/>
      <c r="F11" s="7"/>
      <c r="G11" s="7"/>
      <c r="H11" s="7"/>
      <c r="I11" s="7"/>
      <c r="J11" s="7"/>
      <c r="K11" s="7"/>
      <c r="L11" s="7"/>
      <c r="M11" s="7"/>
    </row>
    <row r="12" spans="1:14" x14ac:dyDescent="0.35">
      <c r="A12" s="7"/>
      <c r="B12" s="7"/>
      <c r="C12" s="7"/>
      <c r="D12" s="7"/>
      <c r="E12" s="7"/>
      <c r="F12" s="7"/>
      <c r="G12" s="7"/>
      <c r="H12" s="7"/>
      <c r="I12" s="7"/>
      <c r="J12" s="7"/>
      <c r="K12" s="7"/>
      <c r="L12" s="7"/>
      <c r="M12" s="7"/>
    </row>
    <row r="13" spans="1:14" x14ac:dyDescent="0.35">
      <c r="A13" s="7"/>
      <c r="B13" s="7"/>
      <c r="C13" s="7"/>
      <c r="D13" s="7"/>
      <c r="E13" s="7"/>
      <c r="F13" s="7"/>
      <c r="G13" s="7"/>
      <c r="H13" s="7"/>
      <c r="I13" s="7"/>
      <c r="J13" s="7"/>
      <c r="K13" s="7"/>
      <c r="L13" s="7"/>
      <c r="M13" s="7"/>
    </row>
    <row r="14" spans="1:14" x14ac:dyDescent="0.35">
      <c r="A14" s="7"/>
      <c r="B14" s="7"/>
      <c r="C14" s="7"/>
      <c r="D14" s="7"/>
      <c r="E14" s="7"/>
      <c r="F14" s="7"/>
      <c r="G14" s="7"/>
      <c r="H14" s="7"/>
      <c r="I14" s="7"/>
      <c r="J14" s="7"/>
      <c r="K14" s="7"/>
      <c r="L14" s="7"/>
      <c r="M14" s="7"/>
    </row>
    <row r="15" spans="1:14" x14ac:dyDescent="0.35">
      <c r="A15" s="7"/>
      <c r="B15" s="7"/>
      <c r="C15" s="7"/>
      <c r="D15" s="7"/>
      <c r="E15" s="7"/>
      <c r="F15" s="7"/>
      <c r="G15" s="7"/>
      <c r="H15" s="7"/>
      <c r="I15" s="7"/>
      <c r="J15" s="7"/>
      <c r="K15" s="7"/>
      <c r="L15" s="7"/>
      <c r="M15" s="7"/>
    </row>
    <row r="16" spans="1:14" x14ac:dyDescent="0.35">
      <c r="A16" s="7"/>
      <c r="B16" s="7"/>
      <c r="C16" s="7"/>
      <c r="D16" s="7"/>
      <c r="E16" s="7"/>
      <c r="F16" s="7"/>
      <c r="G16" s="7"/>
      <c r="H16" s="7"/>
      <c r="I16" s="7"/>
      <c r="J16" s="7"/>
      <c r="K16" s="7"/>
      <c r="L16" s="7"/>
      <c r="M16" s="7"/>
    </row>
    <row r="17" spans="1:13" x14ac:dyDescent="0.35">
      <c r="A17" s="7"/>
      <c r="B17" s="7"/>
      <c r="C17" s="7"/>
      <c r="D17" s="7"/>
      <c r="E17" s="7"/>
      <c r="F17" s="7"/>
      <c r="G17" s="7"/>
      <c r="H17" s="7"/>
      <c r="I17" s="7"/>
      <c r="J17" s="7"/>
      <c r="K17" s="7"/>
      <c r="L17" s="7"/>
      <c r="M17" s="7"/>
    </row>
    <row r="18" spans="1:13" x14ac:dyDescent="0.35">
      <c r="A18" s="7"/>
      <c r="B18" s="7"/>
      <c r="C18" s="7"/>
      <c r="D18" s="7"/>
      <c r="E18" s="7"/>
      <c r="F18" s="7"/>
      <c r="G18" s="7"/>
      <c r="H18" s="7"/>
      <c r="I18" s="7"/>
      <c r="J18" s="7"/>
      <c r="K18" s="7"/>
      <c r="L18" s="7"/>
      <c r="M18" s="7"/>
    </row>
    <row r="19" spans="1:13" x14ac:dyDescent="0.35">
      <c r="A19" s="7"/>
      <c r="B19" s="7"/>
      <c r="C19" s="7"/>
      <c r="D19" s="7"/>
      <c r="E19" s="7"/>
      <c r="F19" s="7"/>
      <c r="G19" s="7"/>
      <c r="H19" s="7"/>
      <c r="I19" s="7"/>
      <c r="J19" s="7"/>
      <c r="K19" s="7"/>
      <c r="L19" s="7"/>
      <c r="M19" s="7"/>
    </row>
    <row r="20" spans="1:13" x14ac:dyDescent="0.35">
      <c r="A20" s="7"/>
      <c r="B20" s="7"/>
      <c r="C20" s="7"/>
      <c r="D20" s="7"/>
      <c r="E20" s="7"/>
      <c r="F20" s="7"/>
      <c r="G20" s="7"/>
      <c r="H20" s="7"/>
      <c r="I20" s="7"/>
      <c r="J20" s="7"/>
      <c r="K20" s="7"/>
      <c r="L20" s="7"/>
      <c r="M20" s="7"/>
    </row>
    <row r="21" spans="1:13" x14ac:dyDescent="0.35">
      <c r="A21" s="7"/>
      <c r="B21" s="7"/>
      <c r="C21" s="7"/>
      <c r="D21" s="7"/>
      <c r="E21" s="7"/>
      <c r="F21" s="7"/>
      <c r="G21" s="7"/>
      <c r="H21" s="7"/>
      <c r="I21" s="7"/>
      <c r="J21" s="7"/>
      <c r="K21" s="7"/>
      <c r="L21" s="7"/>
      <c r="M21" s="7"/>
    </row>
    <row r="22" spans="1:13" x14ac:dyDescent="0.35">
      <c r="A22" s="7"/>
      <c r="B22" s="7"/>
      <c r="C22" s="7"/>
      <c r="D22" s="7"/>
      <c r="E22" s="7"/>
      <c r="F22" s="7"/>
      <c r="G22" s="7"/>
      <c r="H22" s="7"/>
      <c r="I22" s="7"/>
      <c r="J22" s="7"/>
      <c r="K22" s="7"/>
      <c r="L22" s="7"/>
      <c r="M2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dc:creator>
  <cp:lastModifiedBy>Vishnu</cp:lastModifiedBy>
  <dcterms:created xsi:type="dcterms:W3CDTF">2026-09-03T06:23:56Z</dcterms:created>
  <dcterms:modified xsi:type="dcterms:W3CDTF">2026-09-03T12:35:47Z</dcterms:modified>
</cp:coreProperties>
</file>